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GeneralWorkbook" defaultThemeVersion="166925"/>
  <mc:AlternateContent xmlns:mc="http://schemas.openxmlformats.org/markup-compatibility/2006">
    <mc:Choice Requires="x15">
      <x15ac:absPath xmlns:x15ac="http://schemas.microsoft.com/office/spreadsheetml/2010/11/ac" url="D:\Scuola\Github\shift-manager-excel-vba\"/>
    </mc:Choice>
  </mc:AlternateContent>
  <xr:revisionPtr revIDLastSave="0" documentId="13_ncr:1_{93398897-65A6-4E01-960D-78047913676C}" xr6:coauthVersionLast="47" xr6:coauthVersionMax="47" xr10:uidLastSave="{00000000-0000-0000-0000-000000000000}"/>
  <bookViews>
    <workbookView xWindow="19095" yWindow="0" windowWidth="19410" windowHeight="20985" tabRatio="626" firstSheet="4" activeTab="11" xr2:uid="{00000000-000D-0000-FFFF-FFFF00000000}"/>
  </bookViews>
  <sheets>
    <sheet name="DASHBOARD" sheetId="27" r:id="rId1"/>
    <sheet name="LUN" sheetId="2" r:id="rId2"/>
    <sheet name="MAR" sheetId="18" r:id="rId3"/>
    <sheet name="MER" sheetId="19" r:id="rId4"/>
    <sheet name="GIO" sheetId="20" r:id="rId5"/>
    <sheet name="VEN" sheetId="21" r:id="rId6"/>
    <sheet name="SAB" sheetId="22" r:id="rId7"/>
    <sheet name="DOM" sheetId="23" r:id="rId8"/>
    <sheet name="TOT" sheetId="28" r:id="rId9"/>
    <sheet name="FORMAZIONE" sheetId="24" r:id="rId10"/>
    <sheet name="Dipendenti" sheetId="29" r:id="rId11"/>
    <sheet name="MANAGER" sheetId="30" r:id="rId12"/>
    <sheet name="TOT-M" sheetId="37" r:id="rId13"/>
    <sheet name="FORMAZIONE-M" sheetId="38" r:id="rId14"/>
    <sheet name="Dipendenti-M" sheetId="39" r:id="rId15"/>
    <sheet name="Fasce_Tot" sheetId="4" r:id="rId16"/>
    <sheet name="Lunedì" sheetId="15" r:id="rId17"/>
    <sheet name="Martedì" sheetId="14" r:id="rId18"/>
    <sheet name="Mercoledì" sheetId="13" r:id="rId19"/>
    <sheet name="Giovedì" sheetId="11" r:id="rId20"/>
    <sheet name="Venerdì" sheetId="10" r:id="rId21"/>
    <sheet name="Sabato" sheetId="9" r:id="rId22"/>
    <sheet name="Domenica" sheetId="12" r:id="rId23"/>
    <sheet name="Percentuali" sheetId="5" r:id="rId24"/>
    <sheet name="Tabelle" sheetId="3" r:id="rId25"/>
  </sheets>
  <functionGroups builtInGroupCount="19"/>
  <definedNames>
    <definedName name="_100">#REF!</definedName>
    <definedName name="_104">#REF!</definedName>
    <definedName name="_111">#REF!</definedName>
    <definedName name="_115">#REF!</definedName>
    <definedName name="_122">#REF!</definedName>
    <definedName name="_130">#REF!</definedName>
    <definedName name="_137">#REF!</definedName>
    <definedName name="_141">#REF!</definedName>
    <definedName name="_148">#REF!</definedName>
    <definedName name="_156">#REF!</definedName>
    <definedName name="_159">#REF!</definedName>
    <definedName name="_167">#REF!</definedName>
    <definedName name="_174">#REF!</definedName>
    <definedName name="_182">#REF!</definedName>
    <definedName name="_185">#REF!</definedName>
    <definedName name="_193">#REF!</definedName>
    <definedName name="_196">#REF!</definedName>
    <definedName name="_208">#REF!</definedName>
    <definedName name="_211">#REF!</definedName>
    <definedName name="_219">#REF!</definedName>
    <definedName name="_222">#REF!</definedName>
    <definedName name="_233">#REF!</definedName>
    <definedName name="_248">#REF!</definedName>
    <definedName name="_259">#REF!</definedName>
    <definedName name="_26">#REF!</definedName>
    <definedName name="_270">#REF!</definedName>
    <definedName name="_285">#REF!</definedName>
    <definedName name="_296">#REF!</definedName>
    <definedName name="_307">#REF!</definedName>
    <definedName name="_37">#REF!</definedName>
    <definedName name="_48">#REF!</definedName>
    <definedName name="_52">#REF!</definedName>
    <definedName name="_63">#REF!</definedName>
    <definedName name="_74">#REF!</definedName>
    <definedName name="_78">#REF!</definedName>
    <definedName name="_85">#REF!</definedName>
    <definedName name="_89">#REF!</definedName>
    <definedName name="_xlnm._FilterDatabase" localSheetId="10" hidden="1">Dipendenti!$A$2:$H$221</definedName>
    <definedName name="_xlnm._FilterDatabase" localSheetId="14" hidden="1">'Dipendenti-M'!$A$2:$G$221</definedName>
    <definedName name="_xleta.IFERROR" hidden="1" xlm="1">#NAME?</definedName>
    <definedName name="_xleta.ISERROR" hidden="1" xlm="1">#NAME?</definedName>
    <definedName name="_xleta.VLOOKUP" hidden="1" xlm="1">#NAME?</definedName>
    <definedName name="A">MANAGER!$1:$1048576</definedName>
    <definedName name="_xlnm.Print_Area" localSheetId="10">Dipendenti!$A$1:$H$54</definedName>
    <definedName name="_xlnm.Print_Area" localSheetId="9">FORMAZIONE!$S$1:$BC$7</definedName>
    <definedName name="_xlnm.Print_Area" localSheetId="13">'FORMAZIONE-M'!$S$1:$BC$17</definedName>
    <definedName name="_xlnm.Print_Area" localSheetId="1">LUN!$A$1:$BS$171</definedName>
    <definedName name="_xlnm.Print_Area" localSheetId="11">MANAGER!$A$1:$BT$152</definedName>
    <definedName name="_xlnm.Print_Area" localSheetId="8">TOT!$C$1:$Q$18</definedName>
    <definedName name="_xlnm.Print_Area" localSheetId="12">'TOT-M'!$C$1:$Q$18</definedName>
    <definedName name="Excel_BuiltIn__FilterDatabase_11">#REF!</definedName>
    <definedName name="GIOVEDI">#REF!</definedName>
    <definedName name="HolidayTabl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" i="37" l="1"/>
  <c r="AB12" i="37"/>
  <c r="D147" i="30"/>
  <c r="B147" i="30" s="1"/>
  <c r="C147" i="30"/>
  <c r="D145" i="30"/>
  <c r="B145" i="30" s="1"/>
  <c r="C145" i="30"/>
  <c r="D143" i="30"/>
  <c r="B143" i="30" s="1"/>
  <c r="C143" i="30"/>
  <c r="D141" i="30"/>
  <c r="B141" i="30" s="1"/>
  <c r="C141" i="30"/>
  <c r="D139" i="30"/>
  <c r="B139" i="30" s="1"/>
  <c r="C139" i="30"/>
  <c r="D137" i="30"/>
  <c r="C137" i="30"/>
  <c r="B137" i="30" s="1"/>
  <c r="D135" i="30"/>
  <c r="B135" i="30" s="1"/>
  <c r="C135" i="30"/>
  <c r="D133" i="30"/>
  <c r="C133" i="30"/>
  <c r="B133" i="30" s="1"/>
  <c r="D131" i="30"/>
  <c r="B131" i="30" s="1"/>
  <c r="C131" i="30"/>
  <c r="D129" i="30"/>
  <c r="C129" i="30"/>
  <c r="B129" i="30" s="1"/>
  <c r="D126" i="30"/>
  <c r="B126" i="30" s="1"/>
  <c r="C126" i="30"/>
  <c r="D124" i="30"/>
  <c r="C124" i="30"/>
  <c r="D122" i="30"/>
  <c r="C122" i="30"/>
  <c r="B122" i="30"/>
  <c r="D120" i="30"/>
  <c r="C120" i="30"/>
  <c r="B120" i="30" s="1"/>
  <c r="D118" i="30"/>
  <c r="B118" i="30" s="1"/>
  <c r="C118" i="30"/>
  <c r="D116" i="30"/>
  <c r="C116" i="30"/>
  <c r="B116" i="30"/>
  <c r="D114" i="30"/>
  <c r="B114" i="30" s="1"/>
  <c r="C114" i="30"/>
  <c r="D112" i="30"/>
  <c r="B112" i="30" s="1"/>
  <c r="C112" i="30"/>
  <c r="D110" i="30"/>
  <c r="C110" i="30"/>
  <c r="D108" i="30"/>
  <c r="C108" i="30"/>
  <c r="D105" i="30"/>
  <c r="B105" i="30" s="1"/>
  <c r="C105" i="30"/>
  <c r="D103" i="30"/>
  <c r="B103" i="30" s="1"/>
  <c r="C103" i="30"/>
  <c r="D101" i="30"/>
  <c r="B101" i="30" s="1"/>
  <c r="C101" i="30"/>
  <c r="D99" i="30"/>
  <c r="C99" i="30"/>
  <c r="B99" i="30" s="1"/>
  <c r="D97" i="30"/>
  <c r="B97" i="30" s="1"/>
  <c r="C97" i="30"/>
  <c r="D95" i="30"/>
  <c r="C95" i="30"/>
  <c r="B95" i="30" s="1"/>
  <c r="D93" i="30"/>
  <c r="C93" i="30"/>
  <c r="B93" i="30"/>
  <c r="D91" i="30"/>
  <c r="B91" i="30" s="1"/>
  <c r="C91" i="30"/>
  <c r="D89" i="30"/>
  <c r="C89" i="30"/>
  <c r="B89" i="30"/>
  <c r="D87" i="30"/>
  <c r="C87" i="30"/>
  <c r="B87" i="30" s="1"/>
  <c r="D84" i="30"/>
  <c r="C84" i="30"/>
  <c r="B84" i="30"/>
  <c r="D82" i="30"/>
  <c r="C82" i="30"/>
  <c r="B82" i="30"/>
  <c r="D80" i="30"/>
  <c r="B80" i="30" s="1"/>
  <c r="C80" i="30"/>
  <c r="D78" i="30"/>
  <c r="B78" i="30" s="1"/>
  <c r="C78" i="30"/>
  <c r="D76" i="30"/>
  <c r="B76" i="30" s="1"/>
  <c r="C76" i="30"/>
  <c r="D74" i="30"/>
  <c r="B74" i="30" s="1"/>
  <c r="C74" i="30"/>
  <c r="D72" i="30"/>
  <c r="B72" i="30" s="1"/>
  <c r="C72" i="30"/>
  <c r="D70" i="30"/>
  <c r="B70" i="30" s="1"/>
  <c r="C70" i="30"/>
  <c r="D68" i="30"/>
  <c r="B68" i="30" s="1"/>
  <c r="C68" i="30"/>
  <c r="D66" i="30"/>
  <c r="C66" i="30"/>
  <c r="B66" i="30" s="1"/>
  <c r="D63" i="30"/>
  <c r="B63" i="30" s="1"/>
  <c r="C63" i="30"/>
  <c r="D61" i="30"/>
  <c r="C61" i="30"/>
  <c r="B61" i="30" s="1"/>
  <c r="D59" i="30"/>
  <c r="C59" i="30"/>
  <c r="B59" i="30"/>
  <c r="D57" i="30"/>
  <c r="B57" i="30" s="1"/>
  <c r="C57" i="30"/>
  <c r="D55" i="30"/>
  <c r="C55" i="30"/>
  <c r="B55" i="30"/>
  <c r="D53" i="30"/>
  <c r="C53" i="30"/>
  <c r="B53" i="30" s="1"/>
  <c r="D51" i="30"/>
  <c r="C51" i="30"/>
  <c r="B51" i="30"/>
  <c r="D49" i="30"/>
  <c r="C49" i="30"/>
  <c r="B49" i="30"/>
  <c r="D47" i="30"/>
  <c r="B47" i="30" s="1"/>
  <c r="C47" i="30"/>
  <c r="D45" i="30"/>
  <c r="B45" i="30" s="1"/>
  <c r="C45" i="30"/>
  <c r="D42" i="30"/>
  <c r="B42" i="30" s="1"/>
  <c r="C42" i="30"/>
  <c r="D40" i="30"/>
  <c r="B40" i="30" s="1"/>
  <c r="C40" i="30"/>
  <c r="D38" i="30"/>
  <c r="B38" i="30" s="1"/>
  <c r="C38" i="30"/>
  <c r="D36" i="30"/>
  <c r="B36" i="30" s="1"/>
  <c r="C36" i="30"/>
  <c r="D34" i="30"/>
  <c r="B34" i="30" s="1"/>
  <c r="C34" i="30"/>
  <c r="D32" i="30"/>
  <c r="C32" i="30"/>
  <c r="B32" i="30" s="1"/>
  <c r="D30" i="30"/>
  <c r="B30" i="30" s="1"/>
  <c r="C30" i="30"/>
  <c r="D28" i="30"/>
  <c r="C28" i="30"/>
  <c r="B28" i="30" s="1"/>
  <c r="D26" i="30"/>
  <c r="C26" i="30"/>
  <c r="B26" i="30"/>
  <c r="D24" i="30"/>
  <c r="B24" i="30" s="1"/>
  <c r="C24" i="30"/>
  <c r="D21" i="30"/>
  <c r="C21" i="30"/>
  <c r="B21" i="30"/>
  <c r="D19" i="30"/>
  <c r="C19" i="30"/>
  <c r="B19" i="30" s="1"/>
  <c r="D17" i="30"/>
  <c r="C17" i="30"/>
  <c r="B17" i="30"/>
  <c r="D15" i="30"/>
  <c r="C15" i="30"/>
  <c r="B15" i="30"/>
  <c r="D13" i="30"/>
  <c r="B13" i="30" s="1"/>
  <c r="C13" i="30"/>
  <c r="D11" i="30"/>
  <c r="B11" i="30" s="1"/>
  <c r="C11" i="30"/>
  <c r="D9" i="30"/>
  <c r="B9" i="30" s="1"/>
  <c r="C9" i="30"/>
  <c r="D7" i="30"/>
  <c r="B7" i="30" s="1"/>
  <c r="C7" i="30"/>
  <c r="D5" i="30"/>
  <c r="B5" i="30" s="1"/>
  <c r="C5" i="30"/>
  <c r="D3" i="30"/>
  <c r="B3" i="30" s="1"/>
  <c r="C3" i="30"/>
  <c r="X11" i="37"/>
  <c r="V11" i="37"/>
  <c r="U11" i="37"/>
  <c r="R11" i="37"/>
  <c r="Y11" i="37" s="1"/>
  <c r="AB11" i="37" s="1"/>
  <c r="AC11" i="37" s="1"/>
  <c r="AD11" i="37" s="1"/>
  <c r="Q11" i="37"/>
  <c r="P11" i="37"/>
  <c r="O11" i="37"/>
  <c r="N11" i="37"/>
  <c r="W11" i="37" s="1"/>
  <c r="M11" i="37"/>
  <c r="L11" i="37"/>
  <c r="K11" i="37"/>
  <c r="J11" i="37"/>
  <c r="I11" i="37"/>
  <c r="H11" i="37"/>
  <c r="T11" i="37" s="1"/>
  <c r="G11" i="37"/>
  <c r="F11" i="37"/>
  <c r="S11" i="37" s="1"/>
  <c r="E11" i="37"/>
  <c r="D11" i="37"/>
  <c r="X10" i="37"/>
  <c r="W10" i="37"/>
  <c r="V10" i="37"/>
  <c r="Q10" i="37"/>
  <c r="P10" i="37"/>
  <c r="O10" i="37"/>
  <c r="N10" i="37"/>
  <c r="M10" i="37"/>
  <c r="L10" i="37"/>
  <c r="K10" i="37"/>
  <c r="J10" i="37"/>
  <c r="U10" i="37" s="1"/>
  <c r="I10" i="37"/>
  <c r="H10" i="37"/>
  <c r="T10" i="37" s="1"/>
  <c r="G10" i="37"/>
  <c r="F10" i="37"/>
  <c r="S10" i="37" s="1"/>
  <c r="E10" i="37"/>
  <c r="D10" i="37"/>
  <c r="R10" i="37" s="1"/>
  <c r="W9" i="37"/>
  <c r="V9" i="37"/>
  <c r="T9" i="37"/>
  <c r="S9" i="37"/>
  <c r="Q9" i="37"/>
  <c r="P9" i="37"/>
  <c r="X9" i="37" s="1"/>
  <c r="O9" i="37"/>
  <c r="N9" i="37"/>
  <c r="M9" i="37"/>
  <c r="L9" i="37"/>
  <c r="K9" i="37"/>
  <c r="J9" i="37"/>
  <c r="U9" i="37" s="1"/>
  <c r="I9" i="37"/>
  <c r="H9" i="37"/>
  <c r="G9" i="37"/>
  <c r="F9" i="37"/>
  <c r="E9" i="37"/>
  <c r="D9" i="37"/>
  <c r="R9" i="37" s="1"/>
  <c r="Y8" i="37"/>
  <c r="AB8" i="37" s="1"/>
  <c r="AC8" i="37" s="1"/>
  <c r="AD8" i="37" s="1"/>
  <c r="X8" i="37"/>
  <c r="W8" i="37"/>
  <c r="V8" i="37"/>
  <c r="U8" i="37"/>
  <c r="T8" i="37"/>
  <c r="S8" i="37"/>
  <c r="R8" i="37"/>
  <c r="U7" i="37"/>
  <c r="T7" i="37"/>
  <c r="S7" i="37"/>
  <c r="Q7" i="37"/>
  <c r="P7" i="37"/>
  <c r="X7" i="37" s="1"/>
  <c r="O7" i="37"/>
  <c r="N7" i="37"/>
  <c r="W7" i="37" s="1"/>
  <c r="M7" i="37"/>
  <c r="L7" i="37"/>
  <c r="V7" i="37" s="1"/>
  <c r="K7" i="37"/>
  <c r="J7" i="37"/>
  <c r="I7" i="37"/>
  <c r="H7" i="37"/>
  <c r="G7" i="37"/>
  <c r="F7" i="37"/>
  <c r="E7" i="37"/>
  <c r="D7" i="37"/>
  <c r="R7" i="37" s="1"/>
  <c r="U6" i="37"/>
  <c r="T6" i="37"/>
  <c r="Q6" i="37"/>
  <c r="P6" i="37"/>
  <c r="X6" i="37" s="1"/>
  <c r="O6" i="37"/>
  <c r="N6" i="37"/>
  <c r="W6" i="37" s="1"/>
  <c r="M6" i="37"/>
  <c r="L6" i="37"/>
  <c r="V6" i="37" s="1"/>
  <c r="K6" i="37"/>
  <c r="J6" i="37"/>
  <c r="I6" i="37"/>
  <c r="H6" i="37"/>
  <c r="G6" i="37"/>
  <c r="F6" i="37"/>
  <c r="S6" i="37" s="1"/>
  <c r="E6" i="37"/>
  <c r="D6" i="37"/>
  <c r="R6" i="37" s="1"/>
  <c r="V5" i="37"/>
  <c r="Q5" i="37"/>
  <c r="P5" i="37"/>
  <c r="X5" i="37" s="1"/>
  <c r="O5" i="37"/>
  <c r="N5" i="37"/>
  <c r="W5" i="37" s="1"/>
  <c r="M5" i="37"/>
  <c r="L5" i="37"/>
  <c r="K5" i="37"/>
  <c r="J5" i="37"/>
  <c r="U5" i="37" s="1"/>
  <c r="I5" i="37"/>
  <c r="H5" i="37"/>
  <c r="T5" i="37" s="1"/>
  <c r="G5" i="37"/>
  <c r="F5" i="37"/>
  <c r="S5" i="37" s="1"/>
  <c r="E5" i="37"/>
  <c r="D5" i="37"/>
  <c r="R5" i="37" s="1"/>
  <c r="X4" i="37"/>
  <c r="W4" i="37"/>
  <c r="V4" i="37"/>
  <c r="U4" i="37"/>
  <c r="T4" i="37"/>
  <c r="S4" i="37"/>
  <c r="Y4" i="37" s="1"/>
  <c r="AB4" i="37" s="1"/>
  <c r="AC4" i="37" s="1"/>
  <c r="AD4" i="37" s="1"/>
  <c r="R4" i="37"/>
  <c r="AB14" i="28"/>
  <c r="AB13" i="28"/>
  <c r="AB12" i="28"/>
  <c r="D164" i="23"/>
  <c r="C164" i="23"/>
  <c r="D162" i="23"/>
  <c r="B162" i="23" s="1"/>
  <c r="C162" i="23"/>
  <c r="D160" i="23"/>
  <c r="C160" i="23"/>
  <c r="D158" i="23"/>
  <c r="B158" i="23" s="1"/>
  <c r="C158" i="23"/>
  <c r="D156" i="23"/>
  <c r="C156" i="23"/>
  <c r="B156" i="23" s="1"/>
  <c r="D153" i="23"/>
  <c r="B153" i="23" s="1"/>
  <c r="C153" i="23"/>
  <c r="D151" i="23"/>
  <c r="C151" i="23"/>
  <c r="D149" i="23"/>
  <c r="B149" i="23" s="1"/>
  <c r="C149" i="23"/>
  <c r="D147" i="23"/>
  <c r="B147" i="23" s="1"/>
  <c r="C147" i="23"/>
  <c r="D145" i="23"/>
  <c r="B145" i="23" s="1"/>
  <c r="C145" i="23"/>
  <c r="D143" i="23"/>
  <c r="C143" i="23"/>
  <c r="D141" i="23"/>
  <c r="C141" i="23"/>
  <c r="D139" i="23"/>
  <c r="C139" i="23"/>
  <c r="D137" i="23"/>
  <c r="C137" i="23"/>
  <c r="D135" i="23"/>
  <c r="C135" i="23"/>
  <c r="D133" i="23"/>
  <c r="B133" i="23" s="1"/>
  <c r="C133" i="23"/>
  <c r="D131" i="23"/>
  <c r="B131" i="23" s="1"/>
  <c r="C131" i="23"/>
  <c r="D129" i="23"/>
  <c r="C129" i="23"/>
  <c r="D127" i="23"/>
  <c r="C127" i="23"/>
  <c r="D125" i="23"/>
  <c r="C125" i="23"/>
  <c r="D123" i="23"/>
  <c r="C123" i="23"/>
  <c r="D121" i="23"/>
  <c r="C121" i="23"/>
  <c r="D119" i="23"/>
  <c r="C119" i="23"/>
  <c r="D117" i="23"/>
  <c r="B117" i="23" s="1"/>
  <c r="C117" i="23"/>
  <c r="D115" i="23"/>
  <c r="B115" i="23" s="1"/>
  <c r="C115" i="23"/>
  <c r="D113" i="23"/>
  <c r="C113" i="23"/>
  <c r="D111" i="23"/>
  <c r="B111" i="23" s="1"/>
  <c r="C111" i="23"/>
  <c r="D108" i="23"/>
  <c r="C108" i="23"/>
  <c r="D106" i="23"/>
  <c r="C106" i="23"/>
  <c r="D104" i="23"/>
  <c r="C104" i="23"/>
  <c r="D102" i="23"/>
  <c r="C102" i="23"/>
  <c r="D100" i="23"/>
  <c r="B100" i="23" s="1"/>
  <c r="C100" i="23"/>
  <c r="D98" i="23"/>
  <c r="C98" i="23"/>
  <c r="D96" i="23"/>
  <c r="C96" i="23"/>
  <c r="D94" i="23"/>
  <c r="C94" i="23"/>
  <c r="D92" i="23"/>
  <c r="C92" i="23"/>
  <c r="D90" i="23"/>
  <c r="C90" i="23"/>
  <c r="D88" i="23"/>
  <c r="C88" i="23"/>
  <c r="D85" i="23"/>
  <c r="B85" i="23" s="1"/>
  <c r="C85" i="23"/>
  <c r="D83" i="23"/>
  <c r="B83" i="23" s="1"/>
  <c r="C83" i="23"/>
  <c r="D81" i="23"/>
  <c r="C81" i="23"/>
  <c r="B81" i="23"/>
  <c r="D78" i="23"/>
  <c r="C78" i="23"/>
  <c r="B78" i="23" s="1"/>
  <c r="D76" i="23"/>
  <c r="C76" i="23"/>
  <c r="D74" i="23"/>
  <c r="C74" i="23"/>
  <c r="D72" i="23"/>
  <c r="C72" i="23"/>
  <c r="D70" i="23"/>
  <c r="C70" i="23"/>
  <c r="D68" i="23"/>
  <c r="B68" i="23" s="1"/>
  <c r="C68" i="23"/>
  <c r="D65" i="23"/>
  <c r="C65" i="23"/>
  <c r="B65" i="23"/>
  <c r="D63" i="23"/>
  <c r="C63" i="23"/>
  <c r="D61" i="23"/>
  <c r="C61" i="23"/>
  <c r="D59" i="23"/>
  <c r="C59" i="23"/>
  <c r="B59" i="23" s="1"/>
  <c r="D57" i="23"/>
  <c r="C57" i="23"/>
  <c r="D55" i="23"/>
  <c r="B55" i="23" s="1"/>
  <c r="C55" i="23"/>
  <c r="D52" i="23"/>
  <c r="C52" i="23"/>
  <c r="D50" i="23"/>
  <c r="C50" i="23"/>
  <c r="D48" i="23"/>
  <c r="C48" i="23"/>
  <c r="B48" i="23" s="1"/>
  <c r="D45" i="23"/>
  <c r="B45" i="23" s="1"/>
  <c r="C45" i="23"/>
  <c r="D43" i="23"/>
  <c r="C43" i="23"/>
  <c r="D41" i="23"/>
  <c r="C41" i="23"/>
  <c r="D39" i="23"/>
  <c r="C39" i="23"/>
  <c r="D37" i="23"/>
  <c r="C37" i="23"/>
  <c r="D35" i="23"/>
  <c r="C35" i="23"/>
  <c r="D33" i="23"/>
  <c r="C33" i="23"/>
  <c r="D30" i="23"/>
  <c r="B30" i="23" s="1"/>
  <c r="C30" i="23"/>
  <c r="D28" i="23"/>
  <c r="C28" i="23"/>
  <c r="D26" i="23"/>
  <c r="B26" i="23" s="1"/>
  <c r="C26" i="23"/>
  <c r="D24" i="23"/>
  <c r="C24" i="23"/>
  <c r="D21" i="23"/>
  <c r="C21" i="23"/>
  <c r="D19" i="23"/>
  <c r="C19" i="23"/>
  <c r="D17" i="23"/>
  <c r="B17" i="23" s="1"/>
  <c r="C17" i="23"/>
  <c r="D164" i="22"/>
  <c r="C164" i="22"/>
  <c r="D162" i="22"/>
  <c r="C162" i="22"/>
  <c r="D160" i="22"/>
  <c r="B160" i="22" s="1"/>
  <c r="C160" i="22"/>
  <c r="D158" i="22"/>
  <c r="C158" i="22"/>
  <c r="B158" i="22" s="1"/>
  <c r="D156" i="22"/>
  <c r="C156" i="22"/>
  <c r="D153" i="22"/>
  <c r="C153" i="22"/>
  <c r="D151" i="22"/>
  <c r="C151" i="22"/>
  <c r="D149" i="22"/>
  <c r="C149" i="22"/>
  <c r="D147" i="22"/>
  <c r="C147" i="22"/>
  <c r="D145" i="22"/>
  <c r="C145" i="22"/>
  <c r="D143" i="22"/>
  <c r="C143" i="22"/>
  <c r="D141" i="22"/>
  <c r="C141" i="22"/>
  <c r="B141" i="22"/>
  <c r="D139" i="22"/>
  <c r="C139" i="22"/>
  <c r="D137" i="22"/>
  <c r="B137" i="22" s="1"/>
  <c r="C137" i="22"/>
  <c r="D135" i="22"/>
  <c r="C135" i="22"/>
  <c r="D133" i="22"/>
  <c r="C133" i="22"/>
  <c r="D131" i="22"/>
  <c r="C131" i="22"/>
  <c r="D129" i="22"/>
  <c r="B129" i="22" s="1"/>
  <c r="C129" i="22"/>
  <c r="D127" i="22"/>
  <c r="C127" i="22"/>
  <c r="B127" i="22"/>
  <c r="D125" i="22"/>
  <c r="C125" i="22"/>
  <c r="D123" i="22"/>
  <c r="C123" i="22"/>
  <c r="D121" i="22"/>
  <c r="C121" i="22"/>
  <c r="D119" i="22"/>
  <c r="C119" i="22"/>
  <c r="D117" i="22"/>
  <c r="C117" i="22"/>
  <c r="D115" i="22"/>
  <c r="C115" i="22"/>
  <c r="D113" i="22"/>
  <c r="B113" i="22" s="1"/>
  <c r="C113" i="22"/>
  <c r="D111" i="22"/>
  <c r="C111" i="22"/>
  <c r="B111" i="22" s="1"/>
  <c r="D108" i="22"/>
  <c r="B108" i="22" s="1"/>
  <c r="C108" i="22"/>
  <c r="D106" i="22"/>
  <c r="C106" i="22"/>
  <c r="D104" i="22"/>
  <c r="C104" i="22"/>
  <c r="D102" i="22"/>
  <c r="B102" i="22" s="1"/>
  <c r="C102" i="22"/>
  <c r="D100" i="22"/>
  <c r="C100" i="22"/>
  <c r="D98" i="22"/>
  <c r="C98" i="22"/>
  <c r="D96" i="22"/>
  <c r="B96" i="22" s="1"/>
  <c r="C96" i="22"/>
  <c r="D94" i="22"/>
  <c r="C94" i="22"/>
  <c r="D92" i="22"/>
  <c r="B92" i="22" s="1"/>
  <c r="C92" i="22"/>
  <c r="D90" i="22"/>
  <c r="B90" i="22" s="1"/>
  <c r="C90" i="22"/>
  <c r="D88" i="22"/>
  <c r="C88" i="22"/>
  <c r="B88" i="22" s="1"/>
  <c r="D85" i="22"/>
  <c r="B85" i="22" s="1"/>
  <c r="C85" i="22"/>
  <c r="D83" i="22"/>
  <c r="C83" i="22"/>
  <c r="D81" i="22"/>
  <c r="C81" i="22"/>
  <c r="D78" i="22"/>
  <c r="B78" i="22" s="1"/>
  <c r="C78" i="22"/>
  <c r="D76" i="22"/>
  <c r="C76" i="22"/>
  <c r="D74" i="22"/>
  <c r="C74" i="22"/>
  <c r="D72" i="22"/>
  <c r="C72" i="22"/>
  <c r="D70" i="22"/>
  <c r="C70" i="22"/>
  <c r="D68" i="22"/>
  <c r="C68" i="22"/>
  <c r="B68" i="22" s="1"/>
  <c r="D65" i="22"/>
  <c r="C65" i="22"/>
  <c r="D63" i="22"/>
  <c r="C63" i="22"/>
  <c r="D61" i="22"/>
  <c r="C61" i="22"/>
  <c r="D59" i="22"/>
  <c r="C59" i="22"/>
  <c r="D57" i="22"/>
  <c r="B57" i="22" s="1"/>
  <c r="C57" i="22"/>
  <c r="D55" i="22"/>
  <c r="C55" i="22"/>
  <c r="D52" i="22"/>
  <c r="C52" i="22"/>
  <c r="B52" i="22" s="1"/>
  <c r="D50" i="22"/>
  <c r="C50" i="22"/>
  <c r="D48" i="22"/>
  <c r="B48" i="22" s="1"/>
  <c r="C48" i="22"/>
  <c r="D45" i="22"/>
  <c r="C45" i="22"/>
  <c r="D43" i="22"/>
  <c r="B43" i="22" s="1"/>
  <c r="C43" i="22"/>
  <c r="D41" i="22"/>
  <c r="B41" i="22" s="1"/>
  <c r="C41" i="22"/>
  <c r="D39" i="22"/>
  <c r="C39" i="22"/>
  <c r="D37" i="22"/>
  <c r="C37" i="22"/>
  <c r="D35" i="22"/>
  <c r="B35" i="22" s="1"/>
  <c r="C35" i="22"/>
  <c r="D33" i="22"/>
  <c r="C33" i="22"/>
  <c r="B33" i="22" s="1"/>
  <c r="D30" i="22"/>
  <c r="C30" i="22"/>
  <c r="D28" i="22"/>
  <c r="C28" i="22"/>
  <c r="D26" i="22"/>
  <c r="C26" i="22"/>
  <c r="D24" i="22"/>
  <c r="C24" i="22"/>
  <c r="D21" i="22"/>
  <c r="C21" i="22"/>
  <c r="B21" i="22" s="1"/>
  <c r="D19" i="22"/>
  <c r="C19" i="22"/>
  <c r="D17" i="22"/>
  <c r="C17" i="22"/>
  <c r="B17" i="22" s="1"/>
  <c r="D164" i="21"/>
  <c r="C164" i="21"/>
  <c r="D162" i="21"/>
  <c r="C162" i="21"/>
  <c r="D160" i="21"/>
  <c r="C160" i="21"/>
  <c r="D158" i="21"/>
  <c r="C158" i="21"/>
  <c r="B158" i="21" s="1"/>
  <c r="D156" i="21"/>
  <c r="B156" i="21" s="1"/>
  <c r="C156" i="21"/>
  <c r="D153" i="21"/>
  <c r="C153" i="21"/>
  <c r="B153" i="21"/>
  <c r="D151" i="21"/>
  <c r="C151" i="21"/>
  <c r="D149" i="21"/>
  <c r="C149" i="21"/>
  <c r="D147" i="21"/>
  <c r="C147" i="21"/>
  <c r="B147" i="21"/>
  <c r="D145" i="21"/>
  <c r="C145" i="21"/>
  <c r="D143" i="21"/>
  <c r="B143" i="21" s="1"/>
  <c r="C143" i="21"/>
  <c r="D141" i="21"/>
  <c r="B141" i="21" s="1"/>
  <c r="C141" i="21"/>
  <c r="D139" i="21"/>
  <c r="C139" i="21"/>
  <c r="D137" i="21"/>
  <c r="C137" i="21"/>
  <c r="B137" i="21" s="1"/>
  <c r="D135" i="21"/>
  <c r="C135" i="21"/>
  <c r="D133" i="21"/>
  <c r="C133" i="21"/>
  <c r="D131" i="21"/>
  <c r="C131" i="21"/>
  <c r="D129" i="21"/>
  <c r="C129" i="21"/>
  <c r="D127" i="21"/>
  <c r="C127" i="21"/>
  <c r="D125" i="21"/>
  <c r="C125" i="21"/>
  <c r="B125" i="21" s="1"/>
  <c r="D123" i="21"/>
  <c r="C123" i="21"/>
  <c r="B123" i="21"/>
  <c r="D121" i="21"/>
  <c r="B121" i="21" s="1"/>
  <c r="C121" i="21"/>
  <c r="D119" i="21"/>
  <c r="C119" i="21"/>
  <c r="D117" i="21"/>
  <c r="B117" i="21" s="1"/>
  <c r="C117" i="21"/>
  <c r="D115" i="21"/>
  <c r="C115" i="21"/>
  <c r="D113" i="21"/>
  <c r="C113" i="21"/>
  <c r="D111" i="21"/>
  <c r="C111" i="21"/>
  <c r="D108" i="21"/>
  <c r="C108" i="21"/>
  <c r="B108" i="21"/>
  <c r="D106" i="21"/>
  <c r="C106" i="21"/>
  <c r="D104" i="21"/>
  <c r="C104" i="21"/>
  <c r="D102" i="21"/>
  <c r="C102" i="21"/>
  <c r="D100" i="21"/>
  <c r="C100" i="21"/>
  <c r="B100" i="21" s="1"/>
  <c r="D98" i="21"/>
  <c r="B98" i="21" s="1"/>
  <c r="C98" i="21"/>
  <c r="D96" i="21"/>
  <c r="C96" i="21"/>
  <c r="D94" i="21"/>
  <c r="C94" i="21"/>
  <c r="D92" i="21"/>
  <c r="C92" i="21"/>
  <c r="B92" i="21" s="1"/>
  <c r="D90" i="21"/>
  <c r="B90" i="21" s="1"/>
  <c r="C90" i="21"/>
  <c r="D88" i="21"/>
  <c r="C88" i="21"/>
  <c r="D85" i="21"/>
  <c r="C85" i="21"/>
  <c r="B85" i="21" s="1"/>
  <c r="D83" i="21"/>
  <c r="C83" i="21"/>
  <c r="D81" i="21"/>
  <c r="B81" i="21" s="1"/>
  <c r="C81" i="21"/>
  <c r="D78" i="21"/>
  <c r="C78" i="21"/>
  <c r="D76" i="21"/>
  <c r="C76" i="21"/>
  <c r="D74" i="21"/>
  <c r="C74" i="21"/>
  <c r="D72" i="21"/>
  <c r="C72" i="21"/>
  <c r="D70" i="21"/>
  <c r="B70" i="21" s="1"/>
  <c r="C70" i="21"/>
  <c r="D68" i="21"/>
  <c r="B68" i="21" s="1"/>
  <c r="C68" i="21"/>
  <c r="D65" i="21"/>
  <c r="C65" i="21"/>
  <c r="D63" i="21"/>
  <c r="C63" i="21"/>
  <c r="D61" i="21"/>
  <c r="C61" i="21"/>
  <c r="D59" i="21"/>
  <c r="C59" i="21"/>
  <c r="D57" i="21"/>
  <c r="C57" i="21"/>
  <c r="D55" i="21"/>
  <c r="C55" i="21"/>
  <c r="B55" i="21"/>
  <c r="D52" i="21"/>
  <c r="B52" i="21" s="1"/>
  <c r="C52" i="21"/>
  <c r="D50" i="21"/>
  <c r="C50" i="21"/>
  <c r="D48" i="21"/>
  <c r="C48" i="21"/>
  <c r="D45" i="21"/>
  <c r="B45" i="21" s="1"/>
  <c r="C45" i="21"/>
  <c r="D43" i="21"/>
  <c r="C43" i="21"/>
  <c r="D41" i="21"/>
  <c r="C41" i="21"/>
  <c r="D39" i="21"/>
  <c r="C39" i="21"/>
  <c r="D37" i="21"/>
  <c r="C37" i="21"/>
  <c r="B37" i="21" s="1"/>
  <c r="D35" i="21"/>
  <c r="C35" i="21"/>
  <c r="B35" i="21" s="1"/>
  <c r="D33" i="21"/>
  <c r="C33" i="21"/>
  <c r="D30" i="21"/>
  <c r="C30" i="21"/>
  <c r="B30" i="21" s="1"/>
  <c r="D28" i="21"/>
  <c r="C28" i="21"/>
  <c r="D26" i="21"/>
  <c r="C26" i="21"/>
  <c r="D24" i="21"/>
  <c r="C24" i="21"/>
  <c r="D21" i="21"/>
  <c r="C21" i="21"/>
  <c r="B21" i="21" s="1"/>
  <c r="D19" i="21"/>
  <c r="C19" i="21"/>
  <c r="B19" i="21"/>
  <c r="D17" i="21"/>
  <c r="B17" i="21" s="1"/>
  <c r="C17" i="21"/>
  <c r="D164" i="20"/>
  <c r="C164" i="20"/>
  <c r="D162" i="20"/>
  <c r="C162" i="20"/>
  <c r="B162" i="20" s="1"/>
  <c r="D160" i="20"/>
  <c r="C160" i="20"/>
  <c r="D158" i="20"/>
  <c r="C158" i="20"/>
  <c r="D156" i="20"/>
  <c r="C156" i="20"/>
  <c r="D153" i="20"/>
  <c r="B153" i="20" s="1"/>
  <c r="C153" i="20"/>
  <c r="D151" i="20"/>
  <c r="B151" i="20" s="1"/>
  <c r="C151" i="20"/>
  <c r="D149" i="20"/>
  <c r="C149" i="20"/>
  <c r="D147" i="20"/>
  <c r="C147" i="20"/>
  <c r="D145" i="20"/>
  <c r="C145" i="20"/>
  <c r="D143" i="20"/>
  <c r="C143" i="20"/>
  <c r="D141" i="20"/>
  <c r="C141" i="20"/>
  <c r="D139" i="20"/>
  <c r="C139" i="20"/>
  <c r="D137" i="20"/>
  <c r="C137" i="20"/>
  <c r="B137" i="20"/>
  <c r="D135" i="20"/>
  <c r="C135" i="20"/>
  <c r="B135" i="20" s="1"/>
  <c r="D133" i="20"/>
  <c r="C133" i="20"/>
  <c r="D131" i="20"/>
  <c r="C131" i="20"/>
  <c r="B131" i="20" s="1"/>
  <c r="D129" i="20"/>
  <c r="C129" i="20"/>
  <c r="D127" i="20"/>
  <c r="C127" i="20"/>
  <c r="B127" i="20" s="1"/>
  <c r="D125" i="20"/>
  <c r="C125" i="20"/>
  <c r="D123" i="20"/>
  <c r="C123" i="20"/>
  <c r="D121" i="20"/>
  <c r="C121" i="20"/>
  <c r="D119" i="20"/>
  <c r="C119" i="20"/>
  <c r="B119" i="20" s="1"/>
  <c r="D117" i="20"/>
  <c r="C117" i="20"/>
  <c r="D115" i="20"/>
  <c r="C115" i="20"/>
  <c r="D113" i="20"/>
  <c r="C113" i="20"/>
  <c r="D111" i="20"/>
  <c r="C111" i="20"/>
  <c r="D108" i="20"/>
  <c r="C108" i="20"/>
  <c r="D106" i="20"/>
  <c r="C106" i="20"/>
  <c r="D104" i="20"/>
  <c r="B104" i="20" s="1"/>
  <c r="C104" i="20"/>
  <c r="D102" i="20"/>
  <c r="C102" i="20"/>
  <c r="B102" i="20"/>
  <c r="D100" i="20"/>
  <c r="C100" i="20"/>
  <c r="D98" i="20"/>
  <c r="C98" i="20"/>
  <c r="D96" i="20"/>
  <c r="C96" i="20"/>
  <c r="D94" i="20"/>
  <c r="B94" i="20" s="1"/>
  <c r="C94" i="20"/>
  <c r="D92" i="20"/>
  <c r="B92" i="20" s="1"/>
  <c r="C92" i="20"/>
  <c r="D90" i="20"/>
  <c r="C90" i="20"/>
  <c r="D88" i="20"/>
  <c r="C88" i="20"/>
  <c r="B88" i="20"/>
  <c r="D85" i="20"/>
  <c r="C85" i="20"/>
  <c r="B85" i="20"/>
  <c r="D83" i="20"/>
  <c r="B83" i="20" s="1"/>
  <c r="C83" i="20"/>
  <c r="D81" i="20"/>
  <c r="B81" i="20" s="1"/>
  <c r="C81" i="20"/>
  <c r="D78" i="20"/>
  <c r="C78" i="20"/>
  <c r="B78" i="20" s="1"/>
  <c r="D76" i="20"/>
  <c r="C76" i="20"/>
  <c r="D74" i="20"/>
  <c r="C74" i="20"/>
  <c r="D72" i="20"/>
  <c r="C72" i="20"/>
  <c r="D70" i="20"/>
  <c r="C70" i="20"/>
  <c r="B70" i="20"/>
  <c r="D68" i="20"/>
  <c r="B68" i="20" s="1"/>
  <c r="C68" i="20"/>
  <c r="D65" i="20"/>
  <c r="C65" i="20"/>
  <c r="D63" i="20"/>
  <c r="C63" i="20"/>
  <c r="B63" i="20" s="1"/>
  <c r="D61" i="20"/>
  <c r="B61" i="20" s="1"/>
  <c r="C61" i="20"/>
  <c r="D59" i="20"/>
  <c r="C59" i="20"/>
  <c r="D57" i="20"/>
  <c r="C57" i="20"/>
  <c r="D55" i="20"/>
  <c r="C55" i="20"/>
  <c r="D52" i="20"/>
  <c r="C52" i="20"/>
  <c r="B52" i="20"/>
  <c r="D50" i="20"/>
  <c r="B50" i="20" s="1"/>
  <c r="C50" i="20"/>
  <c r="D48" i="20"/>
  <c r="C48" i="20"/>
  <c r="B48" i="20" s="1"/>
  <c r="D45" i="20"/>
  <c r="C45" i="20"/>
  <c r="D43" i="20"/>
  <c r="C43" i="20"/>
  <c r="B43" i="20" s="1"/>
  <c r="D41" i="20"/>
  <c r="C41" i="20"/>
  <c r="D39" i="20"/>
  <c r="C39" i="20"/>
  <c r="D37" i="20"/>
  <c r="C37" i="20"/>
  <c r="D35" i="20"/>
  <c r="B35" i="20" s="1"/>
  <c r="C35" i="20"/>
  <c r="D33" i="20"/>
  <c r="C33" i="20"/>
  <c r="D30" i="20"/>
  <c r="C30" i="20"/>
  <c r="D28" i="20"/>
  <c r="C28" i="20"/>
  <c r="B28" i="20" s="1"/>
  <c r="D26" i="20"/>
  <c r="C26" i="20"/>
  <c r="D24" i="20"/>
  <c r="C24" i="20"/>
  <c r="D21" i="20"/>
  <c r="B21" i="20" s="1"/>
  <c r="C21" i="20"/>
  <c r="D19" i="20"/>
  <c r="C19" i="20"/>
  <c r="D17" i="20"/>
  <c r="B17" i="20" s="1"/>
  <c r="C17" i="20"/>
  <c r="D164" i="19"/>
  <c r="C164" i="19"/>
  <c r="D162" i="19"/>
  <c r="C162" i="19"/>
  <c r="D160" i="19"/>
  <c r="C160" i="19"/>
  <c r="D158" i="19"/>
  <c r="C158" i="19"/>
  <c r="D156" i="19"/>
  <c r="C156" i="19"/>
  <c r="D153" i="19"/>
  <c r="C153" i="19"/>
  <c r="D151" i="19"/>
  <c r="C151" i="19"/>
  <c r="D149" i="19"/>
  <c r="C149" i="19"/>
  <c r="D147" i="19"/>
  <c r="B147" i="19" s="1"/>
  <c r="C147" i="19"/>
  <c r="D145" i="19"/>
  <c r="C145" i="19"/>
  <c r="D143" i="19"/>
  <c r="C143" i="19"/>
  <c r="D141" i="19"/>
  <c r="C141" i="19"/>
  <c r="D139" i="19"/>
  <c r="C139" i="19"/>
  <c r="D137" i="19"/>
  <c r="C137" i="19"/>
  <c r="D135" i="19"/>
  <c r="C135" i="19"/>
  <c r="D133" i="19"/>
  <c r="B133" i="19" s="1"/>
  <c r="C133" i="19"/>
  <c r="D131" i="19"/>
  <c r="B131" i="19" s="1"/>
  <c r="C131" i="19"/>
  <c r="D129" i="19"/>
  <c r="C129" i="19"/>
  <c r="D127" i="19"/>
  <c r="B127" i="19" s="1"/>
  <c r="C127" i="19"/>
  <c r="D125" i="19"/>
  <c r="C125" i="19"/>
  <c r="D123" i="19"/>
  <c r="C123" i="19"/>
  <c r="D121" i="19"/>
  <c r="C121" i="19"/>
  <c r="D119" i="19"/>
  <c r="C119" i="19"/>
  <c r="D117" i="19"/>
  <c r="C117" i="19"/>
  <c r="D115" i="19"/>
  <c r="C115" i="19"/>
  <c r="D113" i="19"/>
  <c r="C113" i="19"/>
  <c r="D111" i="19"/>
  <c r="C111" i="19"/>
  <c r="D108" i="19"/>
  <c r="C108" i="19"/>
  <c r="D106" i="19"/>
  <c r="C106" i="19"/>
  <c r="D104" i="19"/>
  <c r="C104" i="19"/>
  <c r="D102" i="19"/>
  <c r="C102" i="19"/>
  <c r="D100" i="19"/>
  <c r="B100" i="19" s="1"/>
  <c r="C100" i="19"/>
  <c r="D98" i="19"/>
  <c r="B98" i="19" s="1"/>
  <c r="C98" i="19"/>
  <c r="D96" i="19"/>
  <c r="C96" i="19"/>
  <c r="B96" i="19" s="1"/>
  <c r="D94" i="19"/>
  <c r="C94" i="19"/>
  <c r="D92" i="19"/>
  <c r="C92" i="19"/>
  <c r="B92" i="19" s="1"/>
  <c r="D90" i="19"/>
  <c r="B90" i="19" s="1"/>
  <c r="C90" i="19"/>
  <c r="D88" i="19"/>
  <c r="C88" i="19"/>
  <c r="D85" i="19"/>
  <c r="C85" i="19"/>
  <c r="D83" i="19"/>
  <c r="C83" i="19"/>
  <c r="D81" i="19"/>
  <c r="C81" i="19"/>
  <c r="D78" i="19"/>
  <c r="C78" i="19"/>
  <c r="D76" i="19"/>
  <c r="C76" i="19"/>
  <c r="D74" i="19"/>
  <c r="C74" i="19"/>
  <c r="D72" i="19"/>
  <c r="B72" i="19" s="1"/>
  <c r="C72" i="19"/>
  <c r="D70" i="19"/>
  <c r="C70" i="19"/>
  <c r="D68" i="19"/>
  <c r="C68" i="19"/>
  <c r="D65" i="19"/>
  <c r="C65" i="19"/>
  <c r="D63" i="19"/>
  <c r="C63" i="19"/>
  <c r="D61" i="19"/>
  <c r="C61" i="19"/>
  <c r="D59" i="19"/>
  <c r="C59" i="19"/>
  <c r="D57" i="19"/>
  <c r="C57" i="19"/>
  <c r="B57" i="19" s="1"/>
  <c r="D55" i="19"/>
  <c r="C55" i="19"/>
  <c r="D52" i="19"/>
  <c r="C52" i="19"/>
  <c r="D50" i="19"/>
  <c r="C50" i="19"/>
  <c r="D48" i="19"/>
  <c r="C48" i="19"/>
  <c r="D45" i="19"/>
  <c r="C45" i="19"/>
  <c r="D43" i="19"/>
  <c r="C43" i="19"/>
  <c r="D41" i="19"/>
  <c r="C41" i="19"/>
  <c r="D39" i="19"/>
  <c r="C39" i="19"/>
  <c r="D37" i="19"/>
  <c r="C37" i="19"/>
  <c r="D35" i="19"/>
  <c r="C35" i="19"/>
  <c r="D33" i="19"/>
  <c r="C33" i="19"/>
  <c r="D30" i="19"/>
  <c r="B30" i="19" s="1"/>
  <c r="C30" i="19"/>
  <c r="D28" i="19"/>
  <c r="C28" i="19"/>
  <c r="D26" i="19"/>
  <c r="C26" i="19"/>
  <c r="D24" i="19"/>
  <c r="B24" i="19" s="1"/>
  <c r="C24" i="19"/>
  <c r="D21" i="19"/>
  <c r="C21" i="19"/>
  <c r="D19" i="19"/>
  <c r="C19" i="19"/>
  <c r="D17" i="19"/>
  <c r="C17" i="19"/>
  <c r="D164" i="18"/>
  <c r="B164" i="18" s="1"/>
  <c r="C164" i="18"/>
  <c r="D162" i="18"/>
  <c r="B162" i="18" s="1"/>
  <c r="C162" i="18"/>
  <c r="D160" i="18"/>
  <c r="C160" i="18"/>
  <c r="B160" i="18" s="1"/>
  <c r="D158" i="18"/>
  <c r="C158" i="18"/>
  <c r="D156" i="18"/>
  <c r="C156" i="18"/>
  <c r="B156" i="18" s="1"/>
  <c r="D153" i="18"/>
  <c r="C153" i="18"/>
  <c r="B153" i="18" s="1"/>
  <c r="D151" i="18"/>
  <c r="C151" i="18"/>
  <c r="D149" i="18"/>
  <c r="C149" i="18"/>
  <c r="D147" i="18"/>
  <c r="B147" i="18" s="1"/>
  <c r="C147" i="18"/>
  <c r="D145" i="18"/>
  <c r="C145" i="18"/>
  <c r="D143" i="18"/>
  <c r="C143" i="18"/>
  <c r="D141" i="18"/>
  <c r="B141" i="18" s="1"/>
  <c r="C141" i="18"/>
  <c r="D139" i="18"/>
  <c r="C139" i="18"/>
  <c r="D137" i="18"/>
  <c r="C137" i="18"/>
  <c r="D135" i="18"/>
  <c r="C135" i="18"/>
  <c r="D133" i="18"/>
  <c r="C133" i="18"/>
  <c r="D131" i="18"/>
  <c r="C131" i="18"/>
  <c r="D129" i="18"/>
  <c r="C129" i="18"/>
  <c r="B129" i="18"/>
  <c r="D127" i="18"/>
  <c r="B127" i="18" s="1"/>
  <c r="C127" i="18"/>
  <c r="D125" i="18"/>
  <c r="C125" i="18"/>
  <c r="D123" i="18"/>
  <c r="C123" i="18"/>
  <c r="D121" i="18"/>
  <c r="C121" i="18"/>
  <c r="D119" i="18"/>
  <c r="B119" i="18" s="1"/>
  <c r="C119" i="18"/>
  <c r="D117" i="18"/>
  <c r="B117" i="18" s="1"/>
  <c r="C117" i="18"/>
  <c r="D115" i="18"/>
  <c r="C115" i="18"/>
  <c r="D113" i="18"/>
  <c r="B113" i="18" s="1"/>
  <c r="C113" i="18"/>
  <c r="D111" i="18"/>
  <c r="C111" i="18"/>
  <c r="B111" i="18" s="1"/>
  <c r="D108" i="18"/>
  <c r="B108" i="18" s="1"/>
  <c r="C108" i="18"/>
  <c r="D106" i="18"/>
  <c r="C106" i="18"/>
  <c r="D104" i="18"/>
  <c r="C104" i="18"/>
  <c r="D102" i="18"/>
  <c r="C102" i="18"/>
  <c r="D100" i="18"/>
  <c r="C100" i="18"/>
  <c r="D98" i="18"/>
  <c r="C98" i="18"/>
  <c r="D96" i="18"/>
  <c r="B96" i="18" s="1"/>
  <c r="C96" i="18"/>
  <c r="D94" i="18"/>
  <c r="B94" i="18" s="1"/>
  <c r="C94" i="18"/>
  <c r="D92" i="18"/>
  <c r="C92" i="18"/>
  <c r="D90" i="18"/>
  <c r="C90" i="18"/>
  <c r="D88" i="18"/>
  <c r="C88" i="18"/>
  <c r="D85" i="18"/>
  <c r="C85" i="18"/>
  <c r="B85" i="18" s="1"/>
  <c r="D83" i="18"/>
  <c r="B83" i="18" s="1"/>
  <c r="C83" i="18"/>
  <c r="D81" i="18"/>
  <c r="B81" i="18" s="1"/>
  <c r="C81" i="18"/>
  <c r="D78" i="18"/>
  <c r="C78" i="18"/>
  <c r="D76" i="18"/>
  <c r="B76" i="18" s="1"/>
  <c r="C76" i="18"/>
  <c r="D74" i="18"/>
  <c r="C74" i="18"/>
  <c r="D72" i="18"/>
  <c r="B72" i="18" s="1"/>
  <c r="C72" i="18"/>
  <c r="D70" i="18"/>
  <c r="C70" i="18"/>
  <c r="B70" i="18" s="1"/>
  <c r="D68" i="18"/>
  <c r="C68" i="18"/>
  <c r="D65" i="18"/>
  <c r="C65" i="18"/>
  <c r="D63" i="18"/>
  <c r="C63" i="18"/>
  <c r="D61" i="18"/>
  <c r="C61" i="18"/>
  <c r="D59" i="18"/>
  <c r="C59" i="18"/>
  <c r="D57" i="18"/>
  <c r="C57" i="18"/>
  <c r="D55" i="18"/>
  <c r="C55" i="18"/>
  <c r="D52" i="18"/>
  <c r="C52" i="18"/>
  <c r="B52" i="18" s="1"/>
  <c r="D50" i="18"/>
  <c r="C50" i="18"/>
  <c r="B50" i="18" s="1"/>
  <c r="D48" i="18"/>
  <c r="B48" i="18" s="1"/>
  <c r="C48" i="18"/>
  <c r="D45" i="18"/>
  <c r="C45" i="18"/>
  <c r="D43" i="18"/>
  <c r="B43" i="18" s="1"/>
  <c r="C43" i="18"/>
  <c r="D41" i="18"/>
  <c r="C41" i="18"/>
  <c r="D39" i="18"/>
  <c r="C39" i="18"/>
  <c r="B39" i="18" s="1"/>
  <c r="D37" i="18"/>
  <c r="C37" i="18"/>
  <c r="D35" i="18"/>
  <c r="C35" i="18"/>
  <c r="D33" i="18"/>
  <c r="C33" i="18"/>
  <c r="D30" i="18"/>
  <c r="C30" i="18"/>
  <c r="D28" i="18"/>
  <c r="B28" i="18" s="1"/>
  <c r="C28" i="18"/>
  <c r="D26" i="18"/>
  <c r="C26" i="18"/>
  <c r="D24" i="18"/>
  <c r="C24" i="18"/>
  <c r="D21" i="18"/>
  <c r="C21" i="18"/>
  <c r="D19" i="18"/>
  <c r="C19" i="18"/>
  <c r="D17" i="18"/>
  <c r="C17" i="18"/>
  <c r="D164" i="2"/>
  <c r="B164" i="2" s="1"/>
  <c r="C164" i="2"/>
  <c r="D162" i="2"/>
  <c r="C162" i="2"/>
  <c r="D160" i="2"/>
  <c r="B160" i="2" s="1"/>
  <c r="C160" i="2"/>
  <c r="D158" i="2"/>
  <c r="B158" i="2" s="1"/>
  <c r="C158" i="2"/>
  <c r="D156" i="2"/>
  <c r="B156" i="2" s="1"/>
  <c r="C156" i="2"/>
  <c r="D153" i="2"/>
  <c r="B153" i="2" s="1"/>
  <c r="C153" i="2"/>
  <c r="D151" i="2"/>
  <c r="B151" i="2" s="1"/>
  <c r="C151" i="2"/>
  <c r="D149" i="2"/>
  <c r="C149" i="2"/>
  <c r="B149" i="2" s="1"/>
  <c r="D147" i="2"/>
  <c r="C147" i="2"/>
  <c r="D145" i="2"/>
  <c r="C145" i="2"/>
  <c r="D143" i="2"/>
  <c r="C143" i="2"/>
  <c r="D141" i="2"/>
  <c r="B141" i="2" s="1"/>
  <c r="C141" i="2"/>
  <c r="D139" i="2"/>
  <c r="B139" i="2" s="1"/>
  <c r="C139" i="2"/>
  <c r="D137" i="2"/>
  <c r="B137" i="2" s="1"/>
  <c r="C137" i="2"/>
  <c r="D135" i="2"/>
  <c r="C135" i="2"/>
  <c r="B135" i="2" s="1"/>
  <c r="D133" i="2"/>
  <c r="C133" i="2"/>
  <c r="B133" i="2" s="1"/>
  <c r="D131" i="2"/>
  <c r="C131" i="2"/>
  <c r="B131" i="2" s="1"/>
  <c r="D129" i="2"/>
  <c r="C129" i="2"/>
  <c r="D127" i="2"/>
  <c r="C127" i="2"/>
  <c r="D125" i="2"/>
  <c r="B125" i="2" s="1"/>
  <c r="C125" i="2"/>
  <c r="D123" i="2"/>
  <c r="B123" i="2" s="1"/>
  <c r="C123" i="2"/>
  <c r="D121" i="2"/>
  <c r="C121" i="2"/>
  <c r="B121" i="2"/>
  <c r="D119" i="2"/>
  <c r="C119" i="2"/>
  <c r="D117" i="2"/>
  <c r="C117" i="2"/>
  <c r="B117" i="2" s="1"/>
  <c r="D115" i="2"/>
  <c r="B115" i="2" s="1"/>
  <c r="C115" i="2"/>
  <c r="D113" i="2"/>
  <c r="C113" i="2"/>
  <c r="D111" i="2"/>
  <c r="C111" i="2"/>
  <c r="D108" i="2"/>
  <c r="B108" i="2" s="1"/>
  <c r="C108" i="2"/>
  <c r="D106" i="2"/>
  <c r="C106" i="2"/>
  <c r="B106" i="2"/>
  <c r="D104" i="2"/>
  <c r="C104" i="2"/>
  <c r="D102" i="2"/>
  <c r="C102" i="2"/>
  <c r="B102" i="2" s="1"/>
  <c r="D100" i="2"/>
  <c r="C100" i="2"/>
  <c r="D98" i="2"/>
  <c r="B98" i="2" s="1"/>
  <c r="C98" i="2"/>
  <c r="D96" i="2"/>
  <c r="C96" i="2"/>
  <c r="D94" i="2"/>
  <c r="B94" i="2" s="1"/>
  <c r="C94" i="2"/>
  <c r="D92" i="2"/>
  <c r="C92" i="2"/>
  <c r="B92" i="2"/>
  <c r="D90" i="2"/>
  <c r="C90" i="2"/>
  <c r="B90" i="2" s="1"/>
  <c r="D88" i="2"/>
  <c r="B88" i="2" s="1"/>
  <c r="C88" i="2"/>
  <c r="D85" i="2"/>
  <c r="B85" i="2" s="1"/>
  <c r="C85" i="2"/>
  <c r="D83" i="2"/>
  <c r="C83" i="2"/>
  <c r="B83" i="2" s="1"/>
  <c r="D81" i="2"/>
  <c r="B81" i="2" s="1"/>
  <c r="C81" i="2"/>
  <c r="D78" i="2"/>
  <c r="C78" i="2"/>
  <c r="D76" i="2"/>
  <c r="C76" i="2"/>
  <c r="D74" i="2"/>
  <c r="C74" i="2"/>
  <c r="B74" i="2" s="1"/>
  <c r="D72" i="2"/>
  <c r="B72" i="2" s="1"/>
  <c r="C72" i="2"/>
  <c r="D70" i="2"/>
  <c r="C70" i="2"/>
  <c r="D68" i="2"/>
  <c r="C68" i="2"/>
  <c r="B68" i="2" s="1"/>
  <c r="D65" i="2"/>
  <c r="C65" i="2"/>
  <c r="B65" i="2" s="1"/>
  <c r="D63" i="2"/>
  <c r="B63" i="2" s="1"/>
  <c r="C63" i="2"/>
  <c r="D61" i="2"/>
  <c r="C61" i="2"/>
  <c r="D59" i="2"/>
  <c r="C59" i="2"/>
  <c r="D57" i="2"/>
  <c r="B57" i="2" s="1"/>
  <c r="C57" i="2"/>
  <c r="D55" i="2"/>
  <c r="B55" i="2" s="1"/>
  <c r="C55" i="2"/>
  <c r="D52" i="2"/>
  <c r="C52" i="2"/>
  <c r="B52" i="2"/>
  <c r="D50" i="2"/>
  <c r="B50" i="2" s="1"/>
  <c r="C50" i="2"/>
  <c r="D48" i="2"/>
  <c r="C48" i="2"/>
  <c r="B48" i="2" s="1"/>
  <c r="D45" i="2"/>
  <c r="C45" i="2"/>
  <c r="D43" i="2"/>
  <c r="C43" i="2"/>
  <c r="D41" i="2"/>
  <c r="B41" i="2" s="1"/>
  <c r="C41" i="2"/>
  <c r="D39" i="2"/>
  <c r="C39" i="2"/>
  <c r="B39" i="2"/>
  <c r="D37" i="2"/>
  <c r="C37" i="2"/>
  <c r="B37" i="2"/>
  <c r="D35" i="2"/>
  <c r="C35" i="2"/>
  <c r="D33" i="2"/>
  <c r="C33" i="2"/>
  <c r="B33" i="2" s="1"/>
  <c r="D30" i="2"/>
  <c r="C30" i="2"/>
  <c r="B30" i="2" s="1"/>
  <c r="D28" i="2"/>
  <c r="C28" i="2"/>
  <c r="D26" i="2"/>
  <c r="C26" i="2"/>
  <c r="D24" i="2"/>
  <c r="C24" i="2"/>
  <c r="D21" i="2"/>
  <c r="C21" i="2"/>
  <c r="B21" i="2" s="1"/>
  <c r="D19" i="2"/>
  <c r="B19" i="2" s="1"/>
  <c r="C19" i="2"/>
  <c r="D17" i="2"/>
  <c r="B17" i="2" s="1"/>
  <c r="C17" i="2"/>
  <c r="Q7" i="28"/>
  <c r="P7" i="28"/>
  <c r="X7" i="28" s="1"/>
  <c r="O7" i="28"/>
  <c r="N7" i="28"/>
  <c r="W7" i="28" s="1"/>
  <c r="M7" i="28"/>
  <c r="L7" i="28"/>
  <c r="V7" i="28" s="1"/>
  <c r="K7" i="28"/>
  <c r="J7" i="28"/>
  <c r="U7" i="28" s="1"/>
  <c r="I7" i="28"/>
  <c r="H7" i="28"/>
  <c r="T7" i="28" s="1"/>
  <c r="G7" i="28"/>
  <c r="F7" i="28"/>
  <c r="S7" i="28" s="1"/>
  <c r="E7" i="28"/>
  <c r="D7" i="28"/>
  <c r="R7" i="28" s="1"/>
  <c r="Q6" i="28"/>
  <c r="P6" i="28"/>
  <c r="X6" i="28" s="1"/>
  <c r="O6" i="28"/>
  <c r="N6" i="28"/>
  <c r="W6" i="28" s="1"/>
  <c r="M6" i="28"/>
  <c r="L6" i="28"/>
  <c r="V6" i="28" s="1"/>
  <c r="K6" i="28"/>
  <c r="J6" i="28"/>
  <c r="U6" i="28" s="1"/>
  <c r="I6" i="28"/>
  <c r="H6" i="28"/>
  <c r="T6" i="28" s="1"/>
  <c r="G6" i="28"/>
  <c r="F6" i="28"/>
  <c r="S6" i="28" s="1"/>
  <c r="E6" i="28"/>
  <c r="D6" i="28"/>
  <c r="R6" i="28" s="1"/>
  <c r="Q5" i="28"/>
  <c r="P5" i="28"/>
  <c r="X5" i="28" s="1"/>
  <c r="O5" i="28"/>
  <c r="N5" i="28"/>
  <c r="W5" i="28" s="1"/>
  <c r="M5" i="28"/>
  <c r="L5" i="28"/>
  <c r="V5" i="28" s="1"/>
  <c r="K5" i="28"/>
  <c r="J5" i="28"/>
  <c r="U5" i="28" s="1"/>
  <c r="I5" i="28"/>
  <c r="H5" i="28"/>
  <c r="T5" i="28" s="1"/>
  <c r="G5" i="28"/>
  <c r="F5" i="28"/>
  <c r="S5" i="28" s="1"/>
  <c r="E5" i="28"/>
  <c r="D5" i="28"/>
  <c r="R5" i="28" s="1"/>
  <c r="Q4" i="28"/>
  <c r="P4" i="28"/>
  <c r="X4" i="28" s="1"/>
  <c r="O4" i="28"/>
  <c r="N4" i="28"/>
  <c r="W4" i="28" s="1"/>
  <c r="M4" i="28"/>
  <c r="L4" i="28"/>
  <c r="V4" i="28" s="1"/>
  <c r="K4" i="28"/>
  <c r="J4" i="28"/>
  <c r="U4" i="28" s="1"/>
  <c r="I4" i="28"/>
  <c r="H4" i="28"/>
  <c r="T4" i="28" s="1"/>
  <c r="G4" i="28"/>
  <c r="F4" i="28"/>
  <c r="S4" i="28" s="1"/>
  <c r="E4" i="28"/>
  <c r="D4" i="28"/>
  <c r="R4" i="28" s="1"/>
  <c r="E128" i="30"/>
  <c r="B108" i="30" l="1"/>
  <c r="B110" i="30"/>
  <c r="B124" i="30"/>
  <c r="Y10" i="37"/>
  <c r="AB10" i="37" s="1"/>
  <c r="AC10" i="37" s="1"/>
  <c r="AD10" i="37" s="1"/>
  <c r="Y9" i="37"/>
  <c r="AB9" i="37" s="1"/>
  <c r="AC9" i="37" s="1"/>
  <c r="AD9" i="37" s="1"/>
  <c r="Y5" i="37"/>
  <c r="AB5" i="37" s="1"/>
  <c r="AC5" i="37" s="1"/>
  <c r="AD5" i="37" s="1"/>
  <c r="Y6" i="37"/>
  <c r="AB6" i="37" s="1"/>
  <c r="AC6" i="37" s="1"/>
  <c r="AD6" i="37" s="1"/>
  <c r="Y7" i="37"/>
  <c r="AB7" i="37" s="1"/>
  <c r="AC7" i="37" s="1"/>
  <c r="AD7" i="37" s="1"/>
  <c r="B57" i="23"/>
  <c r="B88" i="23"/>
  <c r="B102" i="23"/>
  <c r="B43" i="23"/>
  <c r="B90" i="23"/>
  <c r="B76" i="23"/>
  <c r="B106" i="23"/>
  <c r="B123" i="23"/>
  <c r="B139" i="23"/>
  <c r="B108" i="23"/>
  <c r="B141" i="23"/>
  <c r="B127" i="23"/>
  <c r="B72" i="23"/>
  <c r="B33" i="23"/>
  <c r="B96" i="23"/>
  <c r="B129" i="23"/>
  <c r="B19" i="23"/>
  <c r="B50" i="23"/>
  <c r="B98" i="23"/>
  <c r="B164" i="23"/>
  <c r="B37" i="23"/>
  <c r="B52" i="23"/>
  <c r="B39" i="23"/>
  <c r="B61" i="22"/>
  <c r="B94" i="22"/>
  <c r="B30" i="22"/>
  <c r="B143" i="22"/>
  <c r="B76" i="22"/>
  <c r="B81" i="22"/>
  <c r="B98" i="22"/>
  <c r="B115" i="22"/>
  <c r="B145" i="22"/>
  <c r="B162" i="22"/>
  <c r="B50" i="22"/>
  <c r="B83" i="22"/>
  <c r="B147" i="22"/>
  <c r="B164" i="22"/>
  <c r="B70" i="22"/>
  <c r="B135" i="22"/>
  <c r="B39" i="22"/>
  <c r="B72" i="22"/>
  <c r="B106" i="22"/>
  <c r="B153" i="22"/>
  <c r="B125" i="22"/>
  <c r="B39" i="21"/>
  <c r="B88" i="21"/>
  <c r="B104" i="21"/>
  <c r="B24" i="21"/>
  <c r="B72" i="21"/>
  <c r="B106" i="21"/>
  <c r="B135" i="21"/>
  <c r="B74" i="21"/>
  <c r="B28" i="21"/>
  <c r="B139" i="21"/>
  <c r="B61" i="21"/>
  <c r="B78" i="21"/>
  <c r="B111" i="21"/>
  <c r="B57" i="21"/>
  <c r="B33" i="21"/>
  <c r="B48" i="21"/>
  <c r="B127" i="21"/>
  <c r="B50" i="21"/>
  <c r="B65" i="21"/>
  <c r="B115" i="21"/>
  <c r="B83" i="21"/>
  <c r="B141" i="20"/>
  <c r="B145" i="20"/>
  <c r="B160" i="20"/>
  <c r="B41" i="20"/>
  <c r="B24" i="20"/>
  <c r="B57" i="20"/>
  <c r="B117" i="20"/>
  <c r="B133" i="20"/>
  <c r="B30" i="20"/>
  <c r="B121" i="20"/>
  <c r="B149" i="20"/>
  <c r="B33" i="20"/>
  <c r="B106" i="20"/>
  <c r="B123" i="20"/>
  <c r="B65" i="20"/>
  <c r="B68" i="19"/>
  <c r="B52" i="19"/>
  <c r="B70" i="19"/>
  <c r="B50" i="19"/>
  <c r="B106" i="19"/>
  <c r="B76" i="19"/>
  <c r="B160" i="19"/>
  <c r="B61" i="19"/>
  <c r="B81" i="19"/>
  <c r="B48" i="19"/>
  <c r="B83" i="19"/>
  <c r="B19" i="19"/>
  <c r="B37" i="19"/>
  <c r="B85" i="19"/>
  <c r="B39" i="19"/>
  <c r="B135" i="19"/>
  <c r="B74" i="19"/>
  <c r="B153" i="19"/>
  <c r="B59" i="19"/>
  <c r="B139" i="19"/>
  <c r="B108" i="19"/>
  <c r="B125" i="19"/>
  <c r="B158" i="19"/>
  <c r="B28" i="19"/>
  <c r="B45" i="19"/>
  <c r="B111" i="19"/>
  <c r="B65" i="19"/>
  <c r="B129" i="19"/>
  <c r="B145" i="19"/>
  <c r="B162" i="19"/>
  <c r="B164" i="19"/>
  <c r="B35" i="19"/>
  <c r="B61" i="18"/>
  <c r="B78" i="18"/>
  <c r="B151" i="18"/>
  <c r="B17" i="18"/>
  <c r="B68" i="18"/>
  <c r="B143" i="18"/>
  <c r="B55" i="18"/>
  <c r="B88" i="18"/>
  <c r="B74" i="18"/>
  <c r="B131" i="18"/>
  <c r="B24" i="18"/>
  <c r="B41" i="18"/>
  <c r="B143" i="20"/>
  <c r="B145" i="18"/>
  <c r="B143" i="19"/>
  <c r="B147" i="20"/>
  <c r="B149" i="19"/>
  <c r="B78" i="19"/>
  <c r="B76" i="21"/>
  <c r="B76" i="2"/>
  <c r="B76" i="20"/>
  <c r="B78" i="2"/>
  <c r="B74" i="22"/>
  <c r="B72" i="20"/>
  <c r="B74" i="23"/>
  <c r="B74" i="20"/>
  <c r="B70" i="2"/>
  <c r="B70" i="23"/>
  <c r="B63" i="19"/>
  <c r="B63" i="22"/>
  <c r="B65" i="22"/>
  <c r="B65" i="18"/>
  <c r="B59" i="2"/>
  <c r="B59" i="18"/>
  <c r="B59" i="20"/>
  <c r="B61" i="23"/>
  <c r="B63" i="18"/>
  <c r="B63" i="23"/>
  <c r="B63" i="21"/>
  <c r="B61" i="2"/>
  <c r="B59" i="22"/>
  <c r="B55" i="19"/>
  <c r="B55" i="22"/>
  <c r="B57" i="18"/>
  <c r="B55" i="20"/>
  <c r="B59" i="21"/>
  <c r="B26" i="22"/>
  <c r="B26" i="18"/>
  <c r="B26" i="21"/>
  <c r="B28" i="2"/>
  <c r="B28" i="23"/>
  <c r="B26" i="19"/>
  <c r="B24" i="22"/>
  <c r="B26" i="20"/>
  <c r="B24" i="23"/>
  <c r="B21" i="19"/>
  <c r="B121" i="23"/>
  <c r="B26" i="2"/>
  <c r="B33" i="18"/>
  <c r="B121" i="22"/>
  <c r="B19" i="18"/>
  <c r="B35" i="18"/>
  <c r="B121" i="18"/>
  <c r="B30" i="18"/>
  <c r="B37" i="20"/>
  <c r="B45" i="18"/>
  <c r="B119" i="22"/>
  <c r="B43" i="2"/>
  <c r="B17" i="19"/>
  <c r="B45" i="22"/>
  <c r="B35" i="23"/>
  <c r="B21" i="18"/>
  <c r="B37" i="18"/>
  <c r="B33" i="19"/>
  <c r="B39" i="20"/>
  <c r="B19" i="22"/>
  <c r="B21" i="23"/>
  <c r="B24" i="2"/>
  <c r="B45" i="2"/>
  <c r="B113" i="23"/>
  <c r="B43" i="21"/>
  <c r="B19" i="20"/>
  <c r="B37" i="22"/>
  <c r="B28" i="22"/>
  <c r="B113" i="19"/>
  <c r="B35" i="2"/>
  <c r="B41" i="23"/>
  <c r="B115" i="19"/>
  <c r="B45" i="20"/>
  <c r="B43" i="19"/>
  <c r="B41" i="19"/>
  <c r="B117" i="19"/>
  <c r="B41" i="21"/>
  <c r="B119" i="21"/>
  <c r="B129" i="2"/>
  <c r="B104" i="19"/>
  <c r="B139" i="20"/>
  <c r="B131" i="21"/>
  <c r="B123" i="22"/>
  <c r="B143" i="2"/>
  <c r="B125" i="18"/>
  <c r="B139" i="18"/>
  <c r="B119" i="19"/>
  <c r="B100" i="20"/>
  <c r="B115" i="20"/>
  <c r="B133" i="21"/>
  <c r="B145" i="21"/>
  <c r="B149" i="22"/>
  <c r="B104" i="2"/>
  <c r="B119" i="2"/>
  <c r="B145" i="2"/>
  <c r="B98" i="18"/>
  <c r="B94" i="19"/>
  <c r="B121" i="19"/>
  <c r="B129" i="20"/>
  <c r="B156" i="20"/>
  <c r="B160" i="21"/>
  <c r="B139" i="22"/>
  <c r="B151" i="22"/>
  <c r="B143" i="23"/>
  <c r="B147" i="2"/>
  <c r="B100" i="18"/>
  <c r="B123" i="19"/>
  <c r="B158" i="20"/>
  <c r="B94" i="21"/>
  <c r="B162" i="21"/>
  <c r="B162" i="2"/>
  <c r="B115" i="18"/>
  <c r="B137" i="19"/>
  <c r="B90" i="20"/>
  <c r="B149" i="21"/>
  <c r="B100" i="22"/>
  <c r="B104" i="23"/>
  <c r="B160" i="23"/>
  <c r="B102" i="18"/>
  <c r="B158" i="18"/>
  <c r="B151" i="19"/>
  <c r="B96" i="21"/>
  <c r="B151" i="21"/>
  <c r="B164" i="21"/>
  <c r="B156" i="22"/>
  <c r="B92" i="23"/>
  <c r="B119" i="23"/>
  <c r="B90" i="18"/>
  <c r="B104" i="18"/>
  <c r="B94" i="23"/>
  <c r="B96" i="2"/>
  <c r="B113" i="21"/>
  <c r="B117" i="22"/>
  <c r="B111" i="2"/>
  <c r="B92" i="18"/>
  <c r="B106" i="18"/>
  <c r="B133" i="18"/>
  <c r="B141" i="19"/>
  <c r="B156" i="19"/>
  <c r="B108" i="20"/>
  <c r="B164" i="20"/>
  <c r="B104" i="22"/>
  <c r="B131" i="22"/>
  <c r="B135" i="23"/>
  <c r="B113" i="2"/>
  <c r="B135" i="18"/>
  <c r="B88" i="19"/>
  <c r="B96" i="20"/>
  <c r="B111" i="20"/>
  <c r="B102" i="21"/>
  <c r="B133" i="22"/>
  <c r="B137" i="23"/>
  <c r="B100" i="2"/>
  <c r="B127" i="2"/>
  <c r="B123" i="18"/>
  <c r="B137" i="18"/>
  <c r="B149" i="18"/>
  <c r="B102" i="19"/>
  <c r="B98" i="20"/>
  <c r="B113" i="20"/>
  <c r="B125" i="20"/>
  <c r="B129" i="21"/>
  <c r="B125" i="23"/>
  <c r="B151" i="23"/>
  <c r="Y5" i="28"/>
  <c r="AB5" i="28" s="1"/>
  <c r="AC5" i="28" s="1"/>
  <c r="AD5" i="28" s="1"/>
  <c r="Y4" i="28"/>
  <c r="AB4" i="28" s="1"/>
  <c r="Y6" i="28"/>
  <c r="AB6" i="28" s="1"/>
  <c r="AC6" i="28" s="1"/>
  <c r="AD6" i="28" s="1"/>
  <c r="Y7" i="28"/>
  <c r="AB7" i="28" s="1"/>
  <c r="AC7" i="28" s="1"/>
  <c r="AD7" i="28" s="1"/>
  <c r="AN152" i="30"/>
  <c r="AG152" i="30"/>
  <c r="Z152" i="30"/>
  <c r="S152" i="30"/>
  <c r="L152" i="30"/>
  <c r="G152" i="30"/>
  <c r="C152" i="30"/>
  <c r="BT150" i="30"/>
  <c r="BS150" i="30"/>
  <c r="BS149" i="30" s="1"/>
  <c r="BR150" i="30"/>
  <c r="BQ150" i="30"/>
  <c r="BQ149" i="30" s="1"/>
  <c r="BP150" i="30"/>
  <c r="BO150" i="30"/>
  <c r="BO149" i="30" s="1"/>
  <c r="BN150" i="30"/>
  <c r="BM150" i="30"/>
  <c r="BM149" i="30" s="1"/>
  <c r="BL150" i="30"/>
  <c r="BK150" i="30"/>
  <c r="BK149" i="30" s="1"/>
  <c r="BJ150" i="30"/>
  <c r="BI150" i="30"/>
  <c r="BH150" i="30"/>
  <c r="BG150" i="30"/>
  <c r="BF150" i="30"/>
  <c r="BE150" i="30"/>
  <c r="BD150" i="30"/>
  <c r="BC150" i="30"/>
  <c r="BB150" i="30"/>
  <c r="BA150" i="30"/>
  <c r="AZ150" i="30"/>
  <c r="AY150" i="30"/>
  <c r="AX150" i="30"/>
  <c r="AW150" i="30"/>
  <c r="AV150" i="30"/>
  <c r="AU150" i="30"/>
  <c r="AU149" i="30" s="1"/>
  <c r="AT150" i="30"/>
  <c r="AS150" i="30"/>
  <c r="AR150" i="30"/>
  <c r="AQ150" i="30"/>
  <c r="AP150" i="30"/>
  <c r="AO150" i="30"/>
  <c r="AN150" i="30"/>
  <c r="AM150" i="30"/>
  <c r="AL150" i="30"/>
  <c r="AK150" i="30"/>
  <c r="AJ150" i="30"/>
  <c r="AJ149" i="30" s="1"/>
  <c r="AI150" i="30"/>
  <c r="AH149" i="30" s="1"/>
  <c r="AH150" i="30"/>
  <c r="AG150" i="30"/>
  <c r="AF150" i="30"/>
  <c r="AE150" i="30"/>
  <c r="AD150" i="30"/>
  <c r="AC150" i="30"/>
  <c r="AB150" i="30"/>
  <c r="AA150" i="30"/>
  <c r="Z150" i="30"/>
  <c r="Y150" i="30"/>
  <c r="X150" i="30"/>
  <c r="W150" i="30"/>
  <c r="V150" i="30"/>
  <c r="U150" i="30"/>
  <c r="T150" i="30"/>
  <c r="S150" i="30"/>
  <c r="R150" i="30"/>
  <c r="Q150" i="30"/>
  <c r="Q149" i="30" s="1"/>
  <c r="P150" i="30"/>
  <c r="O150" i="30"/>
  <c r="O149" i="30" s="1"/>
  <c r="N150" i="30"/>
  <c r="M150" i="30"/>
  <c r="L150" i="30"/>
  <c r="K150" i="30"/>
  <c r="J150" i="30"/>
  <c r="I150" i="30"/>
  <c r="H150" i="30"/>
  <c r="H149" i="30" s="1"/>
  <c r="AL149" i="30"/>
  <c r="AF149" i="30"/>
  <c r="C11" i="27"/>
  <c r="M149" i="30" l="1"/>
  <c r="I149" i="30"/>
  <c r="BI149" i="30"/>
  <c r="S149" i="30"/>
  <c r="BF149" i="30"/>
  <c r="AB149" i="30"/>
  <c r="AN149" i="30"/>
  <c r="AC4" i="28"/>
  <c r="AD4" i="28" s="1"/>
  <c r="BB149" i="30"/>
  <c r="U149" i="30"/>
  <c r="BD149" i="30"/>
  <c r="AY149" i="30"/>
  <c r="AQ149" i="30"/>
  <c r="X149" i="30"/>
  <c r="AQ151" i="30" l="1"/>
  <c r="E107" i="30"/>
  <c r="E86" i="30"/>
  <c r="E65" i="30"/>
  <c r="E44" i="30"/>
  <c r="E23" i="30"/>
  <c r="E2" i="30"/>
  <c r="D2" i="37"/>
  <c r="C2" i="38" l="1"/>
  <c r="E2" i="38" s="1"/>
  <c r="G2" i="38" s="1"/>
  <c r="I2" i="38" s="1"/>
  <c r="K2" i="38" s="1"/>
  <c r="M2" i="38" s="1"/>
  <c r="O2" i="38" s="1"/>
  <c r="C12" i="37"/>
  <c r="BA12" i="37" s="1"/>
  <c r="F7" i="18"/>
  <c r="F7" i="19"/>
  <c r="F7" i="20"/>
  <c r="F7" i="22"/>
  <c r="F7" i="23"/>
  <c r="F7" i="2"/>
  <c r="F2" i="37" l="1"/>
  <c r="AI2" i="37"/>
  <c r="BB2" i="37"/>
  <c r="BD2" i="37" s="1"/>
  <c r="BF2" i="37" s="1"/>
  <c r="BH2" i="37" s="1"/>
  <c r="BJ2" i="37" s="1"/>
  <c r="BL2" i="37" s="1"/>
  <c r="BN2" i="37" s="1"/>
  <c r="AK2" i="37" l="1"/>
  <c r="H2" i="37"/>
  <c r="J2" i="37" l="1"/>
  <c r="AM2" i="37"/>
  <c r="L2" i="37" l="1"/>
  <c r="AO2" i="37"/>
  <c r="N2" i="37" l="1"/>
  <c r="AQ2" i="37"/>
  <c r="BA12" i="28"/>
  <c r="BO11" i="28"/>
  <c r="BN11" i="28"/>
  <c r="BM11" i="28"/>
  <c r="BL11" i="28"/>
  <c r="BK11" i="28"/>
  <c r="BJ11" i="28"/>
  <c r="BI11" i="28"/>
  <c r="BH11" i="28"/>
  <c r="BG11" i="28"/>
  <c r="BF11" i="28"/>
  <c r="BE11" i="28"/>
  <c r="BD11" i="28"/>
  <c r="BC11" i="28"/>
  <c r="BB11" i="28"/>
  <c r="AH11" i="28"/>
  <c r="AG11" i="28"/>
  <c r="Z11" i="28"/>
  <c r="Q11" i="28"/>
  <c r="P11" i="28"/>
  <c r="X11" i="28" s="1"/>
  <c r="O11" i="28"/>
  <c r="N11" i="28"/>
  <c r="W11" i="28" s="1"/>
  <c r="M11" i="28"/>
  <c r="L11" i="28"/>
  <c r="V11" i="28" s="1"/>
  <c r="K11" i="28"/>
  <c r="J11" i="28"/>
  <c r="U11" i="28" s="1"/>
  <c r="I11" i="28"/>
  <c r="H11" i="28"/>
  <c r="T11" i="28" s="1"/>
  <c r="G11" i="28"/>
  <c r="F11" i="28"/>
  <c r="S11" i="28" s="1"/>
  <c r="E11" i="28"/>
  <c r="D11" i="28"/>
  <c r="R11" i="28" s="1"/>
  <c r="BE10" i="28"/>
  <c r="BD10" i="28"/>
  <c r="AH10" i="28"/>
  <c r="AG10" i="28"/>
  <c r="Z10" i="28"/>
  <c r="G10" i="28"/>
  <c r="F10" i="28"/>
  <c r="S10" i="28" s="1"/>
  <c r="AH9" i="28"/>
  <c r="AG9" i="28"/>
  <c r="Z9" i="28"/>
  <c r="A9" i="28"/>
  <c r="A10" i="28" s="1"/>
  <c r="A11" i="28" s="1"/>
  <c r="BG8" i="28"/>
  <c r="BF8" i="28"/>
  <c r="AH8" i="28"/>
  <c r="AG8" i="28"/>
  <c r="Z8" i="28"/>
  <c r="I8" i="28"/>
  <c r="H8" i="28"/>
  <c r="T8" i="28" s="1"/>
  <c r="D2" i="28"/>
  <c r="C2" i="24" s="1"/>
  <c r="E2" i="24" s="1"/>
  <c r="G2" i="24" s="1"/>
  <c r="I2" i="24" s="1"/>
  <c r="K2" i="24" s="1"/>
  <c r="M2" i="24" s="1"/>
  <c r="O2" i="24" s="1"/>
  <c r="I2" i="27"/>
  <c r="R166" i="18"/>
  <c r="R166" i="19"/>
  <c r="R166" i="20"/>
  <c r="R166" i="21"/>
  <c r="R166" i="22"/>
  <c r="R166" i="23"/>
  <c r="R166" i="2"/>
  <c r="Q166" i="18"/>
  <c r="Q166" i="19"/>
  <c r="Q166" i="20"/>
  <c r="Q166" i="21"/>
  <c r="Q166" i="22"/>
  <c r="Q166" i="23"/>
  <c r="Q166" i="2"/>
  <c r="P166" i="18"/>
  <c r="P166" i="19"/>
  <c r="P166" i="20"/>
  <c r="P166" i="21"/>
  <c r="P166" i="22"/>
  <c r="P166" i="23"/>
  <c r="P166" i="2"/>
  <c r="N166" i="18"/>
  <c r="N166" i="19"/>
  <c r="N166" i="20"/>
  <c r="N166" i="21"/>
  <c r="N166" i="22"/>
  <c r="N166" i="23"/>
  <c r="N166" i="2"/>
  <c r="M166" i="18"/>
  <c r="M166" i="19"/>
  <c r="M166" i="20"/>
  <c r="M166" i="21"/>
  <c r="M166" i="22"/>
  <c r="M166" i="23"/>
  <c r="M166" i="2"/>
  <c r="L166" i="18"/>
  <c r="L166" i="19"/>
  <c r="L166" i="20"/>
  <c r="L166" i="21"/>
  <c r="L166" i="22"/>
  <c r="L166" i="23"/>
  <c r="L166" i="2"/>
  <c r="K166" i="18"/>
  <c r="K166" i="19"/>
  <c r="K166" i="20"/>
  <c r="K166" i="21"/>
  <c r="K166" i="22"/>
  <c r="K166" i="23"/>
  <c r="K166" i="2"/>
  <c r="J166" i="18"/>
  <c r="J166" i="19"/>
  <c r="J166" i="20"/>
  <c r="J166" i="21"/>
  <c r="J166" i="22"/>
  <c r="J166" i="23"/>
  <c r="J166" i="2"/>
  <c r="I166" i="18"/>
  <c r="I166" i="19"/>
  <c r="I166" i="20"/>
  <c r="I166" i="21"/>
  <c r="I166" i="22"/>
  <c r="I166" i="23"/>
  <c r="I166" i="2"/>
  <c r="H166" i="18"/>
  <c r="H166" i="19"/>
  <c r="H166" i="20"/>
  <c r="H166" i="21"/>
  <c r="H166" i="22"/>
  <c r="H166" i="23"/>
  <c r="H166" i="2"/>
  <c r="G166" i="18"/>
  <c r="G166" i="19"/>
  <c r="G166" i="20"/>
  <c r="G166" i="21"/>
  <c r="G166" i="22"/>
  <c r="G166" i="23"/>
  <c r="G166" i="2"/>
  <c r="F166" i="18"/>
  <c r="F166" i="19"/>
  <c r="F166" i="20"/>
  <c r="F166" i="21"/>
  <c r="F166" i="22"/>
  <c r="F166" i="23"/>
  <c r="F166" i="2"/>
  <c r="G168" i="18"/>
  <c r="G168" i="19"/>
  <c r="G168" i="20"/>
  <c r="G168" i="21"/>
  <c r="G168" i="22"/>
  <c r="G168" i="23"/>
  <c r="G168" i="2"/>
  <c r="F168" i="18"/>
  <c r="F168" i="19"/>
  <c r="F168" i="20"/>
  <c r="F168" i="21"/>
  <c r="F168" i="22"/>
  <c r="F168" i="23"/>
  <c r="F168" i="2"/>
  <c r="P2" i="37" l="1"/>
  <c r="AU2" i="37" s="1"/>
  <c r="AS2" i="37"/>
  <c r="Y11" i="28"/>
  <c r="AB11" i="28" s="1"/>
  <c r="AC11" i="28" s="1"/>
  <c r="AI2" i="28"/>
  <c r="BB2" i="28"/>
  <c r="BD2" i="28" s="1"/>
  <c r="BF2" i="28" s="1"/>
  <c r="BH2" i="28" s="1"/>
  <c r="BJ2" i="28" s="1"/>
  <c r="BL2" i="28" s="1"/>
  <c r="BN2" i="28" s="1"/>
  <c r="BF168" i="20"/>
  <c r="BF168" i="19"/>
  <c r="BD168" i="19"/>
  <c r="AY168" i="19"/>
  <c r="AW168" i="19"/>
  <c r="BF168" i="18"/>
  <c r="BD168" i="18"/>
  <c r="AW168" i="18"/>
  <c r="AY168" i="18"/>
  <c r="BF168" i="2"/>
  <c r="BD168" i="2"/>
  <c r="AY168" i="2"/>
  <c r="AW168" i="2"/>
  <c r="BD168" i="23"/>
  <c r="BF168" i="23"/>
  <c r="AW168" i="23"/>
  <c r="AY168" i="23"/>
  <c r="AW168" i="22"/>
  <c r="AY168" i="22"/>
  <c r="AD168" i="21"/>
  <c r="BF168" i="21"/>
  <c r="BD168" i="21"/>
  <c r="AY168" i="21"/>
  <c r="AW168" i="21"/>
  <c r="AW168" i="20"/>
  <c r="AY168" i="20"/>
  <c r="BD168" i="20"/>
  <c r="BN10" i="28" l="1"/>
  <c r="P10" i="28"/>
  <c r="BO10" i="28"/>
  <c r="Q10" i="28"/>
  <c r="X10" i="28" l="1"/>
  <c r="W168" i="2"/>
  <c r="V168" i="2"/>
  <c r="K8" i="28" l="1"/>
  <c r="BI8" i="28"/>
  <c r="BB9" i="28" l="1"/>
  <c r="D9" i="28"/>
  <c r="BC9" i="28"/>
  <c r="E9" i="28"/>
  <c r="BB10" i="28"/>
  <c r="D10" i="28"/>
  <c r="BC10" i="28"/>
  <c r="E10" i="28"/>
  <c r="D8" i="28"/>
  <c r="BB8" i="28"/>
  <c r="E8" i="28"/>
  <c r="BC8" i="28"/>
  <c r="R9" i="28" l="1"/>
  <c r="BI10" i="28"/>
  <c r="K10" i="28"/>
  <c r="R10" i="28"/>
  <c r="BM9" i="28"/>
  <c r="O9" i="28"/>
  <c r="BF9" i="28"/>
  <c r="H9" i="28"/>
  <c r="BG9" i="28"/>
  <c r="I9" i="28"/>
  <c r="BF10" i="28"/>
  <c r="H10" i="28"/>
  <c r="Q8" i="28"/>
  <c r="BO8" i="28"/>
  <c r="BG10" i="28"/>
  <c r="I10" i="28"/>
  <c r="R8" i="28"/>
  <c r="T9" i="28" l="1"/>
  <c r="T10" i="28"/>
  <c r="BH8" i="28" l="1"/>
  <c r="J8" i="28"/>
  <c r="U8" i="28" s="1"/>
  <c r="BR169" i="18" l="1"/>
  <c r="BP169" i="18"/>
  <c r="BN169" i="18"/>
  <c r="BL169" i="18"/>
  <c r="BJ169" i="18"/>
  <c r="BH169" i="18"/>
  <c r="BF169" i="18"/>
  <c r="BE169" i="18"/>
  <c r="BC169" i="18"/>
  <c r="BA169" i="18"/>
  <c r="AY169" i="18"/>
  <c r="AX169" i="18"/>
  <c r="AV169" i="18"/>
  <c r="AU169" i="18"/>
  <c r="AT169" i="18"/>
  <c r="AR169" i="18"/>
  <c r="AQ169" i="18"/>
  <c r="AP169" i="18"/>
  <c r="AN169" i="18"/>
  <c r="AM169" i="18"/>
  <c r="AK169" i="18"/>
  <c r="AI169" i="18"/>
  <c r="AG169" i="18"/>
  <c r="AE169" i="18"/>
  <c r="AC169" i="18"/>
  <c r="AB169" i="18"/>
  <c r="AA169" i="18"/>
  <c r="Y169" i="18"/>
  <c r="X169" i="18"/>
  <c r="W169" i="18"/>
  <c r="U169" i="18"/>
  <c r="T169" i="18"/>
  <c r="R169" i="18"/>
  <c r="P169" i="18"/>
  <c r="N169" i="18"/>
  <c r="L169" i="18"/>
  <c r="J169" i="18"/>
  <c r="I169" i="18"/>
  <c r="H169" i="18"/>
  <c r="BR169" i="19"/>
  <c r="BP169" i="19"/>
  <c r="BN169" i="19"/>
  <c r="BL169" i="19"/>
  <c r="BJ169" i="19"/>
  <c r="BH169" i="19"/>
  <c r="BF169" i="19"/>
  <c r="BE169" i="19"/>
  <c r="BC169" i="19"/>
  <c r="BA169" i="19"/>
  <c r="AY169" i="19"/>
  <c r="AX169" i="19"/>
  <c r="AV169" i="19"/>
  <c r="AU169" i="19"/>
  <c r="AT169" i="19"/>
  <c r="AR169" i="19"/>
  <c r="AQ169" i="19"/>
  <c r="AP169" i="19"/>
  <c r="AN169" i="19"/>
  <c r="AM169" i="19"/>
  <c r="AK169" i="19"/>
  <c r="AI169" i="19"/>
  <c r="AG169" i="19"/>
  <c r="AE169" i="19"/>
  <c r="AC169" i="19"/>
  <c r="AB169" i="19"/>
  <c r="AA169" i="19"/>
  <c r="Y169" i="19"/>
  <c r="X169" i="19"/>
  <c r="W169" i="19"/>
  <c r="U169" i="19"/>
  <c r="T169" i="19"/>
  <c r="R169" i="19"/>
  <c r="P169" i="19"/>
  <c r="N169" i="19"/>
  <c r="L169" i="19"/>
  <c r="J169" i="19"/>
  <c r="I169" i="19"/>
  <c r="H169" i="19"/>
  <c r="BR169" i="20"/>
  <c r="BP169" i="20"/>
  <c r="BN169" i="20"/>
  <c r="BL169" i="20"/>
  <c r="BJ169" i="20"/>
  <c r="BH169" i="20"/>
  <c r="BF169" i="20"/>
  <c r="BE169" i="20"/>
  <c r="BC169" i="20"/>
  <c r="BA169" i="20"/>
  <c r="AY169" i="20"/>
  <c r="AX169" i="20"/>
  <c r="AV169" i="20"/>
  <c r="AU169" i="20"/>
  <c r="AT169" i="20"/>
  <c r="AR169" i="20"/>
  <c r="AQ169" i="20"/>
  <c r="AP169" i="20"/>
  <c r="AN169" i="20"/>
  <c r="AM169" i="20"/>
  <c r="AK169" i="20"/>
  <c r="AI169" i="20"/>
  <c r="AG169" i="20"/>
  <c r="AE169" i="20"/>
  <c r="AC169" i="20"/>
  <c r="AB169" i="20"/>
  <c r="AA169" i="20"/>
  <c r="Y169" i="20"/>
  <c r="X169" i="20"/>
  <c r="W169" i="20"/>
  <c r="U169" i="20"/>
  <c r="T169" i="20"/>
  <c r="R169" i="20"/>
  <c r="P169" i="20"/>
  <c r="N169" i="20"/>
  <c r="L169" i="20"/>
  <c r="J169" i="20"/>
  <c r="I169" i="20"/>
  <c r="H169" i="20"/>
  <c r="BR169" i="21"/>
  <c r="BP169" i="21"/>
  <c r="BN169" i="21"/>
  <c r="BL169" i="21"/>
  <c r="BJ169" i="21"/>
  <c r="BH169" i="21"/>
  <c r="BF169" i="21"/>
  <c r="BE169" i="21"/>
  <c r="BC169" i="21"/>
  <c r="BA169" i="21"/>
  <c r="AY169" i="21"/>
  <c r="AX169" i="21"/>
  <c r="AV169" i="21"/>
  <c r="AU169" i="21"/>
  <c r="AT169" i="21"/>
  <c r="AR169" i="21"/>
  <c r="AQ169" i="21"/>
  <c r="AP169" i="21"/>
  <c r="AN169" i="21"/>
  <c r="AM169" i="21"/>
  <c r="AK169" i="21"/>
  <c r="AI169" i="21"/>
  <c r="AG169" i="21"/>
  <c r="AE169" i="21"/>
  <c r="AC169" i="21"/>
  <c r="AB169" i="21"/>
  <c r="AA169" i="21"/>
  <c r="Y169" i="21"/>
  <c r="X169" i="21"/>
  <c r="W169" i="21"/>
  <c r="U169" i="21"/>
  <c r="T169" i="21"/>
  <c r="R169" i="21"/>
  <c r="P169" i="21"/>
  <c r="N169" i="21"/>
  <c r="L169" i="21"/>
  <c r="J169" i="21"/>
  <c r="I169" i="21"/>
  <c r="H169" i="21"/>
  <c r="BR169" i="22"/>
  <c r="BP169" i="22"/>
  <c r="BN169" i="22"/>
  <c r="BL169" i="22"/>
  <c r="BJ169" i="22"/>
  <c r="BH169" i="22"/>
  <c r="BF169" i="22"/>
  <c r="BE169" i="22"/>
  <c r="BC169" i="22"/>
  <c r="BA169" i="22"/>
  <c r="AY169" i="22"/>
  <c r="AX169" i="22"/>
  <c r="AV169" i="22"/>
  <c r="AU169" i="22"/>
  <c r="AT169" i="22"/>
  <c r="AR169" i="22"/>
  <c r="AQ169" i="22"/>
  <c r="AP169" i="22"/>
  <c r="AN169" i="22"/>
  <c r="AM169" i="22"/>
  <c r="AK169" i="22"/>
  <c r="AI169" i="22"/>
  <c r="AG169" i="22"/>
  <c r="AE169" i="22"/>
  <c r="AC169" i="22"/>
  <c r="AB169" i="22"/>
  <c r="AA169" i="22"/>
  <c r="Y169" i="22"/>
  <c r="X169" i="22"/>
  <c r="W169" i="22"/>
  <c r="U169" i="22"/>
  <c r="T169" i="22"/>
  <c r="R169" i="22"/>
  <c r="P169" i="22"/>
  <c r="N169" i="22"/>
  <c r="L169" i="22"/>
  <c r="J169" i="22"/>
  <c r="I169" i="22"/>
  <c r="H169" i="22"/>
  <c r="BR169" i="23"/>
  <c r="BP169" i="23"/>
  <c r="BN169" i="23"/>
  <c r="BL169" i="23"/>
  <c r="BJ169" i="23"/>
  <c r="BH169" i="23"/>
  <c r="BF169" i="23"/>
  <c r="BE169" i="23"/>
  <c r="BC169" i="23"/>
  <c r="BA169" i="23"/>
  <c r="AY169" i="23"/>
  <c r="AX169" i="23"/>
  <c r="AV169" i="23"/>
  <c r="AU169" i="23"/>
  <c r="AT169" i="23"/>
  <c r="AR169" i="23"/>
  <c r="AQ169" i="23"/>
  <c r="AP169" i="23"/>
  <c r="AN169" i="23"/>
  <c r="AM169" i="23"/>
  <c r="AK169" i="23"/>
  <c r="AI169" i="23"/>
  <c r="AG169" i="23"/>
  <c r="AE169" i="23"/>
  <c r="AC169" i="23"/>
  <c r="AB169" i="23"/>
  <c r="AA169" i="23"/>
  <c r="Y169" i="23"/>
  <c r="X169" i="23"/>
  <c r="W169" i="23"/>
  <c r="U169" i="23"/>
  <c r="T169" i="23"/>
  <c r="R169" i="23"/>
  <c r="P169" i="23"/>
  <c r="N169" i="23"/>
  <c r="L169" i="23"/>
  <c r="J169" i="23"/>
  <c r="I169" i="23"/>
  <c r="H169" i="23"/>
  <c r="BR169" i="2"/>
  <c r="BP169" i="2"/>
  <c r="BN169" i="2"/>
  <c r="BL169" i="2"/>
  <c r="BJ169" i="2"/>
  <c r="BH169" i="2"/>
  <c r="BF169" i="2"/>
  <c r="BE169" i="2"/>
  <c r="BC169" i="2"/>
  <c r="BA169" i="2"/>
  <c r="AY169" i="2"/>
  <c r="AX169" i="2"/>
  <c r="AV169" i="2"/>
  <c r="AU169" i="2"/>
  <c r="AT169" i="2"/>
  <c r="AR169" i="2"/>
  <c r="AQ169" i="2"/>
  <c r="AP169" i="2"/>
  <c r="AN169" i="2"/>
  <c r="AM169" i="2"/>
  <c r="AK169" i="2"/>
  <c r="AI169" i="2"/>
  <c r="AG169" i="2"/>
  <c r="AE169" i="2"/>
  <c r="AC169" i="2"/>
  <c r="AA169" i="2"/>
  <c r="Y169" i="2"/>
  <c r="W169" i="2"/>
  <c r="U169" i="2"/>
  <c r="T169" i="2"/>
  <c r="R169" i="2"/>
  <c r="P169" i="2"/>
  <c r="N169" i="2"/>
  <c r="L169" i="2"/>
  <c r="J169" i="2"/>
  <c r="I169" i="2"/>
  <c r="H169" i="2"/>
  <c r="F9" i="2"/>
  <c r="BH9" i="28" l="1"/>
  <c r="J9" i="28"/>
  <c r="K9" i="28"/>
  <c r="BI9" i="28"/>
  <c r="BH10" i="28"/>
  <c r="J10" i="28"/>
  <c r="U10" i="28" s="1"/>
  <c r="AG5" i="4"/>
  <c r="AG6" i="4"/>
  <c r="H3" i="22" s="1"/>
  <c r="AG7" i="4"/>
  <c r="I3" i="22" s="1"/>
  <c r="AG8" i="4"/>
  <c r="J3" i="22" s="1"/>
  <c r="AG9" i="4"/>
  <c r="K3" i="22" s="1"/>
  <c r="AG10" i="4"/>
  <c r="L3" i="22" s="1"/>
  <c r="AG11" i="4"/>
  <c r="M3" i="22" s="1"/>
  <c r="AG12" i="4"/>
  <c r="N3" i="22" s="1"/>
  <c r="AG13" i="4"/>
  <c r="O3" i="22" s="1"/>
  <c r="AG14" i="4"/>
  <c r="P3" i="22" s="1"/>
  <c r="AG15" i="4"/>
  <c r="Q3" i="22" s="1"/>
  <c r="AG16" i="4"/>
  <c r="R3" i="22" s="1"/>
  <c r="AG17" i="4"/>
  <c r="S3" i="22" s="1"/>
  <c r="AG18" i="4"/>
  <c r="T3" i="22" s="1"/>
  <c r="AG19" i="4"/>
  <c r="U3" i="22" s="1"/>
  <c r="AG20" i="4"/>
  <c r="V3" i="22" s="1"/>
  <c r="AG21" i="4"/>
  <c r="W3" i="22" s="1"/>
  <c r="AG22" i="4"/>
  <c r="X3" i="22" s="1"/>
  <c r="AG23" i="4"/>
  <c r="Y3" i="22" s="1"/>
  <c r="AG24" i="4"/>
  <c r="Z3" i="22" s="1"/>
  <c r="AG25" i="4"/>
  <c r="AA3" i="22" s="1"/>
  <c r="AG26" i="4"/>
  <c r="AB3" i="22" s="1"/>
  <c r="AG27" i="4"/>
  <c r="AC3" i="22" s="1"/>
  <c r="AG28" i="4"/>
  <c r="AD3" i="22" s="1"/>
  <c r="AG29" i="4"/>
  <c r="AE3" i="22" s="1"/>
  <c r="AG30" i="4"/>
  <c r="AF3" i="22" s="1"/>
  <c r="AG31" i="4"/>
  <c r="AG3" i="22" s="1"/>
  <c r="AG32" i="4"/>
  <c r="AH3" i="22" s="1"/>
  <c r="AG33" i="4"/>
  <c r="AI3" i="22" s="1"/>
  <c r="AG34" i="4"/>
  <c r="AJ3" i="22" s="1"/>
  <c r="AG35" i="4"/>
  <c r="AK3" i="22" s="1"/>
  <c r="AG36" i="4"/>
  <c r="AL3" i="22" s="1"/>
  <c r="AG37" i="4"/>
  <c r="AM3" i="22" s="1"/>
  <c r="AG38" i="4"/>
  <c r="AN3" i="22" s="1"/>
  <c r="AG39" i="4"/>
  <c r="AO3" i="22" s="1"/>
  <c r="AG40" i="4"/>
  <c r="AP3" i="22" s="1"/>
  <c r="AG41" i="4"/>
  <c r="AQ3" i="22" s="1"/>
  <c r="AG42" i="4"/>
  <c r="AR3" i="22" s="1"/>
  <c r="AG43" i="4"/>
  <c r="AS3" i="22" s="1"/>
  <c r="AG44" i="4"/>
  <c r="AT3" i="22" s="1"/>
  <c r="AG45" i="4"/>
  <c r="AU3" i="22" s="1"/>
  <c r="AG46" i="4"/>
  <c r="AV3" i="22" s="1"/>
  <c r="AG47" i="4"/>
  <c r="AW3" i="22" s="1"/>
  <c r="AG48" i="4"/>
  <c r="AX3" i="22" s="1"/>
  <c r="AG49" i="4"/>
  <c r="AY3" i="22" s="1"/>
  <c r="AG50" i="4"/>
  <c r="AZ3" i="22" s="1"/>
  <c r="AG51" i="4"/>
  <c r="BA3" i="22" s="1"/>
  <c r="AG52" i="4"/>
  <c r="BB3" i="22" s="1"/>
  <c r="AG53" i="4"/>
  <c r="BC3" i="22" s="1"/>
  <c r="AG54" i="4"/>
  <c r="BD3" i="22" s="1"/>
  <c r="AG55" i="4"/>
  <c r="BE3" i="22" s="1"/>
  <c r="AG56" i="4"/>
  <c r="BF3" i="22" s="1"/>
  <c r="AG57" i="4"/>
  <c r="BG3" i="22" s="1"/>
  <c r="AG58" i="4"/>
  <c r="BH3" i="22" s="1"/>
  <c r="AG59" i="4"/>
  <c r="BI3" i="22" s="1"/>
  <c r="AG60" i="4"/>
  <c r="BJ3" i="22" s="1"/>
  <c r="AG61" i="4"/>
  <c r="BK3" i="22" s="1"/>
  <c r="AG62" i="4"/>
  <c r="BL3" i="22" s="1"/>
  <c r="AG63" i="4"/>
  <c r="BM3" i="22" s="1"/>
  <c r="AG64" i="4"/>
  <c r="BN3" i="22" s="1"/>
  <c r="AG65" i="4"/>
  <c r="BO3" i="22" s="1"/>
  <c r="AG66" i="4"/>
  <c r="BP3" i="22" s="1"/>
  <c r="AN5" i="4"/>
  <c r="G5" i="23" s="1"/>
  <c r="AN6" i="4"/>
  <c r="AN7" i="4"/>
  <c r="AN8" i="4"/>
  <c r="J5" i="23" s="1"/>
  <c r="AN9" i="4"/>
  <c r="K5" i="23" s="1"/>
  <c r="AN10" i="4"/>
  <c r="AN11" i="4"/>
  <c r="M5" i="23" s="1"/>
  <c r="AN12" i="4"/>
  <c r="AN13" i="4"/>
  <c r="O5" i="23" s="1"/>
  <c r="AN14" i="4"/>
  <c r="AN15" i="4"/>
  <c r="Q5" i="23" s="1"/>
  <c r="AN16" i="4"/>
  <c r="R5" i="23" s="1"/>
  <c r="AN17" i="4"/>
  <c r="S5" i="23" s="1"/>
  <c r="AN18" i="4"/>
  <c r="T5" i="23" s="1"/>
  <c r="AN19" i="4"/>
  <c r="U5" i="23" s="1"/>
  <c r="AN20" i="4"/>
  <c r="AN21" i="4"/>
  <c r="W5" i="23" s="1"/>
  <c r="AN22" i="4"/>
  <c r="AN23" i="4"/>
  <c r="Y5" i="23" s="1"/>
  <c r="AN24" i="4"/>
  <c r="Z5" i="23" s="1"/>
  <c r="AN25" i="4"/>
  <c r="AN26" i="4"/>
  <c r="AB5" i="23" s="1"/>
  <c r="AN27" i="4"/>
  <c r="AC5" i="23" s="1"/>
  <c r="AN28" i="4"/>
  <c r="AN29" i="4"/>
  <c r="AE5" i="23" s="1"/>
  <c r="AN30" i="4"/>
  <c r="AN31" i="4"/>
  <c r="AG5" i="23" s="1"/>
  <c r="AN32" i="4"/>
  <c r="AH5" i="23" s="1"/>
  <c r="AN33" i="4"/>
  <c r="AI5" i="23" s="1"/>
  <c r="AN34" i="4"/>
  <c r="AJ5" i="23" s="1"/>
  <c r="AN35" i="4"/>
  <c r="AK5" i="23" s="1"/>
  <c r="AN36" i="4"/>
  <c r="AN37" i="4"/>
  <c r="AM5" i="23" s="1"/>
  <c r="AN38" i="4"/>
  <c r="AN39" i="4"/>
  <c r="AO5" i="23" s="1"/>
  <c r="AN40" i="4"/>
  <c r="AP5" i="23" s="1"/>
  <c r="AN41" i="4"/>
  <c r="AQ5" i="23" s="1"/>
  <c r="AN42" i="4"/>
  <c r="AR5" i="23" s="1"/>
  <c r="AN43" i="4"/>
  <c r="AS5" i="23" s="1"/>
  <c r="AN44" i="4"/>
  <c r="AN45" i="4"/>
  <c r="AU5" i="23" s="1"/>
  <c r="AN46" i="4"/>
  <c r="AN47" i="4"/>
  <c r="AW5" i="23" s="1"/>
  <c r="AN48" i="4"/>
  <c r="AX5" i="23" s="1"/>
  <c r="AN49" i="4"/>
  <c r="AY5" i="23" s="1"/>
  <c r="AN50" i="4"/>
  <c r="AZ5" i="23" s="1"/>
  <c r="AN51" i="4"/>
  <c r="BA5" i="23" s="1"/>
  <c r="AN52" i="4"/>
  <c r="BB5" i="23" s="1"/>
  <c r="AN53" i="4"/>
  <c r="BC5" i="23" s="1"/>
  <c r="AN54" i="4"/>
  <c r="BD5" i="23" s="1"/>
  <c r="AN55" i="4"/>
  <c r="BE5" i="23" s="1"/>
  <c r="AN56" i="4"/>
  <c r="BF5" i="23" s="1"/>
  <c r="AN57" i="4"/>
  <c r="BG5" i="23" s="1"/>
  <c r="AN58" i="4"/>
  <c r="BH5" i="23" s="1"/>
  <c r="AN59" i="4"/>
  <c r="BI5" i="23" s="1"/>
  <c r="AN60" i="4"/>
  <c r="AN61" i="4"/>
  <c r="BK5" i="23" s="1"/>
  <c r="AN62" i="4"/>
  <c r="AN63" i="4"/>
  <c r="AN64" i="4"/>
  <c r="AN65" i="4"/>
  <c r="AN66" i="4"/>
  <c r="BR5" i="23" s="1"/>
  <c r="AM5" i="4"/>
  <c r="G3" i="23" s="1"/>
  <c r="AM6" i="4"/>
  <c r="H3" i="23" s="1"/>
  <c r="AM7" i="4"/>
  <c r="I3" i="23" s="1"/>
  <c r="AM8" i="4"/>
  <c r="J3" i="23" s="1"/>
  <c r="AM9" i="4"/>
  <c r="K3" i="23" s="1"/>
  <c r="AM10" i="4"/>
  <c r="L3" i="23" s="1"/>
  <c r="AM11" i="4"/>
  <c r="M3" i="23" s="1"/>
  <c r="AM12" i="4"/>
  <c r="N3" i="23" s="1"/>
  <c r="AM13" i="4"/>
  <c r="O3" i="23" s="1"/>
  <c r="AM14" i="4"/>
  <c r="P3" i="23" s="1"/>
  <c r="AM15" i="4"/>
  <c r="Q3" i="23" s="1"/>
  <c r="AM16" i="4"/>
  <c r="R3" i="23" s="1"/>
  <c r="AM17" i="4"/>
  <c r="S3" i="23" s="1"/>
  <c r="AM18" i="4"/>
  <c r="T3" i="23" s="1"/>
  <c r="AM19" i="4"/>
  <c r="U3" i="23" s="1"/>
  <c r="AM20" i="4"/>
  <c r="V3" i="23" s="1"/>
  <c r="AM21" i="4"/>
  <c r="W3" i="23" s="1"/>
  <c r="AM22" i="4"/>
  <c r="X3" i="23" s="1"/>
  <c r="AM23" i="4"/>
  <c r="Y3" i="23" s="1"/>
  <c r="AM24" i="4"/>
  <c r="Z3" i="23" s="1"/>
  <c r="AM25" i="4"/>
  <c r="AA3" i="23" s="1"/>
  <c r="AM26" i="4"/>
  <c r="AB3" i="23" s="1"/>
  <c r="AM27" i="4"/>
  <c r="AC3" i="23" s="1"/>
  <c r="AM28" i="4"/>
  <c r="AD3" i="23" s="1"/>
  <c r="AM29" i="4"/>
  <c r="AE3" i="23" s="1"/>
  <c r="AM30" i="4"/>
  <c r="AF3" i="23" s="1"/>
  <c r="AM31" i="4"/>
  <c r="AG3" i="23" s="1"/>
  <c r="AM32" i="4"/>
  <c r="AH3" i="23" s="1"/>
  <c r="AM33" i="4"/>
  <c r="AI3" i="23" s="1"/>
  <c r="AM34" i="4"/>
  <c r="AJ3" i="23" s="1"/>
  <c r="AM35" i="4"/>
  <c r="AK3" i="23" s="1"/>
  <c r="AM36" i="4"/>
  <c r="AL3" i="23" s="1"/>
  <c r="AM37" i="4"/>
  <c r="AM3" i="23" s="1"/>
  <c r="AM38" i="4"/>
  <c r="AN3" i="23" s="1"/>
  <c r="AM39" i="4"/>
  <c r="AO3" i="23" s="1"/>
  <c r="AM40" i="4"/>
  <c r="AP3" i="23" s="1"/>
  <c r="AM41" i="4"/>
  <c r="AQ3" i="23" s="1"/>
  <c r="AM42" i="4"/>
  <c r="AR3" i="23" s="1"/>
  <c r="AM43" i="4"/>
  <c r="AS3" i="23" s="1"/>
  <c r="AM44" i="4"/>
  <c r="AT3" i="23" s="1"/>
  <c r="AM45" i="4"/>
  <c r="AU3" i="23" s="1"/>
  <c r="AM46" i="4"/>
  <c r="AV3" i="23" s="1"/>
  <c r="AM47" i="4"/>
  <c r="AW3" i="23" s="1"/>
  <c r="AM48" i="4"/>
  <c r="AX3" i="23" s="1"/>
  <c r="AM49" i="4"/>
  <c r="AY3" i="23" s="1"/>
  <c r="AM50" i="4"/>
  <c r="AZ3" i="23" s="1"/>
  <c r="AM51" i="4"/>
  <c r="BA3" i="23" s="1"/>
  <c r="AM52" i="4"/>
  <c r="BB3" i="23" s="1"/>
  <c r="AM53" i="4"/>
  <c r="BC3" i="23" s="1"/>
  <c r="AM54" i="4"/>
  <c r="BD3" i="23" s="1"/>
  <c r="AM55" i="4"/>
  <c r="BE3" i="23" s="1"/>
  <c r="AM56" i="4"/>
  <c r="BF3" i="23" s="1"/>
  <c r="AM57" i="4"/>
  <c r="BG3" i="23" s="1"/>
  <c r="AM58" i="4"/>
  <c r="BH3" i="23" s="1"/>
  <c r="AM59" i="4"/>
  <c r="BI3" i="23" s="1"/>
  <c r="AM60" i="4"/>
  <c r="BJ3" i="23" s="1"/>
  <c r="AM61" i="4"/>
  <c r="BK3" i="23" s="1"/>
  <c r="AM62" i="4"/>
  <c r="AM63" i="4"/>
  <c r="AM64" i="4"/>
  <c r="AM65" i="4"/>
  <c r="BO3" i="23" s="1"/>
  <c r="AM66" i="4"/>
  <c r="BR3" i="23" s="1"/>
  <c r="AH5" i="4"/>
  <c r="AH6" i="4"/>
  <c r="H5" i="22" s="1"/>
  <c r="AH7" i="4"/>
  <c r="AH8" i="4"/>
  <c r="J5" i="22" s="1"/>
  <c r="AH9" i="4"/>
  <c r="K5" i="22" s="1"/>
  <c r="AH10" i="4"/>
  <c r="L5" i="22" s="1"/>
  <c r="AH11" i="4"/>
  <c r="M5" i="22" s="1"/>
  <c r="AH12" i="4"/>
  <c r="N5" i="22" s="1"/>
  <c r="AH13" i="4"/>
  <c r="AH14" i="4"/>
  <c r="P5" i="22" s="1"/>
  <c r="AH15" i="4"/>
  <c r="AH16" i="4"/>
  <c r="R5" i="22" s="1"/>
  <c r="AH17" i="4"/>
  <c r="AH18" i="4"/>
  <c r="T5" i="22" s="1"/>
  <c r="AH19" i="4"/>
  <c r="U5" i="22" s="1"/>
  <c r="AH20" i="4"/>
  <c r="V5" i="22" s="1"/>
  <c r="AH21" i="4"/>
  <c r="AH22" i="4"/>
  <c r="X5" i="22" s="1"/>
  <c r="AH23" i="4"/>
  <c r="Y5" i="22" s="1"/>
  <c r="AH24" i="4"/>
  <c r="Z5" i="22" s="1"/>
  <c r="AH25" i="4"/>
  <c r="AA5" i="22" s="1"/>
  <c r="AH26" i="4"/>
  <c r="AB5" i="22" s="1"/>
  <c r="AH27" i="4"/>
  <c r="AC5" i="22" s="1"/>
  <c r="AH28" i="4"/>
  <c r="AD5" i="22" s="1"/>
  <c r="AH29" i="4"/>
  <c r="AH30" i="4"/>
  <c r="AH31" i="4"/>
  <c r="AH32" i="4"/>
  <c r="AH5" i="22" s="1"/>
  <c r="AH33" i="4"/>
  <c r="AI5" i="22" s="1"/>
  <c r="AH34" i="4"/>
  <c r="AJ5" i="22" s="1"/>
  <c r="AH35" i="4"/>
  <c r="AK5" i="22" s="1"/>
  <c r="AH36" i="4"/>
  <c r="AL5" i="22" s="1"/>
  <c r="AH37" i="4"/>
  <c r="AM5" i="22" s="1"/>
  <c r="AH38" i="4"/>
  <c r="AN5" i="22" s="1"/>
  <c r="AH39" i="4"/>
  <c r="AO5" i="22" s="1"/>
  <c r="AH40" i="4"/>
  <c r="AP5" i="22" s="1"/>
  <c r="AH41" i="4"/>
  <c r="AH42" i="4"/>
  <c r="AH43" i="4"/>
  <c r="AS5" i="22" s="1"/>
  <c r="AH44" i="4"/>
  <c r="AT5" i="22" s="1"/>
  <c r="AH45" i="4"/>
  <c r="AH46" i="4"/>
  <c r="AV5" i="22" s="1"/>
  <c r="AH47" i="4"/>
  <c r="AW5" i="22" s="1"/>
  <c r="AH48" i="4"/>
  <c r="AX5" i="22" s="1"/>
  <c r="AH49" i="4"/>
  <c r="AY5" i="22" s="1"/>
  <c r="AH50" i="4"/>
  <c r="AH51" i="4"/>
  <c r="AH52" i="4"/>
  <c r="BB5" i="22" s="1"/>
  <c r="AH53" i="4"/>
  <c r="BC5" i="22" s="1"/>
  <c r="AH54" i="4"/>
  <c r="BD5" i="22" s="1"/>
  <c r="AH55" i="4"/>
  <c r="BE5" i="22" s="1"/>
  <c r="AH56" i="4"/>
  <c r="BF5" i="22" s="1"/>
  <c r="AH57" i="4"/>
  <c r="BG5" i="22" s="1"/>
  <c r="AH58" i="4"/>
  <c r="BH5" i="22" s="1"/>
  <c r="AH59" i="4"/>
  <c r="BI5" i="22" s="1"/>
  <c r="AH60" i="4"/>
  <c r="BJ5" i="22" s="1"/>
  <c r="AH61" i="4"/>
  <c r="BK5" i="22" s="1"/>
  <c r="AH62" i="4"/>
  <c r="BL5" i="22" s="1"/>
  <c r="AH63" i="4"/>
  <c r="BM5" i="22" s="1"/>
  <c r="AH64" i="4"/>
  <c r="BN5" i="22" s="1"/>
  <c r="AH65" i="4"/>
  <c r="AH66" i="4"/>
  <c r="AB5" i="4"/>
  <c r="G5" i="21" s="1"/>
  <c r="AB6" i="4"/>
  <c r="H5" i="21" s="1"/>
  <c r="AB7" i="4"/>
  <c r="AB8" i="4"/>
  <c r="AB9" i="4"/>
  <c r="K5" i="21" s="1"/>
  <c r="AB10" i="4"/>
  <c r="L5" i="21" s="1"/>
  <c r="AB11" i="4"/>
  <c r="M5" i="21" s="1"/>
  <c r="AB12" i="4"/>
  <c r="N5" i="21" s="1"/>
  <c r="AB13" i="4"/>
  <c r="O5" i="21" s="1"/>
  <c r="AB14" i="4"/>
  <c r="P5" i="21" s="1"/>
  <c r="AB15" i="4"/>
  <c r="Q5" i="21" s="1"/>
  <c r="AB16" i="4"/>
  <c r="AB17" i="4"/>
  <c r="S5" i="21" s="1"/>
  <c r="AB18" i="4"/>
  <c r="T5" i="21" s="1"/>
  <c r="AB19" i="4"/>
  <c r="U5" i="21" s="1"/>
  <c r="AB20" i="4"/>
  <c r="V5" i="21" s="1"/>
  <c r="AB21" i="4"/>
  <c r="W5" i="21" s="1"/>
  <c r="AB22" i="4"/>
  <c r="X5" i="21" s="1"/>
  <c r="AB23" i="4"/>
  <c r="Y5" i="21" s="1"/>
  <c r="AB24" i="4"/>
  <c r="AB25" i="4"/>
  <c r="AA5" i="21" s="1"/>
  <c r="AB26" i="4"/>
  <c r="AB5" i="21" s="1"/>
  <c r="AB27" i="4"/>
  <c r="AC5" i="21" s="1"/>
  <c r="AB28" i="4"/>
  <c r="AD5" i="21" s="1"/>
  <c r="AB29" i="4"/>
  <c r="AB30" i="4"/>
  <c r="AF5" i="21" s="1"/>
  <c r="AB31" i="4"/>
  <c r="AG5" i="21" s="1"/>
  <c r="AB32" i="4"/>
  <c r="AB33" i="4"/>
  <c r="AI5" i="21" s="1"/>
  <c r="AB34" i="4"/>
  <c r="AJ5" i="21" s="1"/>
  <c r="AB35" i="4"/>
  <c r="AK5" i="21" s="1"/>
  <c r="AB36" i="4"/>
  <c r="AL5" i="21" s="1"/>
  <c r="AB37" i="4"/>
  <c r="AB38" i="4"/>
  <c r="AN5" i="21" s="1"/>
  <c r="AB39" i="4"/>
  <c r="AO5" i="21" s="1"/>
  <c r="AB40" i="4"/>
  <c r="AB41" i="4"/>
  <c r="AQ5" i="21" s="1"/>
  <c r="AB42" i="4"/>
  <c r="AR5" i="21" s="1"/>
  <c r="AB43" i="4"/>
  <c r="AB44" i="4"/>
  <c r="AT5" i="21" s="1"/>
  <c r="AB45" i="4"/>
  <c r="AU5" i="21" s="1"/>
  <c r="AB46" i="4"/>
  <c r="AV5" i="21" s="1"/>
  <c r="AB47" i="4"/>
  <c r="AW5" i="21" s="1"/>
  <c r="AB48" i="4"/>
  <c r="AB49" i="4"/>
  <c r="AY5" i="21" s="1"/>
  <c r="AB50" i="4"/>
  <c r="AZ5" i="21" s="1"/>
  <c r="AB51" i="4"/>
  <c r="BA5" i="21" s="1"/>
  <c r="AB52" i="4"/>
  <c r="BB5" i="21" s="1"/>
  <c r="AB53" i="4"/>
  <c r="AB54" i="4"/>
  <c r="BD5" i="21" s="1"/>
  <c r="AB55" i="4"/>
  <c r="BE5" i="21" s="1"/>
  <c r="AB56" i="4"/>
  <c r="AB57" i="4"/>
  <c r="BG5" i="21" s="1"/>
  <c r="AB58" i="4"/>
  <c r="BH5" i="21" s="1"/>
  <c r="AB59" i="4"/>
  <c r="BI5" i="21" s="1"/>
  <c r="AB60" i="4"/>
  <c r="BJ5" i="21" s="1"/>
  <c r="AB61" i="4"/>
  <c r="BK5" i="21" s="1"/>
  <c r="AB62" i="4"/>
  <c r="BL5" i="21" s="1"/>
  <c r="AB63" i="4"/>
  <c r="BM5" i="21" s="1"/>
  <c r="AB64" i="4"/>
  <c r="AB65" i="4"/>
  <c r="BO5" i="21" s="1"/>
  <c r="AB66" i="4"/>
  <c r="BP5" i="21" s="1"/>
  <c r="AA5" i="4"/>
  <c r="G3" i="21" s="1"/>
  <c r="AA6" i="4"/>
  <c r="H3" i="21" s="1"/>
  <c r="AA7" i="4"/>
  <c r="I3" i="21" s="1"/>
  <c r="AA8" i="4"/>
  <c r="J3" i="21" s="1"/>
  <c r="AA9" i="4"/>
  <c r="K3" i="21" s="1"/>
  <c r="AA10" i="4"/>
  <c r="L3" i="21" s="1"/>
  <c r="AA11" i="4"/>
  <c r="M3" i="21" s="1"/>
  <c r="AA12" i="4"/>
  <c r="N3" i="21" s="1"/>
  <c r="AA13" i="4"/>
  <c r="O3" i="21" s="1"/>
  <c r="AA14" i="4"/>
  <c r="P3" i="21" s="1"/>
  <c r="AA15" i="4"/>
  <c r="Q3" i="21" s="1"/>
  <c r="AA16" i="4"/>
  <c r="R3" i="21" s="1"/>
  <c r="AA17" i="4"/>
  <c r="S3" i="21" s="1"/>
  <c r="AA18" i="4"/>
  <c r="T3" i="21" s="1"/>
  <c r="AA19" i="4"/>
  <c r="U3" i="21" s="1"/>
  <c r="AA20" i="4"/>
  <c r="V3" i="21" s="1"/>
  <c r="AA21" i="4"/>
  <c r="W3" i="21" s="1"/>
  <c r="AA22" i="4"/>
  <c r="X3" i="21" s="1"/>
  <c r="AA23" i="4"/>
  <c r="Y3" i="21" s="1"/>
  <c r="AA24" i="4"/>
  <c r="Z3" i="21" s="1"/>
  <c r="AA25" i="4"/>
  <c r="AA3" i="21" s="1"/>
  <c r="AA26" i="4"/>
  <c r="AB3" i="21" s="1"/>
  <c r="AA27" i="4"/>
  <c r="AC3" i="21" s="1"/>
  <c r="AA28" i="4"/>
  <c r="AD3" i="21" s="1"/>
  <c r="AA29" i="4"/>
  <c r="AE3" i="21" s="1"/>
  <c r="AA30" i="4"/>
  <c r="AF3" i="21" s="1"/>
  <c r="AA31" i="4"/>
  <c r="AG3" i="21" s="1"/>
  <c r="AA32" i="4"/>
  <c r="AH3" i="21" s="1"/>
  <c r="AA33" i="4"/>
  <c r="AI3" i="21" s="1"/>
  <c r="AA34" i="4"/>
  <c r="AJ3" i="21" s="1"/>
  <c r="AA35" i="4"/>
  <c r="AK3" i="21" s="1"/>
  <c r="AA36" i="4"/>
  <c r="AL3" i="21" s="1"/>
  <c r="AA37" i="4"/>
  <c r="AM3" i="21" s="1"/>
  <c r="AA38" i="4"/>
  <c r="AN3" i="21" s="1"/>
  <c r="AA39" i="4"/>
  <c r="AO3" i="21" s="1"/>
  <c r="AA40" i="4"/>
  <c r="AP3" i="21" s="1"/>
  <c r="AA41" i="4"/>
  <c r="AQ3" i="21" s="1"/>
  <c r="AA42" i="4"/>
  <c r="AR3" i="21" s="1"/>
  <c r="AA43" i="4"/>
  <c r="AS3" i="21" s="1"/>
  <c r="AA44" i="4"/>
  <c r="AT3" i="21" s="1"/>
  <c r="AA45" i="4"/>
  <c r="AU3" i="21" s="1"/>
  <c r="AA46" i="4"/>
  <c r="AV3" i="21" s="1"/>
  <c r="AA47" i="4"/>
  <c r="AW3" i="21" s="1"/>
  <c r="AA48" i="4"/>
  <c r="AX3" i="21" s="1"/>
  <c r="AA49" i="4"/>
  <c r="AY3" i="21" s="1"/>
  <c r="AA50" i="4"/>
  <c r="AZ3" i="21" s="1"/>
  <c r="AA51" i="4"/>
  <c r="BA3" i="21" s="1"/>
  <c r="AA52" i="4"/>
  <c r="BB3" i="21" s="1"/>
  <c r="AA53" i="4"/>
  <c r="BC3" i="21" s="1"/>
  <c r="AA54" i="4"/>
  <c r="BD3" i="21" s="1"/>
  <c r="AA55" i="4"/>
  <c r="BE3" i="21" s="1"/>
  <c r="AA56" i="4"/>
  <c r="BF3" i="21" s="1"/>
  <c r="AA57" i="4"/>
  <c r="BG3" i="21" s="1"/>
  <c r="AA58" i="4"/>
  <c r="BH3" i="21" s="1"/>
  <c r="AA59" i="4"/>
  <c r="BI3" i="21" s="1"/>
  <c r="AA60" i="4"/>
  <c r="BJ3" i="21" s="1"/>
  <c r="AA61" i="4"/>
  <c r="BK3" i="21" s="1"/>
  <c r="AA62" i="4"/>
  <c r="BL3" i="21" s="1"/>
  <c r="AA63" i="4"/>
  <c r="BM3" i="21" s="1"/>
  <c r="AA64" i="4"/>
  <c r="BN3" i="21" s="1"/>
  <c r="AA65" i="4"/>
  <c r="BO3" i="21" s="1"/>
  <c r="AA66" i="4"/>
  <c r="BP3" i="21" s="1"/>
  <c r="U5" i="4"/>
  <c r="G3" i="20" s="1"/>
  <c r="U6" i="4"/>
  <c r="H3" i="20" s="1"/>
  <c r="U7" i="4"/>
  <c r="I3" i="20" s="1"/>
  <c r="U8" i="4"/>
  <c r="J3" i="20" s="1"/>
  <c r="U9" i="4"/>
  <c r="K3" i="20" s="1"/>
  <c r="U10" i="4"/>
  <c r="L3" i="20" s="1"/>
  <c r="U11" i="4"/>
  <c r="M3" i="20" s="1"/>
  <c r="U12" i="4"/>
  <c r="N3" i="20" s="1"/>
  <c r="U13" i="4"/>
  <c r="O3" i="20" s="1"/>
  <c r="U14" i="4"/>
  <c r="P3" i="20" s="1"/>
  <c r="U15" i="4"/>
  <c r="Q3" i="20" s="1"/>
  <c r="U16" i="4"/>
  <c r="R3" i="20" s="1"/>
  <c r="U17" i="4"/>
  <c r="S3" i="20" s="1"/>
  <c r="U18" i="4"/>
  <c r="T3" i="20" s="1"/>
  <c r="U19" i="4"/>
  <c r="U3" i="20" s="1"/>
  <c r="U20" i="4"/>
  <c r="V3" i="20" s="1"/>
  <c r="U21" i="4"/>
  <c r="W3" i="20" s="1"/>
  <c r="U22" i="4"/>
  <c r="X3" i="20" s="1"/>
  <c r="U23" i="4"/>
  <c r="Y3" i="20" s="1"/>
  <c r="U24" i="4"/>
  <c r="Z3" i="20" s="1"/>
  <c r="U25" i="4"/>
  <c r="AA3" i="20" s="1"/>
  <c r="U26" i="4"/>
  <c r="AB3" i="20" s="1"/>
  <c r="U27" i="4"/>
  <c r="AC3" i="20" s="1"/>
  <c r="U28" i="4"/>
  <c r="AD3" i="20" s="1"/>
  <c r="U29" i="4"/>
  <c r="AE3" i="20" s="1"/>
  <c r="U30" i="4"/>
  <c r="AF3" i="20" s="1"/>
  <c r="U31" i="4"/>
  <c r="AG3" i="20" s="1"/>
  <c r="U32" i="4"/>
  <c r="AH3" i="20" s="1"/>
  <c r="U33" i="4"/>
  <c r="AI3" i="20" s="1"/>
  <c r="U34" i="4"/>
  <c r="AJ3" i="20" s="1"/>
  <c r="U35" i="4"/>
  <c r="AK3" i="20" s="1"/>
  <c r="U36" i="4"/>
  <c r="AL3" i="20" s="1"/>
  <c r="U37" i="4"/>
  <c r="AM3" i="20" s="1"/>
  <c r="U38" i="4"/>
  <c r="AN3" i="20" s="1"/>
  <c r="U39" i="4"/>
  <c r="AO3" i="20" s="1"/>
  <c r="U40" i="4"/>
  <c r="AP3" i="20" s="1"/>
  <c r="U41" i="4"/>
  <c r="AQ3" i="20" s="1"/>
  <c r="U42" i="4"/>
  <c r="AR3" i="20" s="1"/>
  <c r="U43" i="4"/>
  <c r="AS3" i="20" s="1"/>
  <c r="U44" i="4"/>
  <c r="AT3" i="20" s="1"/>
  <c r="U45" i="4"/>
  <c r="AU3" i="20" s="1"/>
  <c r="U46" i="4"/>
  <c r="AV3" i="20" s="1"/>
  <c r="U47" i="4"/>
  <c r="AW3" i="20" s="1"/>
  <c r="U48" i="4"/>
  <c r="U49" i="4"/>
  <c r="AY3" i="20" s="1"/>
  <c r="U50" i="4"/>
  <c r="AZ3" i="20" s="1"/>
  <c r="U51" i="4"/>
  <c r="BA3" i="20" s="1"/>
  <c r="U52" i="4"/>
  <c r="BB3" i="20" s="1"/>
  <c r="U53" i="4"/>
  <c r="BC3" i="20" s="1"/>
  <c r="U54" i="4"/>
  <c r="BD3" i="20" s="1"/>
  <c r="U55" i="4"/>
  <c r="BE3" i="20" s="1"/>
  <c r="U56" i="4"/>
  <c r="BF3" i="20" s="1"/>
  <c r="U57" i="4"/>
  <c r="BG3" i="20" s="1"/>
  <c r="U58" i="4"/>
  <c r="BH3" i="20" s="1"/>
  <c r="U59" i="4"/>
  <c r="BI3" i="20" s="1"/>
  <c r="U60" i="4"/>
  <c r="BJ3" i="20" s="1"/>
  <c r="U61" i="4"/>
  <c r="BK3" i="20" s="1"/>
  <c r="U62" i="4"/>
  <c r="U63" i="4"/>
  <c r="U64" i="4"/>
  <c r="BN3" i="20" s="1"/>
  <c r="U65" i="4"/>
  <c r="BO3" i="20" s="1"/>
  <c r="U66" i="4"/>
  <c r="V5" i="4"/>
  <c r="V6" i="4"/>
  <c r="H5" i="20" s="1"/>
  <c r="V7" i="4"/>
  <c r="I5" i="20" s="1"/>
  <c r="V8" i="4"/>
  <c r="V9" i="4"/>
  <c r="K5" i="20" s="1"/>
  <c r="V10" i="4"/>
  <c r="L5" i="20" s="1"/>
  <c r="V11" i="4"/>
  <c r="M5" i="20" s="1"/>
  <c r="V12" i="4"/>
  <c r="N5" i="20" s="1"/>
  <c r="V13" i="4"/>
  <c r="O5" i="20" s="1"/>
  <c r="V14" i="4"/>
  <c r="P5" i="20" s="1"/>
  <c r="V15" i="4"/>
  <c r="Q5" i="20" s="1"/>
  <c r="V16" i="4"/>
  <c r="R5" i="20" s="1"/>
  <c r="V17" i="4"/>
  <c r="S5" i="20" s="1"/>
  <c r="V18" i="4"/>
  <c r="T5" i="20" s="1"/>
  <c r="V19" i="4"/>
  <c r="U5" i="20" s="1"/>
  <c r="V20" i="4"/>
  <c r="V5" i="20" s="1"/>
  <c r="V21" i="4"/>
  <c r="W5" i="20" s="1"/>
  <c r="V22" i="4"/>
  <c r="X5" i="20" s="1"/>
  <c r="V23" i="4"/>
  <c r="Y5" i="20" s="1"/>
  <c r="V24" i="4"/>
  <c r="Z5" i="20" s="1"/>
  <c r="V25" i="4"/>
  <c r="AA5" i="20" s="1"/>
  <c r="V26" i="4"/>
  <c r="AB5" i="20" s="1"/>
  <c r="V27" i="4"/>
  <c r="AC5" i="20" s="1"/>
  <c r="V28" i="4"/>
  <c r="AD5" i="20" s="1"/>
  <c r="V29" i="4"/>
  <c r="AE5" i="20" s="1"/>
  <c r="V30" i="4"/>
  <c r="AF5" i="20" s="1"/>
  <c r="V31" i="4"/>
  <c r="AG5" i="20" s="1"/>
  <c r="V32" i="4"/>
  <c r="V33" i="4"/>
  <c r="AI5" i="20" s="1"/>
  <c r="V34" i="4"/>
  <c r="AJ5" i="20" s="1"/>
  <c r="V35" i="4"/>
  <c r="V36" i="4"/>
  <c r="V37" i="4"/>
  <c r="V38" i="4"/>
  <c r="AN5" i="20" s="1"/>
  <c r="V39" i="4"/>
  <c r="AO5" i="20" s="1"/>
  <c r="V40" i="4"/>
  <c r="AP5" i="20" s="1"/>
  <c r="V41" i="4"/>
  <c r="AQ5" i="20" s="1"/>
  <c r="V42" i="4"/>
  <c r="AR5" i="20" s="1"/>
  <c r="V43" i="4"/>
  <c r="AS5" i="20" s="1"/>
  <c r="V44" i="4"/>
  <c r="AT5" i="20" s="1"/>
  <c r="V45" i="4"/>
  <c r="AU5" i="20" s="1"/>
  <c r="V46" i="4"/>
  <c r="AV5" i="20" s="1"/>
  <c r="V47" i="4"/>
  <c r="AW5" i="20" s="1"/>
  <c r="V48" i="4"/>
  <c r="AX5" i="20" s="1"/>
  <c r="V49" i="4"/>
  <c r="AY5" i="20" s="1"/>
  <c r="V50" i="4"/>
  <c r="AZ5" i="20" s="1"/>
  <c r="V51" i="4"/>
  <c r="BA5" i="20" s="1"/>
  <c r="V52" i="4"/>
  <c r="BB5" i="20" s="1"/>
  <c r="V53" i="4"/>
  <c r="V54" i="4"/>
  <c r="BD5" i="20" s="1"/>
  <c r="V55" i="4"/>
  <c r="BE5" i="20" s="1"/>
  <c r="V56" i="4"/>
  <c r="V57" i="4"/>
  <c r="BG5" i="20" s="1"/>
  <c r="V58" i="4"/>
  <c r="BH5" i="20" s="1"/>
  <c r="V59" i="4"/>
  <c r="BI5" i="20" s="1"/>
  <c r="V60" i="4"/>
  <c r="V61" i="4"/>
  <c r="V62" i="4"/>
  <c r="V63" i="4"/>
  <c r="BM5" i="20" s="1"/>
  <c r="BM14" i="20" s="1"/>
  <c r="V64" i="4"/>
  <c r="V65" i="4"/>
  <c r="V66" i="4"/>
  <c r="BP5" i="20" s="1"/>
  <c r="BP14" i="20" s="1"/>
  <c r="P5" i="4"/>
  <c r="G5" i="19" s="1"/>
  <c r="P6" i="4"/>
  <c r="H5" i="19" s="1"/>
  <c r="P7" i="4"/>
  <c r="P8" i="4"/>
  <c r="J5" i="19" s="1"/>
  <c r="P9" i="4"/>
  <c r="K5" i="19" s="1"/>
  <c r="P10" i="4"/>
  <c r="L5" i="19" s="1"/>
  <c r="P11" i="4"/>
  <c r="M5" i="19" s="1"/>
  <c r="P12" i="4"/>
  <c r="P13" i="4"/>
  <c r="O5" i="19" s="1"/>
  <c r="P14" i="4"/>
  <c r="P15" i="4"/>
  <c r="P16" i="4"/>
  <c r="R5" i="19" s="1"/>
  <c r="P17" i="4"/>
  <c r="S5" i="19" s="1"/>
  <c r="P18" i="4"/>
  <c r="P19" i="4"/>
  <c r="U5" i="19" s="1"/>
  <c r="P20" i="4"/>
  <c r="V5" i="19" s="1"/>
  <c r="P21" i="4"/>
  <c r="W5" i="19" s="1"/>
  <c r="P22" i="4"/>
  <c r="X5" i="19" s="1"/>
  <c r="P23" i="4"/>
  <c r="Y5" i="19" s="1"/>
  <c r="P24" i="4"/>
  <c r="Z5" i="19" s="1"/>
  <c r="P25" i="4"/>
  <c r="AA5" i="19" s="1"/>
  <c r="P26" i="4"/>
  <c r="AB5" i="19" s="1"/>
  <c r="P27" i="4"/>
  <c r="AC5" i="19" s="1"/>
  <c r="P28" i="4"/>
  <c r="P29" i="4"/>
  <c r="AE5" i="19" s="1"/>
  <c r="P30" i="4"/>
  <c r="P31" i="4"/>
  <c r="P32" i="4"/>
  <c r="AH5" i="19" s="1"/>
  <c r="P33" i="4"/>
  <c r="AI5" i="19" s="1"/>
  <c r="P34" i="4"/>
  <c r="AJ5" i="19" s="1"/>
  <c r="P35" i="4"/>
  <c r="AK5" i="19" s="1"/>
  <c r="P36" i="4"/>
  <c r="P37" i="4"/>
  <c r="P38" i="4"/>
  <c r="P39" i="4"/>
  <c r="AO5" i="19" s="1"/>
  <c r="P40" i="4"/>
  <c r="AP5" i="19" s="1"/>
  <c r="P41" i="4"/>
  <c r="AQ5" i="19" s="1"/>
  <c r="P42" i="4"/>
  <c r="AR5" i="19" s="1"/>
  <c r="P43" i="4"/>
  <c r="AS5" i="19" s="1"/>
  <c r="P44" i="4"/>
  <c r="P45" i="4"/>
  <c r="AU5" i="19" s="1"/>
  <c r="P46" i="4"/>
  <c r="AV5" i="19" s="1"/>
  <c r="P47" i="4"/>
  <c r="P48" i="4"/>
  <c r="AX5" i="19" s="1"/>
  <c r="P49" i="4"/>
  <c r="AY5" i="19" s="1"/>
  <c r="P50" i="4"/>
  <c r="AZ5" i="19" s="1"/>
  <c r="P51" i="4"/>
  <c r="BA5" i="19" s="1"/>
  <c r="P52" i="4"/>
  <c r="P53" i="4"/>
  <c r="P54" i="4"/>
  <c r="P55" i="4"/>
  <c r="BE5" i="19" s="1"/>
  <c r="P56" i="4"/>
  <c r="BF5" i="19" s="1"/>
  <c r="P57" i="4"/>
  <c r="BG5" i="19" s="1"/>
  <c r="P58" i="4"/>
  <c r="BH5" i="19" s="1"/>
  <c r="P59" i="4"/>
  <c r="P60" i="4"/>
  <c r="BJ5" i="19" s="1"/>
  <c r="P61" i="4"/>
  <c r="P62" i="4"/>
  <c r="P63" i="4"/>
  <c r="P64" i="4"/>
  <c r="P65" i="4"/>
  <c r="P66" i="4"/>
  <c r="O5" i="4"/>
  <c r="O6" i="4"/>
  <c r="O7" i="4"/>
  <c r="I3" i="19" s="1"/>
  <c r="O8" i="4"/>
  <c r="J3" i="19" s="1"/>
  <c r="O9" i="4"/>
  <c r="K3" i="19" s="1"/>
  <c r="O10" i="4"/>
  <c r="L3" i="19" s="1"/>
  <c r="O11" i="4"/>
  <c r="M3" i="19" s="1"/>
  <c r="O12" i="4"/>
  <c r="N3" i="19" s="1"/>
  <c r="O13" i="4"/>
  <c r="O3" i="19" s="1"/>
  <c r="O14" i="4"/>
  <c r="O15" i="4"/>
  <c r="Q3" i="19" s="1"/>
  <c r="O16" i="4"/>
  <c r="R3" i="19" s="1"/>
  <c r="O17" i="4"/>
  <c r="S3" i="19" s="1"/>
  <c r="O18" i="4"/>
  <c r="T3" i="19" s="1"/>
  <c r="O19" i="4"/>
  <c r="U3" i="19" s="1"/>
  <c r="O20" i="4"/>
  <c r="V3" i="19" s="1"/>
  <c r="O21" i="4"/>
  <c r="W3" i="19" s="1"/>
  <c r="O22" i="4"/>
  <c r="O23" i="4"/>
  <c r="Y3" i="19" s="1"/>
  <c r="O24" i="4"/>
  <c r="Z3" i="19" s="1"/>
  <c r="O25" i="4"/>
  <c r="AA3" i="19" s="1"/>
  <c r="O26" i="4"/>
  <c r="AB3" i="19" s="1"/>
  <c r="O27" i="4"/>
  <c r="AC3" i="19" s="1"/>
  <c r="O28" i="4"/>
  <c r="AD3" i="19" s="1"/>
  <c r="O29" i="4"/>
  <c r="AE3" i="19" s="1"/>
  <c r="O30" i="4"/>
  <c r="O31" i="4"/>
  <c r="AG3" i="19" s="1"/>
  <c r="O32" i="4"/>
  <c r="AH3" i="19" s="1"/>
  <c r="O33" i="4"/>
  <c r="AI3" i="19" s="1"/>
  <c r="O34" i="4"/>
  <c r="AJ3" i="19" s="1"/>
  <c r="O35" i="4"/>
  <c r="AK3" i="19" s="1"/>
  <c r="O36" i="4"/>
  <c r="AL3" i="19" s="1"/>
  <c r="O37" i="4"/>
  <c r="AM3" i="19" s="1"/>
  <c r="O38" i="4"/>
  <c r="O39" i="4"/>
  <c r="AO3" i="19" s="1"/>
  <c r="O40" i="4"/>
  <c r="AP3" i="19" s="1"/>
  <c r="O41" i="4"/>
  <c r="AQ3" i="19" s="1"/>
  <c r="O42" i="4"/>
  <c r="AR3" i="19" s="1"/>
  <c r="O43" i="4"/>
  <c r="AS3" i="19" s="1"/>
  <c r="O44" i="4"/>
  <c r="AT3" i="19" s="1"/>
  <c r="O45" i="4"/>
  <c r="AU3" i="19" s="1"/>
  <c r="O46" i="4"/>
  <c r="O47" i="4"/>
  <c r="AW3" i="19" s="1"/>
  <c r="O48" i="4"/>
  <c r="AX3" i="19" s="1"/>
  <c r="O49" i="4"/>
  <c r="AY3" i="19" s="1"/>
  <c r="O50" i="4"/>
  <c r="AZ3" i="19" s="1"/>
  <c r="O51" i="4"/>
  <c r="BA3" i="19" s="1"/>
  <c r="O52" i="4"/>
  <c r="BB3" i="19" s="1"/>
  <c r="O53" i="4"/>
  <c r="BC3" i="19" s="1"/>
  <c r="O54" i="4"/>
  <c r="BD3" i="19" s="1"/>
  <c r="O55" i="4"/>
  <c r="BE3" i="19" s="1"/>
  <c r="O56" i="4"/>
  <c r="BF3" i="19" s="1"/>
  <c r="O57" i="4"/>
  <c r="BG3" i="19" s="1"/>
  <c r="O58" i="4"/>
  <c r="BH3" i="19" s="1"/>
  <c r="O59" i="4"/>
  <c r="BI3" i="19" s="1"/>
  <c r="O60" i="4"/>
  <c r="BJ3" i="19" s="1"/>
  <c r="O61" i="4"/>
  <c r="BK3" i="19" s="1"/>
  <c r="O62" i="4"/>
  <c r="O63" i="4"/>
  <c r="BM3" i="19" s="1"/>
  <c r="O64" i="4"/>
  <c r="O65" i="4"/>
  <c r="O66" i="4"/>
  <c r="I5" i="4"/>
  <c r="G3" i="18" s="1"/>
  <c r="I6" i="4"/>
  <c r="I7" i="4"/>
  <c r="I3" i="18" s="1"/>
  <c r="I8" i="4"/>
  <c r="J3" i="18" s="1"/>
  <c r="I9" i="4"/>
  <c r="K3" i="18" s="1"/>
  <c r="I10" i="4"/>
  <c r="L3" i="18" s="1"/>
  <c r="I11" i="4"/>
  <c r="M3" i="18" s="1"/>
  <c r="I12" i="4"/>
  <c r="N3" i="18" s="1"/>
  <c r="I13" i="4"/>
  <c r="O3" i="18" s="1"/>
  <c r="I14" i="4"/>
  <c r="P3" i="18" s="1"/>
  <c r="I15" i="4"/>
  <c r="Q3" i="18" s="1"/>
  <c r="I16" i="4"/>
  <c r="R3" i="18" s="1"/>
  <c r="I17" i="4"/>
  <c r="S3" i="18" s="1"/>
  <c r="I18" i="4"/>
  <c r="T3" i="18" s="1"/>
  <c r="I19" i="4"/>
  <c r="U3" i="18" s="1"/>
  <c r="I20" i="4"/>
  <c r="V3" i="18" s="1"/>
  <c r="I21" i="4"/>
  <c r="W3" i="18" s="1"/>
  <c r="I22" i="4"/>
  <c r="X3" i="18" s="1"/>
  <c r="I23" i="4"/>
  <c r="Y3" i="18" s="1"/>
  <c r="I24" i="4"/>
  <c r="Z3" i="18" s="1"/>
  <c r="I25" i="4"/>
  <c r="AA3" i="18" s="1"/>
  <c r="I26" i="4"/>
  <c r="AB3" i="18" s="1"/>
  <c r="I27" i="4"/>
  <c r="AC3" i="18" s="1"/>
  <c r="I28" i="4"/>
  <c r="AD3" i="18" s="1"/>
  <c r="I29" i="4"/>
  <c r="AE3" i="18" s="1"/>
  <c r="I30" i="4"/>
  <c r="AF3" i="18" s="1"/>
  <c r="I31" i="4"/>
  <c r="AG3" i="18" s="1"/>
  <c r="I32" i="4"/>
  <c r="AH3" i="18" s="1"/>
  <c r="I33" i="4"/>
  <c r="AI3" i="18" s="1"/>
  <c r="I34" i="4"/>
  <c r="AJ3" i="18" s="1"/>
  <c r="I35" i="4"/>
  <c r="AK3" i="18" s="1"/>
  <c r="I36" i="4"/>
  <c r="AL3" i="18" s="1"/>
  <c r="I37" i="4"/>
  <c r="AM3" i="18" s="1"/>
  <c r="I38" i="4"/>
  <c r="AN3" i="18" s="1"/>
  <c r="I39" i="4"/>
  <c r="AO3" i="18" s="1"/>
  <c r="I40" i="4"/>
  <c r="AP3" i="18" s="1"/>
  <c r="I41" i="4"/>
  <c r="AQ3" i="18" s="1"/>
  <c r="I42" i="4"/>
  <c r="AR3" i="18" s="1"/>
  <c r="I43" i="4"/>
  <c r="AS3" i="18" s="1"/>
  <c r="I44" i="4"/>
  <c r="AT3" i="18" s="1"/>
  <c r="I45" i="4"/>
  <c r="AU3" i="18" s="1"/>
  <c r="I46" i="4"/>
  <c r="AV3" i="18" s="1"/>
  <c r="I47" i="4"/>
  <c r="AW3" i="18" s="1"/>
  <c r="I48" i="4"/>
  <c r="AX3" i="18" s="1"/>
  <c r="I49" i="4"/>
  <c r="AY3" i="18" s="1"/>
  <c r="I50" i="4"/>
  <c r="AZ3" i="18" s="1"/>
  <c r="I51" i="4"/>
  <c r="BA3" i="18" s="1"/>
  <c r="I52" i="4"/>
  <c r="BB3" i="18" s="1"/>
  <c r="I53" i="4"/>
  <c r="BC3" i="18" s="1"/>
  <c r="I54" i="4"/>
  <c r="BD3" i="18" s="1"/>
  <c r="I55" i="4"/>
  <c r="BE3" i="18" s="1"/>
  <c r="I56" i="4"/>
  <c r="BF3" i="18" s="1"/>
  <c r="I57" i="4"/>
  <c r="BG3" i="18" s="1"/>
  <c r="I58" i="4"/>
  <c r="BH3" i="18" s="1"/>
  <c r="I59" i="4"/>
  <c r="BI3" i="18" s="1"/>
  <c r="I60" i="4"/>
  <c r="BJ3" i="18" s="1"/>
  <c r="I61" i="4"/>
  <c r="BK3" i="18" s="1"/>
  <c r="I62" i="4"/>
  <c r="I63" i="4"/>
  <c r="I64" i="4"/>
  <c r="I65" i="4"/>
  <c r="I66" i="4"/>
  <c r="J5" i="4"/>
  <c r="G5" i="18" s="1"/>
  <c r="J6" i="4"/>
  <c r="H5" i="18" s="1"/>
  <c r="J7" i="4"/>
  <c r="I5" i="18" s="1"/>
  <c r="J8" i="4"/>
  <c r="J5" i="18" s="1"/>
  <c r="J9" i="4"/>
  <c r="K5" i="18" s="1"/>
  <c r="J10" i="4"/>
  <c r="L5" i="18" s="1"/>
  <c r="J11" i="4"/>
  <c r="M5" i="18" s="1"/>
  <c r="J12" i="4"/>
  <c r="J13" i="4"/>
  <c r="J14" i="4"/>
  <c r="P5" i="18" s="1"/>
  <c r="J15" i="4"/>
  <c r="Q5" i="18" s="1"/>
  <c r="J16" i="4"/>
  <c r="R5" i="18" s="1"/>
  <c r="J17" i="4"/>
  <c r="S5" i="18" s="1"/>
  <c r="J18" i="4"/>
  <c r="T5" i="18" s="1"/>
  <c r="J19" i="4"/>
  <c r="U5" i="18" s="1"/>
  <c r="J20" i="4"/>
  <c r="J21" i="4"/>
  <c r="J22" i="4"/>
  <c r="X5" i="18" s="1"/>
  <c r="J23" i="4"/>
  <c r="Y5" i="18" s="1"/>
  <c r="J24" i="4"/>
  <c r="Z5" i="18" s="1"/>
  <c r="J25" i="4"/>
  <c r="AA5" i="18" s="1"/>
  <c r="J26" i="4"/>
  <c r="AB5" i="18" s="1"/>
  <c r="J27" i="4"/>
  <c r="AC5" i="18" s="1"/>
  <c r="J28" i="4"/>
  <c r="AD5" i="18" s="1"/>
  <c r="J29" i="4"/>
  <c r="AE5" i="18" s="1"/>
  <c r="J30" i="4"/>
  <c r="AF5" i="18" s="1"/>
  <c r="J31" i="4"/>
  <c r="J32" i="4"/>
  <c r="J33" i="4"/>
  <c r="AI5" i="18" s="1"/>
  <c r="J34" i="4"/>
  <c r="AJ5" i="18" s="1"/>
  <c r="J35" i="4"/>
  <c r="AK5" i="18" s="1"/>
  <c r="J36" i="4"/>
  <c r="AL5" i="18" s="1"/>
  <c r="J37" i="4"/>
  <c r="AM5" i="18" s="1"/>
  <c r="J38" i="4"/>
  <c r="J39" i="4"/>
  <c r="AO5" i="18" s="1"/>
  <c r="J40" i="4"/>
  <c r="AP5" i="18" s="1"/>
  <c r="J41" i="4"/>
  <c r="AQ5" i="18" s="1"/>
  <c r="J42" i="4"/>
  <c r="AR5" i="18" s="1"/>
  <c r="J43" i="4"/>
  <c r="AS5" i="18" s="1"/>
  <c r="J44" i="4"/>
  <c r="AT5" i="18" s="1"/>
  <c r="J45" i="4"/>
  <c r="J46" i="4"/>
  <c r="AV5" i="18" s="1"/>
  <c r="J47" i="4"/>
  <c r="AW5" i="18" s="1"/>
  <c r="J48" i="4"/>
  <c r="AX5" i="18" s="1"/>
  <c r="J49" i="4"/>
  <c r="AY5" i="18" s="1"/>
  <c r="J50" i="4"/>
  <c r="AZ5" i="18" s="1"/>
  <c r="J51" i="4"/>
  <c r="BA5" i="18" s="1"/>
  <c r="J52" i="4"/>
  <c r="J53" i="4"/>
  <c r="J54" i="4"/>
  <c r="BD5" i="18" s="1"/>
  <c r="J55" i="4"/>
  <c r="BE5" i="18" s="1"/>
  <c r="J56" i="4"/>
  <c r="J57" i="4"/>
  <c r="BG5" i="18" s="1"/>
  <c r="J58" i="4"/>
  <c r="BH5" i="18" s="1"/>
  <c r="J59" i="4"/>
  <c r="BI5" i="18" s="1"/>
  <c r="J60" i="4"/>
  <c r="BJ5" i="18" s="1"/>
  <c r="J61" i="4"/>
  <c r="J62" i="4"/>
  <c r="J63" i="4"/>
  <c r="J64" i="4"/>
  <c r="J65" i="4"/>
  <c r="J66" i="4"/>
  <c r="C5" i="4"/>
  <c r="C6" i="4"/>
  <c r="H3" i="2" s="1"/>
  <c r="C7" i="4"/>
  <c r="I3" i="2" s="1"/>
  <c r="C8" i="4"/>
  <c r="J3" i="2" s="1"/>
  <c r="C9" i="4"/>
  <c r="K3" i="2" s="1"/>
  <c r="C10" i="4"/>
  <c r="L3" i="2" s="1"/>
  <c r="C11" i="4"/>
  <c r="C12" i="4"/>
  <c r="N3" i="2" s="1"/>
  <c r="C13" i="4"/>
  <c r="O3" i="2" s="1"/>
  <c r="C14" i="4"/>
  <c r="P3" i="2" s="1"/>
  <c r="C15" i="4"/>
  <c r="Q3" i="2" s="1"/>
  <c r="C16" i="4"/>
  <c r="R3" i="2" s="1"/>
  <c r="C17" i="4"/>
  <c r="S3" i="2" s="1"/>
  <c r="C18" i="4"/>
  <c r="T3" i="2" s="1"/>
  <c r="C19" i="4"/>
  <c r="U3" i="2" s="1"/>
  <c r="C20" i="4"/>
  <c r="V3" i="2" s="1"/>
  <c r="C21" i="4"/>
  <c r="W3" i="2" s="1"/>
  <c r="C22" i="4"/>
  <c r="X3" i="2" s="1"/>
  <c r="C23" i="4"/>
  <c r="Y3" i="2" s="1"/>
  <c r="C24" i="4"/>
  <c r="Z3" i="2" s="1"/>
  <c r="C25" i="4"/>
  <c r="AA3" i="2" s="1"/>
  <c r="C26" i="4"/>
  <c r="AB3" i="2" s="1"/>
  <c r="C27" i="4"/>
  <c r="AC3" i="2" s="1"/>
  <c r="C28" i="4"/>
  <c r="AD3" i="2" s="1"/>
  <c r="C29" i="4"/>
  <c r="AE3" i="2" s="1"/>
  <c r="C30" i="4"/>
  <c r="AF3" i="2" s="1"/>
  <c r="C31" i="4"/>
  <c r="AG3" i="2" s="1"/>
  <c r="C32" i="4"/>
  <c r="AH3" i="2" s="1"/>
  <c r="C33" i="4"/>
  <c r="AI3" i="2" s="1"/>
  <c r="C34" i="4"/>
  <c r="AJ3" i="2" s="1"/>
  <c r="C35" i="4"/>
  <c r="AK3" i="2" s="1"/>
  <c r="C36" i="4"/>
  <c r="C37" i="4"/>
  <c r="AM3" i="2" s="1"/>
  <c r="C38" i="4"/>
  <c r="AN3" i="2" s="1"/>
  <c r="C39" i="4"/>
  <c r="AO3" i="2" s="1"/>
  <c r="C40" i="4"/>
  <c r="AP3" i="2" s="1"/>
  <c r="C41" i="4"/>
  <c r="AQ3" i="2" s="1"/>
  <c r="C42" i="4"/>
  <c r="AR3" i="2" s="1"/>
  <c r="C43" i="4"/>
  <c r="AS3" i="2" s="1"/>
  <c r="C44" i="4"/>
  <c r="AT3" i="2" s="1"/>
  <c r="C45" i="4"/>
  <c r="AU3" i="2" s="1"/>
  <c r="C46" i="4"/>
  <c r="AV3" i="2" s="1"/>
  <c r="C47" i="4"/>
  <c r="AW3" i="2" s="1"/>
  <c r="C48" i="4"/>
  <c r="AX3" i="2" s="1"/>
  <c r="C49" i="4"/>
  <c r="AY3" i="2" s="1"/>
  <c r="C50" i="4"/>
  <c r="AZ3" i="2" s="1"/>
  <c r="C51" i="4"/>
  <c r="BA3" i="2" s="1"/>
  <c r="C52" i="4"/>
  <c r="C53" i="4"/>
  <c r="BC3" i="2" s="1"/>
  <c r="C54" i="4"/>
  <c r="BD3" i="2" s="1"/>
  <c r="C55" i="4"/>
  <c r="BE3" i="2" s="1"/>
  <c r="C56" i="4"/>
  <c r="BF3" i="2" s="1"/>
  <c r="C57" i="4"/>
  <c r="BG3" i="2" s="1"/>
  <c r="C58" i="4"/>
  <c r="BH3" i="2" s="1"/>
  <c r="C59" i="4"/>
  <c r="BI3" i="2" s="1"/>
  <c r="C60" i="4"/>
  <c r="BJ3" i="2" s="1"/>
  <c r="C61" i="4"/>
  <c r="BK3" i="2" s="1"/>
  <c r="C62" i="4"/>
  <c r="C63" i="4"/>
  <c r="BM3" i="2" s="1"/>
  <c r="C64" i="4"/>
  <c r="C65" i="4"/>
  <c r="C66" i="4"/>
  <c r="D5" i="4"/>
  <c r="G5" i="2" s="1"/>
  <c r="D6" i="4"/>
  <c r="H5" i="2" s="1"/>
  <c r="D7" i="4"/>
  <c r="I5" i="2" s="1"/>
  <c r="D8" i="4"/>
  <c r="J5" i="2" s="1"/>
  <c r="D9" i="4"/>
  <c r="D10" i="4"/>
  <c r="L5" i="2" s="1"/>
  <c r="D11" i="4"/>
  <c r="D12" i="4"/>
  <c r="N5" i="2" s="1"/>
  <c r="D13" i="4"/>
  <c r="O5" i="2" s="1"/>
  <c r="D14" i="4"/>
  <c r="P5" i="2" s="1"/>
  <c r="D15" i="4"/>
  <c r="Q5" i="2" s="1"/>
  <c r="D16" i="4"/>
  <c r="R5" i="2" s="1"/>
  <c r="D17" i="4"/>
  <c r="D18" i="4"/>
  <c r="T5" i="2" s="1"/>
  <c r="D19" i="4"/>
  <c r="U5" i="2" s="1"/>
  <c r="D20" i="4"/>
  <c r="D21" i="4"/>
  <c r="W5" i="2" s="1"/>
  <c r="D22" i="4"/>
  <c r="D23" i="4"/>
  <c r="Y5" i="2" s="1"/>
  <c r="D24" i="4"/>
  <c r="D25" i="4"/>
  <c r="D26" i="4"/>
  <c r="AB5" i="2" s="1"/>
  <c r="D27" i="4"/>
  <c r="D28" i="4"/>
  <c r="D29" i="4"/>
  <c r="D30" i="4"/>
  <c r="AF5" i="2" s="1"/>
  <c r="D31" i="4"/>
  <c r="AG5" i="2" s="1"/>
  <c r="D32" i="4"/>
  <c r="D33" i="4"/>
  <c r="D34" i="4"/>
  <c r="AJ5" i="2" s="1"/>
  <c r="D35" i="4"/>
  <c r="D36" i="4"/>
  <c r="D37" i="4"/>
  <c r="AM5" i="2" s="1"/>
  <c r="D38" i="4"/>
  <c r="AN5" i="2" s="1"/>
  <c r="D39" i="4"/>
  <c r="AO5" i="2" s="1"/>
  <c r="D40" i="4"/>
  <c r="D41" i="4"/>
  <c r="AQ5" i="2" s="1"/>
  <c r="D42" i="4"/>
  <c r="AR5" i="2" s="1"/>
  <c r="D43" i="4"/>
  <c r="D44" i="4"/>
  <c r="D45" i="4"/>
  <c r="AU5" i="2" s="1"/>
  <c r="D46" i="4"/>
  <c r="AV5" i="2" s="1"/>
  <c r="D47" i="4"/>
  <c r="D48" i="4"/>
  <c r="AX5" i="2" s="1"/>
  <c r="D49" i="4"/>
  <c r="AY5" i="2" s="1"/>
  <c r="D50" i="4"/>
  <c r="AZ5" i="2" s="1"/>
  <c r="D51" i="4"/>
  <c r="D52" i="4"/>
  <c r="D53" i="4"/>
  <c r="BC5" i="2" s="1"/>
  <c r="D54" i="4"/>
  <c r="D55" i="4"/>
  <c r="BE5" i="2" s="1"/>
  <c r="D56" i="4"/>
  <c r="D57" i="4"/>
  <c r="D58" i="4"/>
  <c r="BH5" i="2" s="1"/>
  <c r="D59" i="4"/>
  <c r="D60" i="4"/>
  <c r="D61" i="4"/>
  <c r="BK5" i="2" s="1"/>
  <c r="D62" i="4"/>
  <c r="D63" i="4"/>
  <c r="D64" i="4"/>
  <c r="D65" i="4"/>
  <c r="D66" i="4"/>
  <c r="N26" i="5"/>
  <c r="M26" i="5"/>
  <c r="L26" i="5"/>
  <c r="N25" i="5"/>
  <c r="M25" i="5"/>
  <c r="L25" i="5"/>
  <c r="N24" i="5"/>
  <c r="M24" i="5"/>
  <c r="L24" i="5"/>
  <c r="N23" i="5"/>
  <c r="M23" i="5"/>
  <c r="L23" i="5"/>
  <c r="N22" i="5"/>
  <c r="M22" i="5"/>
  <c r="L22" i="5"/>
  <c r="N21" i="5"/>
  <c r="M21" i="5"/>
  <c r="L21" i="5"/>
  <c r="N20" i="5"/>
  <c r="M20" i="5"/>
  <c r="L20" i="5"/>
  <c r="N19" i="5"/>
  <c r="M19" i="5"/>
  <c r="L19" i="5"/>
  <c r="N18" i="5"/>
  <c r="M18" i="5"/>
  <c r="L18" i="5"/>
  <c r="N17" i="5"/>
  <c r="M17" i="5"/>
  <c r="L17" i="5"/>
  <c r="N16" i="5"/>
  <c r="M16" i="5"/>
  <c r="L16" i="5"/>
  <c r="N15" i="5"/>
  <c r="M15" i="5"/>
  <c r="L15" i="5"/>
  <c r="N14" i="5"/>
  <c r="M14" i="5"/>
  <c r="L14" i="5"/>
  <c r="N13" i="5"/>
  <c r="M13" i="5"/>
  <c r="L13" i="5"/>
  <c r="N12" i="5"/>
  <c r="M12" i="5"/>
  <c r="L12" i="5"/>
  <c r="N11" i="5"/>
  <c r="M11" i="5"/>
  <c r="L11" i="5"/>
  <c r="N10" i="5"/>
  <c r="M10" i="5"/>
  <c r="L10" i="5"/>
  <c r="N9" i="5"/>
  <c r="M9" i="5"/>
  <c r="L9" i="5"/>
  <c r="N8" i="5"/>
  <c r="M8" i="5"/>
  <c r="L8" i="5"/>
  <c r="N7" i="5"/>
  <c r="M7" i="5"/>
  <c r="L7" i="5"/>
  <c r="N6" i="5"/>
  <c r="M6" i="5"/>
  <c r="L6" i="5"/>
  <c r="N5" i="5"/>
  <c r="M5" i="5"/>
  <c r="L5" i="5"/>
  <c r="N4" i="5"/>
  <c r="M4" i="5"/>
  <c r="L4" i="5"/>
  <c r="N3" i="5"/>
  <c r="M3" i="5"/>
  <c r="L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E52" i="5"/>
  <c r="E51" i="5"/>
  <c r="E50" i="5"/>
  <c r="E49" i="5"/>
  <c r="E48" i="5"/>
  <c r="E47" i="5"/>
  <c r="R52" i="4" s="1"/>
  <c r="BB9" i="19" s="1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AD12" i="4" s="1"/>
  <c r="N9" i="21" s="1"/>
  <c r="G31" i="5"/>
  <c r="G30" i="5"/>
  <c r="G29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I52" i="5"/>
  <c r="I51" i="5"/>
  <c r="AP62" i="4" s="1"/>
  <c r="BL9" i="23" s="1"/>
  <c r="I50" i="5"/>
  <c r="I49" i="5"/>
  <c r="I48" i="5"/>
  <c r="AP54" i="4" s="1"/>
  <c r="BD9" i="23" s="1"/>
  <c r="I47" i="5"/>
  <c r="I46" i="5"/>
  <c r="I45" i="5"/>
  <c r="I44" i="5"/>
  <c r="I43" i="5"/>
  <c r="I42" i="5"/>
  <c r="I41" i="5"/>
  <c r="I40" i="5"/>
  <c r="I39" i="5"/>
  <c r="AP30" i="4" s="1"/>
  <c r="AF9" i="23" s="1"/>
  <c r="I38" i="5"/>
  <c r="I37" i="5"/>
  <c r="I36" i="5"/>
  <c r="I35" i="5"/>
  <c r="I34" i="5"/>
  <c r="I33" i="5"/>
  <c r="I32" i="5"/>
  <c r="I31" i="5"/>
  <c r="I30" i="5"/>
  <c r="I29" i="5"/>
  <c r="I26" i="5"/>
  <c r="H26" i="5"/>
  <c r="G26" i="5"/>
  <c r="F26" i="5"/>
  <c r="E26" i="5"/>
  <c r="D26" i="5"/>
  <c r="C26" i="5"/>
  <c r="I25" i="5"/>
  <c r="H25" i="5"/>
  <c r="G25" i="5"/>
  <c r="F25" i="5"/>
  <c r="E25" i="5"/>
  <c r="D25" i="5"/>
  <c r="K62" i="4" s="1"/>
  <c r="BL8" i="18" s="1"/>
  <c r="C25" i="5"/>
  <c r="I24" i="5"/>
  <c r="H24" i="5"/>
  <c r="G24" i="5"/>
  <c r="F24" i="5"/>
  <c r="E24" i="5"/>
  <c r="D24" i="5"/>
  <c r="C24" i="5"/>
  <c r="I23" i="5"/>
  <c r="H23" i="5"/>
  <c r="G23" i="5"/>
  <c r="F23" i="5"/>
  <c r="E23" i="5"/>
  <c r="D23" i="5"/>
  <c r="C23" i="5"/>
  <c r="I22" i="5"/>
  <c r="H22" i="5"/>
  <c r="G22" i="5"/>
  <c r="F22" i="5"/>
  <c r="E22" i="5"/>
  <c r="D22" i="5"/>
  <c r="C22" i="5"/>
  <c r="I21" i="5"/>
  <c r="H21" i="5"/>
  <c r="G21" i="5"/>
  <c r="F21" i="5"/>
  <c r="E21" i="5"/>
  <c r="D21" i="5"/>
  <c r="C21" i="5"/>
  <c r="I20" i="5"/>
  <c r="H20" i="5"/>
  <c r="AI50" i="4" s="1"/>
  <c r="AZ8" i="22" s="1"/>
  <c r="G20" i="5"/>
  <c r="F20" i="5"/>
  <c r="E20" i="5"/>
  <c r="D20" i="5"/>
  <c r="C20" i="5"/>
  <c r="I19" i="5"/>
  <c r="H19" i="5"/>
  <c r="G19" i="5"/>
  <c r="F19" i="5"/>
  <c r="E19" i="5"/>
  <c r="D19" i="5"/>
  <c r="C19" i="5"/>
  <c r="I18" i="5"/>
  <c r="H18" i="5"/>
  <c r="G18" i="5"/>
  <c r="F18" i="5"/>
  <c r="E18" i="5"/>
  <c r="D18" i="5"/>
  <c r="C18" i="5"/>
  <c r="I17" i="5"/>
  <c r="H17" i="5"/>
  <c r="G17" i="5"/>
  <c r="F17" i="5"/>
  <c r="E17" i="5"/>
  <c r="D17" i="5"/>
  <c r="C17" i="5"/>
  <c r="I16" i="5"/>
  <c r="H16" i="5"/>
  <c r="G16" i="5"/>
  <c r="F16" i="5"/>
  <c r="E16" i="5"/>
  <c r="Q36" i="4" s="1"/>
  <c r="AL8" i="19" s="1"/>
  <c r="D16" i="5"/>
  <c r="C16" i="5"/>
  <c r="E38" i="4" s="1"/>
  <c r="AN8" i="2" s="1"/>
  <c r="I15" i="5"/>
  <c r="H15" i="5"/>
  <c r="G15" i="5"/>
  <c r="F15" i="5"/>
  <c r="E15" i="5"/>
  <c r="D15" i="5"/>
  <c r="C15" i="5"/>
  <c r="I14" i="5"/>
  <c r="H14" i="5"/>
  <c r="G14" i="5"/>
  <c r="F14" i="5"/>
  <c r="E14" i="5"/>
  <c r="D14" i="5"/>
  <c r="C14" i="5"/>
  <c r="I13" i="5"/>
  <c r="H13" i="5"/>
  <c r="G13" i="5"/>
  <c r="F13" i="5"/>
  <c r="E13" i="5"/>
  <c r="D13" i="5"/>
  <c r="C13" i="5"/>
  <c r="I12" i="5"/>
  <c r="H12" i="5"/>
  <c r="G12" i="5"/>
  <c r="F12" i="5"/>
  <c r="E12" i="5"/>
  <c r="D12" i="5"/>
  <c r="C12" i="5"/>
  <c r="I11" i="5"/>
  <c r="H11" i="5"/>
  <c r="G11" i="5"/>
  <c r="F11" i="5"/>
  <c r="E11" i="5"/>
  <c r="D11" i="5"/>
  <c r="C11" i="5"/>
  <c r="I10" i="5"/>
  <c r="H10" i="5"/>
  <c r="G10" i="5"/>
  <c r="F10" i="5"/>
  <c r="E10" i="5"/>
  <c r="D10" i="5"/>
  <c r="C10" i="5"/>
  <c r="I9" i="5"/>
  <c r="AO18" i="4" s="1"/>
  <c r="T8" i="23" s="1"/>
  <c r="H9" i="5"/>
  <c r="G9" i="5"/>
  <c r="F9" i="5"/>
  <c r="E9" i="5"/>
  <c r="D9" i="5"/>
  <c r="C9" i="5"/>
  <c r="I8" i="5"/>
  <c r="H8" i="5"/>
  <c r="G8" i="5"/>
  <c r="F8" i="5"/>
  <c r="E8" i="5"/>
  <c r="D8" i="5"/>
  <c r="C8" i="5"/>
  <c r="I7" i="5"/>
  <c r="H7" i="5"/>
  <c r="G7" i="5"/>
  <c r="F7" i="5"/>
  <c r="E7" i="5"/>
  <c r="D7" i="5"/>
  <c r="C7" i="5"/>
  <c r="I6" i="5"/>
  <c r="H6" i="5"/>
  <c r="G6" i="5"/>
  <c r="F6" i="5"/>
  <c r="E6" i="5"/>
  <c r="D6" i="5"/>
  <c r="C6" i="5"/>
  <c r="I5" i="5"/>
  <c r="H5" i="5"/>
  <c r="AI10" i="4" s="1"/>
  <c r="L8" i="22" s="1"/>
  <c r="G5" i="5"/>
  <c r="F5" i="5"/>
  <c r="E5" i="5"/>
  <c r="D5" i="5"/>
  <c r="C5" i="5"/>
  <c r="I4" i="5"/>
  <c r="H4" i="5"/>
  <c r="G4" i="5"/>
  <c r="F4" i="5"/>
  <c r="E4" i="5"/>
  <c r="D4" i="5"/>
  <c r="C4" i="5"/>
  <c r="I3" i="5"/>
  <c r="H3" i="5"/>
  <c r="G3" i="5"/>
  <c r="F3" i="5"/>
  <c r="E3" i="5"/>
  <c r="D3" i="5"/>
  <c r="C3" i="5"/>
  <c r="BR168" i="23"/>
  <c r="BQ168" i="23"/>
  <c r="BP168" i="23"/>
  <c r="BO168" i="23"/>
  <c r="BN168" i="23"/>
  <c r="BM168" i="23"/>
  <c r="BL168" i="23"/>
  <c r="BK168" i="23"/>
  <c r="BJ168" i="23"/>
  <c r="BI168" i="23"/>
  <c r="BH168" i="23"/>
  <c r="BG168" i="23"/>
  <c r="BE168" i="23"/>
  <c r="BC168" i="23"/>
  <c r="BB168" i="23"/>
  <c r="BA168" i="23"/>
  <c r="AZ168" i="23"/>
  <c r="AX168" i="23"/>
  <c r="AV168" i="23"/>
  <c r="AU168" i="23"/>
  <c r="AT168" i="23"/>
  <c r="AS168" i="23"/>
  <c r="AR168" i="23"/>
  <c r="AQ168" i="23"/>
  <c r="AP168" i="23"/>
  <c r="AO168" i="23"/>
  <c r="AN168" i="23"/>
  <c r="AM168" i="23"/>
  <c r="AL168" i="23"/>
  <c r="AK168" i="23"/>
  <c r="AJ168" i="23"/>
  <c r="AI168" i="23"/>
  <c r="AH168" i="23"/>
  <c r="AG168" i="23"/>
  <c r="AF168" i="23"/>
  <c r="AE168" i="23"/>
  <c r="AD168" i="23"/>
  <c r="AC168" i="23"/>
  <c r="AB168" i="23"/>
  <c r="AA168" i="23"/>
  <c r="Z168" i="23"/>
  <c r="Y168" i="23"/>
  <c r="X168" i="23"/>
  <c r="W168" i="23"/>
  <c r="V168" i="23"/>
  <c r="U168" i="23"/>
  <c r="T168" i="23"/>
  <c r="S168" i="23"/>
  <c r="R168" i="23"/>
  <c r="Q168" i="23"/>
  <c r="P168" i="23"/>
  <c r="O168" i="23"/>
  <c r="N168" i="23"/>
  <c r="M168" i="23"/>
  <c r="L168" i="23"/>
  <c r="K168" i="23"/>
  <c r="J168" i="23"/>
  <c r="I168" i="23"/>
  <c r="H168" i="23"/>
  <c r="BR168" i="22"/>
  <c r="BQ168" i="22"/>
  <c r="BP168" i="22"/>
  <c r="BO168" i="22"/>
  <c r="BN168" i="22"/>
  <c r="BM168" i="22"/>
  <c r="BL168" i="22"/>
  <c r="BK168" i="22"/>
  <c r="BJ168" i="22"/>
  <c r="BI168" i="22"/>
  <c r="BH168" i="22"/>
  <c r="BG168" i="22"/>
  <c r="BF168" i="22"/>
  <c r="BE168" i="22"/>
  <c r="BD168" i="22"/>
  <c r="BC168" i="22"/>
  <c r="BB168" i="22"/>
  <c r="BA168" i="22"/>
  <c r="AZ168" i="22"/>
  <c r="AX168" i="22"/>
  <c r="AV168" i="22"/>
  <c r="AU168" i="22"/>
  <c r="AT168" i="22"/>
  <c r="AS168" i="22"/>
  <c r="AR168" i="22"/>
  <c r="AQ168" i="22"/>
  <c r="AP168" i="22"/>
  <c r="AO168" i="22"/>
  <c r="AN168" i="22"/>
  <c r="AM168" i="22"/>
  <c r="AL168" i="22"/>
  <c r="AK168" i="22"/>
  <c r="AJ168" i="22"/>
  <c r="AI168" i="22"/>
  <c r="AH168" i="22"/>
  <c r="AG168" i="22"/>
  <c r="AF168" i="22"/>
  <c r="AE168" i="22"/>
  <c r="AD168" i="22"/>
  <c r="AC168" i="22"/>
  <c r="AB168" i="22"/>
  <c r="AA168" i="22"/>
  <c r="Z168" i="22"/>
  <c r="Y168" i="22"/>
  <c r="X168" i="22"/>
  <c r="W168" i="22"/>
  <c r="V168" i="22"/>
  <c r="U168" i="22"/>
  <c r="T168" i="22"/>
  <c r="S168" i="22"/>
  <c r="R168" i="22"/>
  <c r="Q168" i="22"/>
  <c r="P168" i="22"/>
  <c r="O168" i="22"/>
  <c r="N168" i="22"/>
  <c r="M168" i="22"/>
  <c r="L168" i="22"/>
  <c r="K168" i="22"/>
  <c r="J168" i="22"/>
  <c r="I168" i="22"/>
  <c r="H168" i="22"/>
  <c r="BR168" i="21"/>
  <c r="BQ168" i="21"/>
  <c r="BP168" i="21"/>
  <c r="BO168" i="21"/>
  <c r="BN168" i="21"/>
  <c r="BM168" i="21"/>
  <c r="BL168" i="21"/>
  <c r="BK168" i="21"/>
  <c r="BJ168" i="21"/>
  <c r="BI168" i="21"/>
  <c r="BH168" i="21"/>
  <c r="BG168" i="21"/>
  <c r="BE168" i="21"/>
  <c r="BC168" i="21"/>
  <c r="BB168" i="21"/>
  <c r="BA168" i="21"/>
  <c r="AZ168" i="21"/>
  <c r="AX168" i="21"/>
  <c r="AV168" i="21"/>
  <c r="AU168" i="21"/>
  <c r="AT168" i="21"/>
  <c r="AS168" i="21"/>
  <c r="AR168" i="21"/>
  <c r="AQ168" i="21"/>
  <c r="AP168" i="21"/>
  <c r="AO168" i="21"/>
  <c r="AN168" i="21"/>
  <c r="AM168" i="21"/>
  <c r="AL168" i="21"/>
  <c r="AK168" i="21"/>
  <c r="AJ168" i="21"/>
  <c r="AI168" i="21"/>
  <c r="AH168" i="21"/>
  <c r="AG168" i="21"/>
  <c r="AF168" i="21"/>
  <c r="AE168" i="21"/>
  <c r="AC168" i="21"/>
  <c r="AB168" i="21"/>
  <c r="AA168" i="21"/>
  <c r="Z168" i="21"/>
  <c r="Y168" i="21"/>
  <c r="X168" i="21"/>
  <c r="W168" i="21"/>
  <c r="V168" i="21"/>
  <c r="U168" i="21"/>
  <c r="T168" i="21"/>
  <c r="S168" i="21"/>
  <c r="R168" i="21"/>
  <c r="Q168" i="21"/>
  <c r="P168" i="21"/>
  <c r="O168" i="21"/>
  <c r="N168" i="21"/>
  <c r="M168" i="21"/>
  <c r="L168" i="21"/>
  <c r="K168" i="21"/>
  <c r="J168" i="21"/>
  <c r="I168" i="21"/>
  <c r="H168" i="21"/>
  <c r="BR168" i="20"/>
  <c r="BQ168" i="20"/>
  <c r="BP168" i="20"/>
  <c r="BO168" i="20"/>
  <c r="BN168" i="20"/>
  <c r="BM168" i="20"/>
  <c r="BL168" i="20"/>
  <c r="BK168" i="20"/>
  <c r="BJ168" i="20"/>
  <c r="BI168" i="20"/>
  <c r="BH168" i="20"/>
  <c r="BG168" i="20"/>
  <c r="BE168" i="20"/>
  <c r="BC168" i="20"/>
  <c r="BB168" i="20"/>
  <c r="BA168" i="20"/>
  <c r="AZ168" i="20"/>
  <c r="AX168" i="20"/>
  <c r="AV168" i="20"/>
  <c r="AU168" i="20"/>
  <c r="AT168" i="20"/>
  <c r="AS168" i="20"/>
  <c r="AR168" i="20"/>
  <c r="AQ168" i="20"/>
  <c r="AP168" i="20"/>
  <c r="AO168" i="20"/>
  <c r="AN168" i="20"/>
  <c r="AM168" i="20"/>
  <c r="AL168" i="20"/>
  <c r="AK168" i="20"/>
  <c r="AJ168" i="20"/>
  <c r="AI168" i="20"/>
  <c r="AH168" i="20"/>
  <c r="AG168" i="20"/>
  <c r="AF168" i="20"/>
  <c r="AE168" i="20"/>
  <c r="AD168" i="20"/>
  <c r="AC168" i="20"/>
  <c r="AB168" i="20"/>
  <c r="AA168" i="20"/>
  <c r="Z168" i="20"/>
  <c r="Y168" i="20"/>
  <c r="X168" i="20"/>
  <c r="W168" i="20"/>
  <c r="V168" i="20"/>
  <c r="U168" i="20"/>
  <c r="T168" i="20"/>
  <c r="S168" i="20"/>
  <c r="R168" i="20"/>
  <c r="Q168" i="20"/>
  <c r="P168" i="20"/>
  <c r="O168" i="20"/>
  <c r="N168" i="20"/>
  <c r="M168" i="20"/>
  <c r="L168" i="20"/>
  <c r="K168" i="20"/>
  <c r="J168" i="20"/>
  <c r="I168" i="20"/>
  <c r="H168" i="20"/>
  <c r="BR168" i="19"/>
  <c r="BQ168" i="19"/>
  <c r="BP168" i="19"/>
  <c r="BO168" i="19"/>
  <c r="BN168" i="19"/>
  <c r="BM168" i="19"/>
  <c r="BL168" i="19"/>
  <c r="BK168" i="19"/>
  <c r="BJ168" i="19"/>
  <c r="BI168" i="19"/>
  <c r="BH168" i="19"/>
  <c r="BG168" i="19"/>
  <c r="BE168" i="19"/>
  <c r="BC168" i="19"/>
  <c r="BB168" i="19"/>
  <c r="BA168" i="19"/>
  <c r="AZ168" i="19"/>
  <c r="AX168" i="19"/>
  <c r="AV168" i="19"/>
  <c r="AU168" i="19"/>
  <c r="AT168" i="19"/>
  <c r="AS168" i="19"/>
  <c r="AR168" i="19"/>
  <c r="AQ168" i="19"/>
  <c r="AP168" i="19"/>
  <c r="AO168" i="19"/>
  <c r="AN168" i="19"/>
  <c r="AM168" i="19"/>
  <c r="AL168" i="19"/>
  <c r="AK168" i="19"/>
  <c r="AJ168" i="19"/>
  <c r="AI168" i="19"/>
  <c r="AH168" i="19"/>
  <c r="AG168" i="19"/>
  <c r="AF168" i="19"/>
  <c r="AE168" i="19"/>
  <c r="AD168" i="19"/>
  <c r="AC168" i="19"/>
  <c r="AB168" i="19"/>
  <c r="AA168" i="19"/>
  <c r="Z168" i="19"/>
  <c r="Y168" i="19"/>
  <c r="X168" i="19"/>
  <c r="W168" i="19"/>
  <c r="V168" i="19"/>
  <c r="U168" i="19"/>
  <c r="T168" i="19"/>
  <c r="S168" i="19"/>
  <c r="R168" i="19"/>
  <c r="Q168" i="19"/>
  <c r="P168" i="19"/>
  <c r="O168" i="19"/>
  <c r="N168" i="19"/>
  <c r="M168" i="19"/>
  <c r="L168" i="19"/>
  <c r="K168" i="19"/>
  <c r="J168" i="19"/>
  <c r="I168" i="19"/>
  <c r="H168" i="19"/>
  <c r="BR168" i="18"/>
  <c r="BQ168" i="18"/>
  <c r="BP168" i="18"/>
  <c r="BO168" i="18"/>
  <c r="BN168" i="18"/>
  <c r="BM168" i="18"/>
  <c r="BL168" i="18"/>
  <c r="BK168" i="18"/>
  <c r="BJ168" i="18"/>
  <c r="BI168" i="18"/>
  <c r="BH168" i="18"/>
  <c r="BG168" i="18"/>
  <c r="BE168" i="18"/>
  <c r="BC168" i="18"/>
  <c r="BB168" i="18"/>
  <c r="BA168" i="18"/>
  <c r="AZ168" i="18"/>
  <c r="AX168" i="18"/>
  <c r="AV168" i="18"/>
  <c r="AU168" i="18"/>
  <c r="AT168" i="18"/>
  <c r="AS168" i="18"/>
  <c r="AR168" i="18"/>
  <c r="AQ168" i="18"/>
  <c r="AP168" i="18"/>
  <c r="AO168" i="18"/>
  <c r="AN168" i="18"/>
  <c r="AM168" i="18"/>
  <c r="AL168" i="18"/>
  <c r="AK168" i="18"/>
  <c r="AJ168" i="18"/>
  <c r="AI168" i="18"/>
  <c r="AH168" i="18"/>
  <c r="AG168" i="18"/>
  <c r="AF168" i="18"/>
  <c r="AE168" i="18"/>
  <c r="AD168" i="18"/>
  <c r="AC168" i="18"/>
  <c r="AB168" i="18"/>
  <c r="AA168" i="18"/>
  <c r="Z168" i="18"/>
  <c r="Y168" i="18"/>
  <c r="X168" i="18"/>
  <c r="W168" i="18"/>
  <c r="V168" i="18"/>
  <c r="U168" i="18"/>
  <c r="T168" i="18"/>
  <c r="S168" i="18"/>
  <c r="R168" i="18"/>
  <c r="Q168" i="18"/>
  <c r="P168" i="18"/>
  <c r="O168" i="18"/>
  <c r="N168" i="18"/>
  <c r="M168" i="18"/>
  <c r="L168" i="18"/>
  <c r="K168" i="18"/>
  <c r="J168" i="18"/>
  <c r="I168" i="18"/>
  <c r="H168" i="18"/>
  <c r="A1" i="18"/>
  <c r="F2" i="28" s="1"/>
  <c r="AK2" i="28" s="1"/>
  <c r="F3" i="18"/>
  <c r="F5" i="18"/>
  <c r="F8" i="18"/>
  <c r="F9" i="18"/>
  <c r="BR168" i="2"/>
  <c r="A1" i="23"/>
  <c r="P2" i="28" s="1"/>
  <c r="AU2" i="28" s="1"/>
  <c r="A1" i="22"/>
  <c r="N2" i="28" s="1"/>
  <c r="AS2" i="28" s="1"/>
  <c r="A1" i="21"/>
  <c r="L2" i="28" s="1"/>
  <c r="AQ2" i="28" s="1"/>
  <c r="A1" i="20"/>
  <c r="J2" i="28" s="1"/>
  <c r="AO2" i="28" s="1"/>
  <c r="A1" i="19"/>
  <c r="H2" i="28" s="1"/>
  <c r="AM2" i="28" s="1"/>
  <c r="F9" i="21"/>
  <c r="F9" i="20"/>
  <c r="F9" i="19"/>
  <c r="F8" i="23"/>
  <c r="F8" i="22"/>
  <c r="F8" i="21"/>
  <c r="F8" i="20"/>
  <c r="F8" i="19"/>
  <c r="BQ5" i="23"/>
  <c r="BP5" i="23"/>
  <c r="BP14" i="23" s="1"/>
  <c r="BO5" i="23"/>
  <c r="BO14" i="23" s="1"/>
  <c r="BN5" i="23"/>
  <c r="BM5" i="23"/>
  <c r="BL5" i="23"/>
  <c r="BL14" i="23" s="1"/>
  <c r="F5" i="23"/>
  <c r="F12" i="23" s="1"/>
  <c r="F5" i="22"/>
  <c r="F4" i="22" s="1"/>
  <c r="F5" i="21"/>
  <c r="BO5" i="20"/>
  <c r="BN5" i="20"/>
  <c r="F5" i="20"/>
  <c r="F12" i="20" s="1"/>
  <c r="BP5" i="19"/>
  <c r="BP14" i="19" s="1"/>
  <c r="BO5" i="19"/>
  <c r="BO14" i="19" s="1"/>
  <c r="BN5" i="19"/>
  <c r="BM5" i="19"/>
  <c r="BL5" i="19"/>
  <c r="F5" i="19"/>
  <c r="F14" i="19" s="1"/>
  <c r="BP5" i="18"/>
  <c r="BP14" i="18" s="1"/>
  <c r="BO5" i="18"/>
  <c r="BO12" i="18" s="1"/>
  <c r="BN5" i="18"/>
  <c r="BM5" i="18"/>
  <c r="BL5" i="18"/>
  <c r="F5" i="2"/>
  <c r="F14" i="2" s="1"/>
  <c r="BQ3" i="23"/>
  <c r="BQ2" i="23" s="1"/>
  <c r="BP3" i="23"/>
  <c r="BN3" i="23"/>
  <c r="BM3" i="23"/>
  <c r="BL3" i="23"/>
  <c r="F3" i="23"/>
  <c r="F3" i="22"/>
  <c r="F3" i="21"/>
  <c r="BP3" i="20"/>
  <c r="BM3" i="20"/>
  <c r="F3" i="20"/>
  <c r="BP3" i="19"/>
  <c r="BO3" i="19"/>
  <c r="BN3" i="19"/>
  <c r="BL3" i="19"/>
  <c r="F3" i="19"/>
  <c r="F2" i="19" s="1"/>
  <c r="BP3" i="18"/>
  <c r="BO3" i="18"/>
  <c r="BN3" i="18"/>
  <c r="BM3" i="18"/>
  <c r="BL3" i="18"/>
  <c r="BP3" i="2"/>
  <c r="BO3" i="2"/>
  <c r="BN3" i="2"/>
  <c r="BL3" i="2"/>
  <c r="F3" i="2"/>
  <c r="F2" i="2" s="1"/>
  <c r="F8" i="2"/>
  <c r="BP5" i="2"/>
  <c r="BP14" i="2" s="1"/>
  <c r="BO5" i="2"/>
  <c r="BO14" i="2" s="1"/>
  <c r="BN5" i="2"/>
  <c r="BM5" i="2"/>
  <c r="BL5" i="2"/>
  <c r="BL14" i="2" s="1"/>
  <c r="H5" i="23"/>
  <c r="L5" i="23"/>
  <c r="P5" i="23"/>
  <c r="AN5" i="23"/>
  <c r="AR5" i="22"/>
  <c r="BL3" i="20"/>
  <c r="AX3" i="20"/>
  <c r="AF3" i="19"/>
  <c r="P3" i="19"/>
  <c r="AV3" i="19"/>
  <c r="AN3" i="19"/>
  <c r="X3" i="19"/>
  <c r="H3" i="19"/>
  <c r="X5" i="2"/>
  <c r="AE5" i="2"/>
  <c r="BB3" i="2"/>
  <c r="AL3" i="2"/>
  <c r="M3" i="2"/>
  <c r="F9" i="22"/>
  <c r="F9" i="23"/>
  <c r="AV5" i="23"/>
  <c r="AF5" i="23"/>
  <c r="X5" i="23"/>
  <c r="BL5" i="20"/>
  <c r="BL14" i="20" s="1"/>
  <c r="BB5" i="19"/>
  <c r="AL5" i="19"/>
  <c r="AT5" i="19"/>
  <c r="AD5" i="19"/>
  <c r="N5" i="19"/>
  <c r="BD5" i="2"/>
  <c r="BQ168" i="2"/>
  <c r="BP168" i="2"/>
  <c r="BO168" i="2"/>
  <c r="BN168" i="2"/>
  <c r="BM168" i="2"/>
  <c r="BL168" i="2"/>
  <c r="BK168" i="2"/>
  <c r="BJ168" i="2"/>
  <c r="BI168" i="2"/>
  <c r="BH168" i="2"/>
  <c r="BG168" i="2"/>
  <c r="BE168" i="2"/>
  <c r="BC168" i="2"/>
  <c r="BB168" i="2"/>
  <c r="BA168" i="2"/>
  <c r="AZ168" i="2"/>
  <c r="AX168" i="2"/>
  <c r="AV168" i="2"/>
  <c r="AU168" i="2"/>
  <c r="AT168" i="2"/>
  <c r="AS168" i="2"/>
  <c r="AR168" i="2"/>
  <c r="AQ168" i="2"/>
  <c r="AP168" i="2"/>
  <c r="AN168" i="2"/>
  <c r="AM168" i="2"/>
  <c r="AL168" i="2"/>
  <c r="AK168" i="2"/>
  <c r="AJ168" i="2"/>
  <c r="AI168" i="2"/>
  <c r="AH168" i="2"/>
  <c r="AG168" i="2"/>
  <c r="AF168" i="2"/>
  <c r="AE168" i="2"/>
  <c r="AD168" i="2"/>
  <c r="S168" i="2"/>
  <c r="R168" i="2"/>
  <c r="Q168" i="2"/>
  <c r="P168" i="2"/>
  <c r="O168" i="2"/>
  <c r="N168" i="2"/>
  <c r="M168" i="2"/>
  <c r="L168" i="2"/>
  <c r="K168" i="2"/>
  <c r="U168" i="2"/>
  <c r="T168" i="2"/>
  <c r="AC168" i="2"/>
  <c r="AB168" i="2"/>
  <c r="AA168" i="2"/>
  <c r="Z168" i="2"/>
  <c r="Y168" i="2"/>
  <c r="X168" i="2"/>
  <c r="J168" i="2"/>
  <c r="I168" i="2"/>
  <c r="H168" i="2"/>
  <c r="AO168" i="2"/>
  <c r="BM13" i="18" l="1"/>
  <c r="BM13" i="19"/>
  <c r="BN14" i="22"/>
  <c r="R60" i="4"/>
  <c r="BJ9" i="19" s="1"/>
  <c r="N14" i="20"/>
  <c r="BB14" i="22"/>
  <c r="AL14" i="22"/>
  <c r="V14" i="22"/>
  <c r="AH14" i="23"/>
  <c r="X11" i="23"/>
  <c r="X15" i="23" s="1"/>
  <c r="AS14" i="20"/>
  <c r="AC14" i="20"/>
  <c r="M14" i="20"/>
  <c r="AL14" i="19"/>
  <c r="BB14" i="19"/>
  <c r="AJ14" i="18"/>
  <c r="T14" i="18"/>
  <c r="BH14" i="20"/>
  <c r="AR14" i="20"/>
  <c r="AB14" i="20"/>
  <c r="AI14" i="18"/>
  <c r="AS14" i="19"/>
  <c r="AC14" i="19"/>
  <c r="AQ14" i="20"/>
  <c r="AY14" i="22"/>
  <c r="AU14" i="23"/>
  <c r="O14" i="23"/>
  <c r="AV14" i="23"/>
  <c r="AH14" i="22"/>
  <c r="R14" i="22"/>
  <c r="AP14" i="20"/>
  <c r="K14" i="19"/>
  <c r="AO14" i="20"/>
  <c r="AF14" i="18"/>
  <c r="P14" i="22"/>
  <c r="BH14" i="23"/>
  <c r="AR14" i="23"/>
  <c r="AP14" i="19"/>
  <c r="AO14" i="19"/>
  <c r="AY14" i="18"/>
  <c r="AB14" i="19"/>
  <c r="Z14" i="20"/>
  <c r="BJ14" i="18"/>
  <c r="BJ14" i="22"/>
  <c r="AT14" i="22"/>
  <c r="AP14" i="23"/>
  <c r="AS14" i="18"/>
  <c r="AC14" i="18"/>
  <c r="M14" i="18"/>
  <c r="W14" i="19"/>
  <c r="BI14" i="22"/>
  <c r="AS14" i="22"/>
  <c r="Y14" i="23"/>
  <c r="AR14" i="19"/>
  <c r="AQ14" i="19"/>
  <c r="BJ14" i="19"/>
  <c r="AR14" i="18"/>
  <c r="AZ14" i="20"/>
  <c r="N14" i="19"/>
  <c r="AQ14" i="18"/>
  <c r="AA14" i="18"/>
  <c r="AK14" i="19"/>
  <c r="S14" i="20"/>
  <c r="W14" i="23"/>
  <c r="AD14" i="19"/>
  <c r="P11" i="23"/>
  <c r="AJ14" i="19"/>
  <c r="AO14" i="18"/>
  <c r="AI14" i="19"/>
  <c r="AG14" i="20"/>
  <c r="AO14" i="22"/>
  <c r="AX14" i="19"/>
  <c r="AF14" i="20"/>
  <c r="T14" i="23"/>
  <c r="AU14" i="20"/>
  <c r="AY14" i="23"/>
  <c r="AO14" i="2"/>
  <c r="Y14" i="2"/>
  <c r="I14" i="2"/>
  <c r="R14" i="2"/>
  <c r="AG14" i="2"/>
  <c r="AM13" i="2"/>
  <c r="L14" i="2"/>
  <c r="AQ14" i="2"/>
  <c r="BO14" i="21"/>
  <c r="S14" i="21"/>
  <c r="AW14" i="21"/>
  <c r="AF14" i="21"/>
  <c r="BJ14" i="21"/>
  <c r="N14" i="21"/>
  <c r="M14" i="21"/>
  <c r="BH14" i="21"/>
  <c r="AB14" i="21"/>
  <c r="L14" i="21"/>
  <c r="AQ14" i="21"/>
  <c r="F7" i="21"/>
  <c r="AO14" i="21"/>
  <c r="AL14" i="21"/>
  <c r="BA14" i="21"/>
  <c r="U14" i="21"/>
  <c r="T14" i="21"/>
  <c r="BO9" i="28"/>
  <c r="Q9" i="28"/>
  <c r="BK10" i="28"/>
  <c r="M10" i="28"/>
  <c r="BL10" i="28"/>
  <c r="N10" i="28"/>
  <c r="L10" i="28"/>
  <c r="BJ10" i="28"/>
  <c r="F8" i="28"/>
  <c r="BD8" i="28"/>
  <c r="BE8" i="28"/>
  <c r="G8" i="28"/>
  <c r="BG14" i="18"/>
  <c r="BQ3" i="18"/>
  <c r="BQ2" i="18" s="1"/>
  <c r="BG14" i="22"/>
  <c r="P8" i="28"/>
  <c r="X8" i="28" s="1"/>
  <c r="BN8" i="28"/>
  <c r="BD9" i="28"/>
  <c r="F9" i="28"/>
  <c r="L8" i="28"/>
  <c r="BJ8" i="28"/>
  <c r="BN9" i="28"/>
  <c r="P9" i="28"/>
  <c r="BL9" i="28"/>
  <c r="N9" i="28"/>
  <c r="W9" i="28" s="1"/>
  <c r="BE9" i="28"/>
  <c r="G9" i="28"/>
  <c r="BJ9" i="28"/>
  <c r="L9" i="28"/>
  <c r="O8" i="28"/>
  <c r="BM8" i="28"/>
  <c r="BK9" i="28"/>
  <c r="M9" i="28"/>
  <c r="N8" i="28"/>
  <c r="BL8" i="28"/>
  <c r="K63" i="4"/>
  <c r="BM8" i="18" s="1"/>
  <c r="K42" i="4"/>
  <c r="AR8" i="18" s="1"/>
  <c r="M8" i="28"/>
  <c r="BK8" i="28"/>
  <c r="BM10" i="28"/>
  <c r="O10" i="28"/>
  <c r="U9" i="28"/>
  <c r="BO2" i="18"/>
  <c r="V167" i="2"/>
  <c r="Z167" i="2"/>
  <c r="X169" i="2"/>
  <c r="W34" i="4"/>
  <c r="AJ8" i="20" s="1"/>
  <c r="X34" i="4"/>
  <c r="AJ9" i="20" s="1"/>
  <c r="X10" i="4"/>
  <c r="L9" i="20" s="1"/>
  <c r="X18" i="4"/>
  <c r="T9" i="20" s="1"/>
  <c r="X42" i="4"/>
  <c r="AR9" i="20" s="1"/>
  <c r="Q66" i="4"/>
  <c r="BP8" i="19" s="1"/>
  <c r="F14" i="23"/>
  <c r="H13" i="21"/>
  <c r="W65" i="4"/>
  <c r="BO8" i="20" s="1"/>
  <c r="E13" i="4"/>
  <c r="O8" i="2" s="1"/>
  <c r="E5" i="4"/>
  <c r="G8" i="2" s="1"/>
  <c r="E29" i="4"/>
  <c r="AE8" i="2" s="1"/>
  <c r="F21" i="4"/>
  <c r="W9" i="2" s="1"/>
  <c r="X65" i="4"/>
  <c r="BO9" i="20" s="1"/>
  <c r="AH11" i="19"/>
  <c r="AH15" i="19" s="1"/>
  <c r="R13" i="19"/>
  <c r="BD11" i="20"/>
  <c r="BD15" i="20" s="1"/>
  <c r="AN13" i="20"/>
  <c r="BD11" i="22"/>
  <c r="BD15" i="22" s="1"/>
  <c r="X11" i="22"/>
  <c r="X15" i="22" s="1"/>
  <c r="H13" i="22"/>
  <c r="F167" i="22"/>
  <c r="D171" i="22"/>
  <c r="F167" i="18"/>
  <c r="D171" i="18"/>
  <c r="F167" i="21"/>
  <c r="D171" i="21"/>
  <c r="F167" i="19"/>
  <c r="F169" i="19" s="1"/>
  <c r="D171" i="19"/>
  <c r="F167" i="20"/>
  <c r="D171" i="20"/>
  <c r="F167" i="2"/>
  <c r="F169" i="2" s="1"/>
  <c r="D171" i="2"/>
  <c r="F167" i="23"/>
  <c r="D171" i="23"/>
  <c r="BM13" i="21"/>
  <c r="AG11" i="21"/>
  <c r="AG15" i="21" s="1"/>
  <c r="AX12" i="23"/>
  <c r="BM13" i="2"/>
  <c r="F11" i="23"/>
  <c r="F15" i="23" s="1"/>
  <c r="BE11" i="2"/>
  <c r="BE15" i="2" s="1"/>
  <c r="AU11" i="19"/>
  <c r="AU15" i="19" s="1"/>
  <c r="AN11" i="21"/>
  <c r="AN15" i="21" s="1"/>
  <c r="M11" i="19"/>
  <c r="M15" i="19" s="1"/>
  <c r="AI11" i="20"/>
  <c r="AI15" i="20" s="1"/>
  <c r="AN12" i="23"/>
  <c r="BN13" i="20"/>
  <c r="BN13" i="23"/>
  <c r="AW11" i="18"/>
  <c r="AW15" i="18" s="1"/>
  <c r="Q11" i="18"/>
  <c r="Q15" i="18" s="1"/>
  <c r="AY12" i="19"/>
  <c r="AY12" i="21"/>
  <c r="K13" i="21"/>
  <c r="BI11" i="23"/>
  <c r="BI15" i="23" s="1"/>
  <c r="L38" i="4"/>
  <c r="AN9" i="18" s="1"/>
  <c r="AD7" i="4"/>
  <c r="I9" i="21" s="1"/>
  <c r="F29" i="4"/>
  <c r="AE9" i="2" s="1"/>
  <c r="F5" i="4"/>
  <c r="G9" i="2" s="1"/>
  <c r="R59" i="4"/>
  <c r="BI9" i="19" s="1"/>
  <c r="AD43" i="4"/>
  <c r="AS9" i="21" s="1"/>
  <c r="K31" i="4"/>
  <c r="AG8" i="18" s="1"/>
  <c r="K49" i="4"/>
  <c r="AY8" i="18" s="1"/>
  <c r="E53" i="4"/>
  <c r="BC8" i="2" s="1"/>
  <c r="F45" i="4"/>
  <c r="AU9" i="2" s="1"/>
  <c r="AO61" i="4"/>
  <c r="BK8" i="23" s="1"/>
  <c r="AJ25" i="4"/>
  <c r="AA9" i="22" s="1"/>
  <c r="I5" i="21"/>
  <c r="W33" i="4"/>
  <c r="AI8" i="20" s="1"/>
  <c r="BR3" i="19"/>
  <c r="W9" i="4"/>
  <c r="K8" i="20" s="1"/>
  <c r="AI38" i="4"/>
  <c r="AN8" i="22" s="1"/>
  <c r="AD25" i="4"/>
  <c r="AA9" i="21" s="1"/>
  <c r="AD47" i="4"/>
  <c r="AW9" i="21" s="1"/>
  <c r="AC28" i="4"/>
  <c r="AD8" i="21" s="1"/>
  <c r="BI5" i="19"/>
  <c r="E21" i="4"/>
  <c r="W8" i="2" s="1"/>
  <c r="E45" i="4"/>
  <c r="AU8" i="2" s="1"/>
  <c r="E61" i="4"/>
  <c r="BK8" i="2" s="1"/>
  <c r="F53" i="4"/>
  <c r="BC9" i="2" s="1"/>
  <c r="BG2" i="2"/>
  <c r="F54" i="4"/>
  <c r="BD9" i="2" s="1"/>
  <c r="F13" i="4"/>
  <c r="O9" i="2" s="1"/>
  <c r="AO37" i="4"/>
  <c r="AM8" i="23" s="1"/>
  <c r="AP5" i="4"/>
  <c r="G9" i="23" s="1"/>
  <c r="AP29" i="4"/>
  <c r="AE9" i="23" s="1"/>
  <c r="AO13" i="4"/>
  <c r="O8" i="23" s="1"/>
  <c r="AP53" i="4"/>
  <c r="BC9" i="23" s="1"/>
  <c r="AO53" i="4"/>
  <c r="BC8" i="23" s="1"/>
  <c r="AP13" i="4"/>
  <c r="O9" i="23" s="1"/>
  <c r="O7" i="23" s="1"/>
  <c r="BR3" i="22"/>
  <c r="AO5" i="4"/>
  <c r="G8" i="23" s="1"/>
  <c r="AO29" i="4"/>
  <c r="AE8" i="23" s="1"/>
  <c r="AE7" i="23" s="1"/>
  <c r="AP37" i="4"/>
  <c r="AM9" i="23" s="1"/>
  <c r="BQ5" i="22"/>
  <c r="AJ46" i="4"/>
  <c r="AV9" i="22" s="1"/>
  <c r="AS5" i="21"/>
  <c r="AC51" i="4"/>
  <c r="BA8" i="21" s="1"/>
  <c r="BQ3" i="20"/>
  <c r="BQ2" i="20" s="1"/>
  <c r="AC27" i="4"/>
  <c r="AC8" i="21" s="1"/>
  <c r="AC43" i="4"/>
  <c r="AS8" i="21" s="1"/>
  <c r="AD51" i="4"/>
  <c r="BA9" i="21" s="1"/>
  <c r="W25" i="4"/>
  <c r="AA8" i="20" s="1"/>
  <c r="W49" i="4"/>
  <c r="AY8" i="20" s="1"/>
  <c r="X33" i="4"/>
  <c r="AI9" i="20" s="1"/>
  <c r="AI7" i="20" s="1"/>
  <c r="X57" i="4"/>
  <c r="W17" i="4"/>
  <c r="S8" i="20" s="1"/>
  <c r="W57" i="4"/>
  <c r="BG8" i="20" s="1"/>
  <c r="Q27" i="4"/>
  <c r="AC8" i="19" s="1"/>
  <c r="G3" i="19"/>
  <c r="G2" i="19" s="1"/>
  <c r="Q35" i="4"/>
  <c r="AK8" i="19" s="1"/>
  <c r="R19" i="4"/>
  <c r="U9" i="19" s="1"/>
  <c r="R11" i="4"/>
  <c r="M9" i="19" s="1"/>
  <c r="Q19" i="4"/>
  <c r="U8" i="19" s="1"/>
  <c r="R43" i="4"/>
  <c r="AS9" i="19" s="1"/>
  <c r="Q59" i="4"/>
  <c r="BI8" i="19" s="1"/>
  <c r="K17" i="4"/>
  <c r="S8" i="18" s="1"/>
  <c r="L33" i="4"/>
  <c r="AI9" i="18" s="1"/>
  <c r="L57" i="4"/>
  <c r="K57" i="4"/>
  <c r="BG8" i="18" s="1"/>
  <c r="L9" i="4"/>
  <c r="K9" i="18" s="1"/>
  <c r="AG5" i="18"/>
  <c r="E26" i="4"/>
  <c r="AB8" i="2" s="1"/>
  <c r="Q4" i="2"/>
  <c r="F30" i="4"/>
  <c r="AF9" i="2" s="1"/>
  <c r="AO58" i="4"/>
  <c r="BH8" i="23" s="1"/>
  <c r="AO34" i="4"/>
  <c r="AJ8" i="23" s="1"/>
  <c r="AN14" i="22"/>
  <c r="AN13" i="22"/>
  <c r="AC65" i="4"/>
  <c r="BO8" i="21" s="1"/>
  <c r="AC9" i="4"/>
  <c r="K8" i="21" s="1"/>
  <c r="AC41" i="4"/>
  <c r="AQ8" i="21" s="1"/>
  <c r="W6" i="4"/>
  <c r="H8" i="20" s="1"/>
  <c r="BE14" i="18"/>
  <c r="BE166" i="18" s="1"/>
  <c r="BE11" i="18"/>
  <c r="BE15" i="18" s="1"/>
  <c r="AN5" i="18"/>
  <c r="L54" i="4"/>
  <c r="BD9" i="18" s="1"/>
  <c r="E42" i="4"/>
  <c r="AR8" i="2" s="1"/>
  <c r="BR14" i="23"/>
  <c r="BR13" i="23"/>
  <c r="AO10" i="4"/>
  <c r="L8" i="23" s="1"/>
  <c r="W22" i="4"/>
  <c r="X8" i="20" s="1"/>
  <c r="X14" i="4"/>
  <c r="P9" i="20" s="1"/>
  <c r="L14" i="4"/>
  <c r="P9" i="18" s="1"/>
  <c r="F58" i="4"/>
  <c r="BH9" i="2" s="1"/>
  <c r="F64" i="4"/>
  <c r="BN9" i="2" s="1"/>
  <c r="X60" i="4"/>
  <c r="BJ9" i="20" s="1"/>
  <c r="BB12" i="20"/>
  <c r="X36" i="4"/>
  <c r="AL9" i="20" s="1"/>
  <c r="BM2" i="18"/>
  <c r="BI13" i="18"/>
  <c r="L51" i="4"/>
  <c r="BA9" i="18" s="1"/>
  <c r="O13" i="19"/>
  <c r="G12" i="19"/>
  <c r="BI11" i="20"/>
  <c r="BI15" i="20" s="1"/>
  <c r="BA12" i="20"/>
  <c r="W35" i="4"/>
  <c r="AK8" i="20" s="1"/>
  <c r="AU11" i="21"/>
  <c r="AU15" i="21" s="1"/>
  <c r="AD29" i="4"/>
  <c r="AE9" i="21" s="1"/>
  <c r="AJ51" i="4"/>
  <c r="BA9" i="22" s="1"/>
  <c r="BE11" i="23"/>
  <c r="BE15" i="23" s="1"/>
  <c r="AW12" i="23"/>
  <c r="Q13" i="23"/>
  <c r="W38" i="4"/>
  <c r="AN8" i="20" s="1"/>
  <c r="K54" i="4"/>
  <c r="BD8" i="18" s="1"/>
  <c r="AP18" i="4"/>
  <c r="T9" i="23" s="1"/>
  <c r="T7" i="23" s="1"/>
  <c r="R40" i="4"/>
  <c r="AP9" i="19" s="1"/>
  <c r="W14" i="4"/>
  <c r="P8" i="20" s="1"/>
  <c r="BO2" i="20"/>
  <c r="E66" i="4"/>
  <c r="BP8" i="2" s="1"/>
  <c r="AY12" i="18"/>
  <c r="BO13" i="23"/>
  <c r="S11" i="20"/>
  <c r="S15" i="20" s="1"/>
  <c r="BL11" i="2"/>
  <c r="BL15" i="2" s="1"/>
  <c r="BL166" i="2" s="1"/>
  <c r="AN13" i="21"/>
  <c r="AN14" i="21"/>
  <c r="N13" i="22"/>
  <c r="BL12" i="23"/>
  <c r="BM2" i="19"/>
  <c r="BQ5" i="20"/>
  <c r="BR5" i="22"/>
  <c r="BQ3" i="21"/>
  <c r="BQ2" i="21" s="1"/>
  <c r="BB11" i="19"/>
  <c r="BB15" i="19" s="1"/>
  <c r="BB166" i="19" s="1"/>
  <c r="AI28" i="4"/>
  <c r="AD8" i="22" s="1"/>
  <c r="BR12" i="23"/>
  <c r="AJ11" i="21"/>
  <c r="AJ15" i="21" s="1"/>
  <c r="E22" i="4"/>
  <c r="X8" i="2" s="1"/>
  <c r="F6" i="4"/>
  <c r="H9" i="2" s="1"/>
  <c r="AJ66" i="4"/>
  <c r="BP9" i="22" s="1"/>
  <c r="AJ50" i="4"/>
  <c r="AZ9" i="22" s="1"/>
  <c r="AJ12" i="22"/>
  <c r="BD11" i="23"/>
  <c r="BD15" i="23" s="1"/>
  <c r="BB12" i="19"/>
  <c r="BH12" i="21"/>
  <c r="K12" i="18"/>
  <c r="AD27" i="4"/>
  <c r="AC9" i="21" s="1"/>
  <c r="AD19" i="4"/>
  <c r="U9" i="21" s="1"/>
  <c r="X66" i="4"/>
  <c r="BP9" i="20" s="1"/>
  <c r="BQ3" i="2"/>
  <c r="AX12" i="20"/>
  <c r="O11" i="23"/>
  <c r="O15" i="23" s="1"/>
  <c r="O166" i="23" s="1"/>
  <c r="AO46" i="4"/>
  <c r="AV8" i="23" s="1"/>
  <c r="AO22" i="4"/>
  <c r="X8" i="23" s="1"/>
  <c r="AZ5" i="22"/>
  <c r="N12" i="22"/>
  <c r="BP5" i="22"/>
  <c r="V11" i="22"/>
  <c r="V15" i="22" s="1"/>
  <c r="V166" i="22" s="1"/>
  <c r="G3" i="22"/>
  <c r="G2" i="22" s="1"/>
  <c r="AJ18" i="4"/>
  <c r="T9" i="22" s="1"/>
  <c r="AJ42" i="4"/>
  <c r="AR9" i="22" s="1"/>
  <c r="AI18" i="4"/>
  <c r="T8" i="22" s="1"/>
  <c r="BI14" i="21"/>
  <c r="BI13" i="21"/>
  <c r="BI11" i="21"/>
  <c r="BI15" i="21" s="1"/>
  <c r="AC52" i="4"/>
  <c r="BB8" i="21" s="1"/>
  <c r="BE12" i="21"/>
  <c r="BH13" i="21"/>
  <c r="BR3" i="20"/>
  <c r="AC59" i="4"/>
  <c r="BI8" i="21" s="1"/>
  <c r="AC35" i="4"/>
  <c r="AK8" i="21" s="1"/>
  <c r="AC11" i="4"/>
  <c r="M8" i="21" s="1"/>
  <c r="AK5" i="20"/>
  <c r="W43" i="4"/>
  <c r="AS8" i="20" s="1"/>
  <c r="BH11" i="20"/>
  <c r="BH15" i="20" s="1"/>
  <c r="BH166" i="20" s="1"/>
  <c r="AS11" i="20"/>
  <c r="AS15" i="20" s="1"/>
  <c r="AS166" i="20" s="1"/>
  <c r="AL5" i="20"/>
  <c r="BJ5" i="20"/>
  <c r="BR3" i="2"/>
  <c r="K33" i="4"/>
  <c r="AI8" i="18" s="1"/>
  <c r="AI7" i="18" s="1"/>
  <c r="L17" i="4"/>
  <c r="S9" i="18" s="1"/>
  <c r="L41" i="4"/>
  <c r="AQ9" i="18" s="1"/>
  <c r="T13" i="18"/>
  <c r="L25" i="4"/>
  <c r="AA9" i="18" s="1"/>
  <c r="AR11" i="18"/>
  <c r="AR15" i="18" s="1"/>
  <c r="AR166" i="18" s="1"/>
  <c r="E54" i="4"/>
  <c r="BD8" i="2" s="1"/>
  <c r="R13" i="2"/>
  <c r="F13" i="18"/>
  <c r="Y11" i="18"/>
  <c r="Y15" i="18" s="1"/>
  <c r="AT11" i="21"/>
  <c r="AT15" i="21" s="1"/>
  <c r="J13" i="23"/>
  <c r="O13" i="2"/>
  <c r="V11" i="19"/>
  <c r="V15" i="19" s="1"/>
  <c r="AJ13" i="20"/>
  <c r="AJ12" i="21"/>
  <c r="AU11" i="2"/>
  <c r="AU15" i="2" s="1"/>
  <c r="W11" i="2"/>
  <c r="W15" i="2" s="1"/>
  <c r="S13" i="20"/>
  <c r="AD12" i="21"/>
  <c r="H12" i="18"/>
  <c r="BL13" i="20"/>
  <c r="BH11" i="21"/>
  <c r="BH15" i="21" s="1"/>
  <c r="BH166" i="21" s="1"/>
  <c r="G13" i="18"/>
  <c r="Q60" i="4"/>
  <c r="BJ8" i="19" s="1"/>
  <c r="BJ7" i="19" s="1"/>
  <c r="L42" i="4"/>
  <c r="AR9" i="18" s="1"/>
  <c r="L18" i="4"/>
  <c r="T9" i="18" s="1"/>
  <c r="R44" i="4"/>
  <c r="AT9" i="19" s="1"/>
  <c r="AO6" i="4"/>
  <c r="H8" i="23" s="1"/>
  <c r="P13" i="2"/>
  <c r="BG13" i="23"/>
  <c r="BG13" i="19"/>
  <c r="U13" i="19"/>
  <c r="BC11" i="22"/>
  <c r="BC15" i="22" s="1"/>
  <c r="BD12" i="18"/>
  <c r="M12" i="22"/>
  <c r="N12" i="19"/>
  <c r="BF13" i="19"/>
  <c r="AW13" i="20"/>
  <c r="O12" i="23"/>
  <c r="F13" i="20"/>
  <c r="BL13" i="19"/>
  <c r="M12" i="20"/>
  <c r="AK13" i="18"/>
  <c r="AP11" i="18"/>
  <c r="AP15" i="18" s="1"/>
  <c r="AZ13" i="20"/>
  <c r="X11" i="20"/>
  <c r="X15" i="20" s="1"/>
  <c r="AD12" i="20"/>
  <c r="P12" i="21"/>
  <c r="W11" i="21"/>
  <c r="W15" i="21" s="1"/>
  <c r="AK12" i="22"/>
  <c r="AE13" i="23"/>
  <c r="F13" i="23"/>
  <c r="BK13" i="22"/>
  <c r="BC11" i="23"/>
  <c r="BC15" i="23" s="1"/>
  <c r="AE11" i="18"/>
  <c r="AE15" i="18" s="1"/>
  <c r="S12" i="19"/>
  <c r="AI12" i="23"/>
  <c r="BF12" i="23"/>
  <c r="BG12" i="20"/>
  <c r="BD12" i="2"/>
  <c r="BA12" i="18"/>
  <c r="AY13" i="19"/>
  <c r="AT11" i="20"/>
  <c r="AT15" i="20" s="1"/>
  <c r="L11" i="20"/>
  <c r="L15" i="20" s="1"/>
  <c r="X11" i="21"/>
  <c r="X15" i="21" s="1"/>
  <c r="BG12" i="22"/>
  <c r="F13" i="22"/>
  <c r="P12" i="18"/>
  <c r="AX13" i="23"/>
  <c r="AY13" i="20"/>
  <c r="T11" i="18"/>
  <c r="T15" i="18" s="1"/>
  <c r="T166" i="18" s="1"/>
  <c r="T11" i="20"/>
  <c r="T15" i="20" s="1"/>
  <c r="AR11" i="21"/>
  <c r="AR15" i="21" s="1"/>
  <c r="G12" i="21"/>
  <c r="S11" i="18"/>
  <c r="S15" i="18" s="1"/>
  <c r="U13" i="20"/>
  <c r="AK11" i="21"/>
  <c r="AK15" i="21" s="1"/>
  <c r="BG11" i="21"/>
  <c r="BG15" i="21" s="1"/>
  <c r="AF11" i="23"/>
  <c r="AF15" i="23" s="1"/>
  <c r="AJ12" i="23"/>
  <c r="BH11" i="2"/>
  <c r="BH15" i="2" s="1"/>
  <c r="L11" i="18"/>
  <c r="L15" i="18" s="1"/>
  <c r="BH13" i="22"/>
  <c r="L11" i="22"/>
  <c r="L15" i="22" s="1"/>
  <c r="BA11" i="19"/>
  <c r="BA15" i="19" s="1"/>
  <c r="AE11" i="19"/>
  <c r="AE15" i="19" s="1"/>
  <c r="AD11" i="22"/>
  <c r="AD15" i="22" s="1"/>
  <c r="H11" i="23"/>
  <c r="H15" i="23" s="1"/>
  <c r="BR11" i="23"/>
  <c r="BR15" i="23" s="1"/>
  <c r="BQ11" i="23"/>
  <c r="BQ15" i="23" s="1"/>
  <c r="AJ20" i="4"/>
  <c r="V9" i="22" s="1"/>
  <c r="AP63" i="4"/>
  <c r="BM9" i="23" s="1"/>
  <c r="AP6" i="4"/>
  <c r="H9" i="23" s="1"/>
  <c r="AO14" i="4"/>
  <c r="P8" i="23" s="1"/>
  <c r="X64" i="4"/>
  <c r="BN9" i="20" s="1"/>
  <c r="E62" i="4"/>
  <c r="BL8" i="2" s="1"/>
  <c r="AC44" i="4"/>
  <c r="AT8" i="21" s="1"/>
  <c r="W18" i="4"/>
  <c r="T8" i="20" s="1"/>
  <c r="T7" i="20" s="1"/>
  <c r="W19" i="4"/>
  <c r="U8" i="20" s="1"/>
  <c r="AC53" i="4"/>
  <c r="BC8" i="21" s="1"/>
  <c r="AC37" i="4"/>
  <c r="AM8" i="21" s="1"/>
  <c r="Q24" i="4"/>
  <c r="Z8" i="19" s="1"/>
  <c r="E46" i="4"/>
  <c r="AV8" i="2" s="1"/>
  <c r="K58" i="4"/>
  <c r="BH8" i="18" s="1"/>
  <c r="Q20" i="4"/>
  <c r="V8" i="19" s="1"/>
  <c r="AC36" i="4"/>
  <c r="AL8" i="21" s="1"/>
  <c r="AC20" i="4"/>
  <c r="V8" i="21" s="1"/>
  <c r="AI42" i="4"/>
  <c r="AR8" i="22" s="1"/>
  <c r="AO62" i="4"/>
  <c r="BL8" i="23" s="1"/>
  <c r="BL7" i="23" s="1"/>
  <c r="AI12" i="4"/>
  <c r="N8" i="22" s="1"/>
  <c r="AO8" i="4"/>
  <c r="J8" i="23" s="1"/>
  <c r="AO7" i="4"/>
  <c r="I8" i="23" s="1"/>
  <c r="AO54" i="4"/>
  <c r="BD8" i="23" s="1"/>
  <c r="BD7" i="23" s="1"/>
  <c r="E14" i="4"/>
  <c r="P8" i="2" s="1"/>
  <c r="W10" i="4"/>
  <c r="L8" i="20" s="1"/>
  <c r="L7" i="20" s="1"/>
  <c r="S167" i="22"/>
  <c r="P12" i="20"/>
  <c r="P14" i="20"/>
  <c r="P13" i="20"/>
  <c r="P11" i="20"/>
  <c r="P15" i="20" s="1"/>
  <c r="AG14" i="23"/>
  <c r="AG12" i="23"/>
  <c r="Q14" i="21"/>
  <c r="Q11" i="21"/>
  <c r="Q15" i="21" s="1"/>
  <c r="I13" i="18"/>
  <c r="I11" i="18"/>
  <c r="I15" i="18" s="1"/>
  <c r="BL13" i="2"/>
  <c r="BL12" i="2"/>
  <c r="BK14" i="21"/>
  <c r="BK11" i="21"/>
  <c r="BK15" i="21" s="1"/>
  <c r="BK12" i="21"/>
  <c r="AI11" i="21"/>
  <c r="AI15" i="21" s="1"/>
  <c r="AI14" i="21"/>
  <c r="BH14" i="18"/>
  <c r="BH12" i="18"/>
  <c r="BH11" i="18"/>
  <c r="BH15" i="18" s="1"/>
  <c r="BH13" i="18"/>
  <c r="H13" i="2"/>
  <c r="H11" i="2"/>
  <c r="H15" i="2" s="1"/>
  <c r="K14" i="20"/>
  <c r="K11" i="20"/>
  <c r="K15" i="20" s="1"/>
  <c r="R11" i="19"/>
  <c r="R15" i="19" s="1"/>
  <c r="R14" i="19"/>
  <c r="U11" i="18"/>
  <c r="U15" i="18" s="1"/>
  <c r="U12" i="18"/>
  <c r="O12" i="21"/>
  <c r="O13" i="21"/>
  <c r="U14" i="22"/>
  <c r="U11" i="22"/>
  <c r="U15" i="22" s="1"/>
  <c r="AV14" i="20"/>
  <c r="AV11" i="20"/>
  <c r="AV15" i="20" s="1"/>
  <c r="P12" i="23"/>
  <c r="F13" i="2"/>
  <c r="F12" i="2"/>
  <c r="F4" i="2"/>
  <c r="F14" i="18"/>
  <c r="F12" i="18"/>
  <c r="F4" i="18"/>
  <c r="U14" i="19"/>
  <c r="BK13" i="21"/>
  <c r="U12" i="22"/>
  <c r="AO14" i="23"/>
  <c r="AO166" i="23" s="1"/>
  <c r="AO11" i="23"/>
  <c r="AO15" i="23" s="1"/>
  <c r="AK14" i="21"/>
  <c r="AK13" i="21"/>
  <c r="U13" i="18"/>
  <c r="BD14" i="21"/>
  <c r="BD12" i="21"/>
  <c r="BD13" i="21"/>
  <c r="BD11" i="21"/>
  <c r="BD15" i="21" s="1"/>
  <c r="U13" i="22"/>
  <c r="BB14" i="21"/>
  <c r="BB11" i="21"/>
  <c r="BB15" i="21" s="1"/>
  <c r="BN11" i="20"/>
  <c r="BN15" i="20" s="1"/>
  <c r="BI4" i="21"/>
  <c r="AM5" i="21"/>
  <c r="BE13" i="21"/>
  <c r="I5" i="23"/>
  <c r="BL11" i="23"/>
  <c r="BL15" i="23" s="1"/>
  <c r="BL166" i="23" s="1"/>
  <c r="AZ11" i="2"/>
  <c r="AZ15" i="2" s="1"/>
  <c r="AD2" i="21"/>
  <c r="AY14" i="20"/>
  <c r="K18" i="4"/>
  <c r="T8" i="18" s="1"/>
  <c r="AC60" i="4"/>
  <c r="BJ8" i="21" s="1"/>
  <c r="K35" i="4"/>
  <c r="AK8" i="18" s="1"/>
  <c r="L35" i="4"/>
  <c r="AK9" i="18" s="1"/>
  <c r="AW12" i="18"/>
  <c r="AF12" i="21"/>
  <c r="BC5" i="21"/>
  <c r="BA5" i="22"/>
  <c r="L13" i="18"/>
  <c r="BL13" i="23"/>
  <c r="T12" i="18"/>
  <c r="BL11" i="20"/>
  <c r="BL15" i="20" s="1"/>
  <c r="BL166" i="20" s="1"/>
  <c r="BG13" i="22"/>
  <c r="AE5" i="21"/>
  <c r="AI13" i="22"/>
  <c r="AZ11" i="23"/>
  <c r="AZ15" i="23" s="1"/>
  <c r="H11" i="20"/>
  <c r="H15" i="20" s="1"/>
  <c r="AP61" i="4"/>
  <c r="BK9" i="23" s="1"/>
  <c r="AI66" i="4"/>
  <c r="BP8" i="22" s="1"/>
  <c r="Q14" i="4"/>
  <c r="P8" i="19" s="1"/>
  <c r="AO24" i="4"/>
  <c r="Z8" i="23" s="1"/>
  <c r="E31" i="4"/>
  <c r="AG8" i="2" s="1"/>
  <c r="AI43" i="4"/>
  <c r="AS8" i="22" s="1"/>
  <c r="AO47" i="4"/>
  <c r="AW8" i="23" s="1"/>
  <c r="Q58" i="4"/>
  <c r="BH8" i="19" s="1"/>
  <c r="AD37" i="4"/>
  <c r="AM9" i="21" s="1"/>
  <c r="AD60" i="4"/>
  <c r="BJ9" i="21" s="1"/>
  <c r="X59" i="4"/>
  <c r="BI9" i="20" s="1"/>
  <c r="R36" i="4"/>
  <c r="AL9" i="19" s="1"/>
  <c r="AL7" i="19" s="1"/>
  <c r="T12" i="2"/>
  <c r="AZ11" i="21"/>
  <c r="AZ15" i="21" s="1"/>
  <c r="T12" i="22"/>
  <c r="J11" i="2"/>
  <c r="J15" i="2" s="1"/>
  <c r="BM2" i="2"/>
  <c r="BO2" i="19"/>
  <c r="W44" i="4"/>
  <c r="AT8" i="20" s="1"/>
  <c r="AD61" i="4"/>
  <c r="BK9" i="21" s="1"/>
  <c r="AX13" i="18"/>
  <c r="J12" i="18"/>
  <c r="E47" i="4"/>
  <c r="AW8" i="2" s="1"/>
  <c r="K50" i="4"/>
  <c r="AZ8" i="18" s="1"/>
  <c r="Q52" i="4"/>
  <c r="BB8" i="19" s="1"/>
  <c r="BB7" i="19" s="1"/>
  <c r="AP22" i="4"/>
  <c r="X9" i="23" s="1"/>
  <c r="AP46" i="4"/>
  <c r="AV9" i="23" s="1"/>
  <c r="AD20" i="4"/>
  <c r="V9" i="21" s="1"/>
  <c r="AD44" i="4"/>
  <c r="AT9" i="21" s="1"/>
  <c r="X43" i="4"/>
  <c r="AS9" i="20" s="1"/>
  <c r="U12" i="2"/>
  <c r="Q13" i="20"/>
  <c r="I11" i="20"/>
  <c r="I15" i="20" s="1"/>
  <c r="BQ3" i="19"/>
  <c r="BA13" i="23"/>
  <c r="AK13" i="23"/>
  <c r="M13" i="23"/>
  <c r="L16" i="4"/>
  <c r="R9" i="18" s="1"/>
  <c r="K26" i="4"/>
  <c r="AB8" i="18" s="1"/>
  <c r="Q28" i="4"/>
  <c r="AD8" i="19" s="1"/>
  <c r="AI34" i="4"/>
  <c r="AJ8" i="22" s="1"/>
  <c r="AI58" i="4"/>
  <c r="BH8" i="22" s="1"/>
  <c r="Q26" i="4"/>
  <c r="AB8" i="19" s="1"/>
  <c r="K66" i="4"/>
  <c r="BP8" i="18" s="1"/>
  <c r="AI11" i="4"/>
  <c r="M8" i="22" s="1"/>
  <c r="AD28" i="4"/>
  <c r="AD9" i="21" s="1"/>
  <c r="X50" i="4"/>
  <c r="AZ9" i="20" s="1"/>
  <c r="L50" i="4"/>
  <c r="AZ9" i="18" s="1"/>
  <c r="BN14" i="23"/>
  <c r="BN166" i="23" s="1"/>
  <c r="BO12" i="23"/>
  <c r="Q14" i="23"/>
  <c r="M13" i="18"/>
  <c r="M12" i="18"/>
  <c r="Q13" i="18"/>
  <c r="T11" i="21"/>
  <c r="T15" i="21" s="1"/>
  <c r="T166" i="21" s="1"/>
  <c r="P14" i="18"/>
  <c r="Q14" i="18"/>
  <c r="BM13" i="20"/>
  <c r="BK2" i="20"/>
  <c r="BM12" i="20"/>
  <c r="T12" i="21"/>
  <c r="BN11" i="23"/>
  <c r="BN15" i="23" s="1"/>
  <c r="BA14" i="20"/>
  <c r="BM4" i="23"/>
  <c r="O2" i="19"/>
  <c r="BO2" i="23"/>
  <c r="F14" i="20"/>
  <c r="BQ14" i="23"/>
  <c r="BQ166" i="23" s="1"/>
  <c r="BA14" i="19"/>
  <c r="W14" i="2"/>
  <c r="BI2" i="2"/>
  <c r="F2" i="20"/>
  <c r="BM11" i="20"/>
  <c r="BM15" i="20" s="1"/>
  <c r="BM166" i="20" s="1"/>
  <c r="F12" i="21"/>
  <c r="BP13" i="23"/>
  <c r="F4" i="20"/>
  <c r="F14" i="22"/>
  <c r="F4" i="21"/>
  <c r="F4" i="23"/>
  <c r="BQ13" i="23"/>
  <c r="F2" i="21"/>
  <c r="BK4" i="23"/>
  <c r="BO4" i="23"/>
  <c r="F2" i="22"/>
  <c r="F4" i="19"/>
  <c r="BQ12" i="23"/>
  <c r="BP12" i="23"/>
  <c r="BQ4" i="23"/>
  <c r="F2" i="23"/>
  <c r="F171" i="23"/>
  <c r="AK152" i="30" s="1"/>
  <c r="Q4" i="18"/>
  <c r="F2" i="18"/>
  <c r="BK4" i="2"/>
  <c r="BB2" i="2"/>
  <c r="BK2" i="2"/>
  <c r="I13" i="2"/>
  <c r="L10" i="4"/>
  <c r="L9" i="18" s="1"/>
  <c r="W66" i="4"/>
  <c r="BP8" i="20" s="1"/>
  <c r="BP7" i="20" s="1"/>
  <c r="F28" i="4"/>
  <c r="AD9" i="2" s="1"/>
  <c r="L56" i="4"/>
  <c r="BF9" i="18" s="1"/>
  <c r="K40" i="4"/>
  <c r="AP8" i="18" s="1"/>
  <c r="L32" i="4"/>
  <c r="AH9" i="18" s="1"/>
  <c r="R18" i="4"/>
  <c r="T9" i="19" s="1"/>
  <c r="W64" i="4"/>
  <c r="BN8" i="20" s="1"/>
  <c r="BN7" i="20" s="1"/>
  <c r="X56" i="4"/>
  <c r="BF9" i="20" s="1"/>
  <c r="X40" i="4"/>
  <c r="AP9" i="20" s="1"/>
  <c r="X32" i="4"/>
  <c r="AH9" i="20" s="1"/>
  <c r="W8" i="4"/>
  <c r="J8" i="20" s="1"/>
  <c r="AC42" i="4"/>
  <c r="AR8" i="21" s="1"/>
  <c r="AC26" i="4"/>
  <c r="AB8" i="21" s="1"/>
  <c r="K19" i="4"/>
  <c r="U8" i="18" s="1"/>
  <c r="E59" i="4"/>
  <c r="BI8" i="2" s="1"/>
  <c r="F51" i="4"/>
  <c r="BA9" i="2" s="1"/>
  <c r="E43" i="4"/>
  <c r="AS8" i="2" s="1"/>
  <c r="F35" i="4"/>
  <c r="AK9" i="2" s="1"/>
  <c r="E27" i="4"/>
  <c r="AC8" i="2" s="1"/>
  <c r="F11" i="4"/>
  <c r="M9" i="2" s="1"/>
  <c r="L31" i="4"/>
  <c r="AG9" i="18" s="1"/>
  <c r="Q65" i="4"/>
  <c r="BO8" i="19" s="1"/>
  <c r="X63" i="4"/>
  <c r="BM9" i="20" s="1"/>
  <c r="AD65" i="4"/>
  <c r="BO9" i="21" s="1"/>
  <c r="AD57" i="4"/>
  <c r="AD49" i="4"/>
  <c r="AY9" i="21" s="1"/>
  <c r="AD41" i="4"/>
  <c r="AQ9" i="21" s="1"/>
  <c r="AC33" i="4"/>
  <c r="AI8" i="21" s="1"/>
  <c r="AD17" i="4"/>
  <c r="S9" i="21" s="1"/>
  <c r="K41" i="4"/>
  <c r="AQ8" i="18" s="1"/>
  <c r="E37" i="4"/>
  <c r="AM8" i="2" s="1"/>
  <c r="W26" i="4"/>
  <c r="AB8" i="20" s="1"/>
  <c r="F10" i="4"/>
  <c r="L9" i="2" s="1"/>
  <c r="L62" i="4"/>
  <c r="BL9" i="18" s="1"/>
  <c r="BL7" i="18" s="1"/>
  <c r="K46" i="4"/>
  <c r="AV8" i="18" s="1"/>
  <c r="K30" i="4"/>
  <c r="AF8" i="18" s="1"/>
  <c r="K6" i="4"/>
  <c r="H8" i="18" s="1"/>
  <c r="Q56" i="4"/>
  <c r="BF8" i="19" s="1"/>
  <c r="R16" i="4"/>
  <c r="R9" i="19" s="1"/>
  <c r="Q8" i="4"/>
  <c r="J8" i="19" s="1"/>
  <c r="X62" i="4"/>
  <c r="BL9" i="20" s="1"/>
  <c r="X46" i="4"/>
  <c r="AV9" i="20" s="1"/>
  <c r="X38" i="4"/>
  <c r="AN9" i="20" s="1"/>
  <c r="X22" i="4"/>
  <c r="X9" i="20" s="1"/>
  <c r="AP42" i="4"/>
  <c r="AR9" i="23" s="1"/>
  <c r="AP26" i="4"/>
  <c r="AB9" i="23" s="1"/>
  <c r="Q15" i="4"/>
  <c r="Q8" i="19" s="1"/>
  <c r="AC47" i="4"/>
  <c r="AW8" i="21" s="1"/>
  <c r="AW7" i="21" s="1"/>
  <c r="AC39" i="4"/>
  <c r="AO8" i="21" s="1"/>
  <c r="AC31" i="4"/>
  <c r="AG8" i="21" s="1"/>
  <c r="AD54" i="4"/>
  <c r="BD9" i="21" s="1"/>
  <c r="AD22" i="4"/>
  <c r="X9" i="21" s="1"/>
  <c r="AO48" i="4"/>
  <c r="AX8" i="23" s="1"/>
  <c r="AS14" i="23"/>
  <c r="U12" i="23"/>
  <c r="U14" i="23"/>
  <c r="U11" i="23"/>
  <c r="U15" i="23" s="1"/>
  <c r="U13" i="23"/>
  <c r="AE14" i="23"/>
  <c r="Q4" i="23"/>
  <c r="AH2" i="23"/>
  <c r="AE11" i="23"/>
  <c r="AE15" i="23" s="1"/>
  <c r="AE12" i="23"/>
  <c r="AP11" i="22"/>
  <c r="AP15" i="22" s="1"/>
  <c r="AX12" i="22"/>
  <c r="AX13" i="22"/>
  <c r="AX14" i="22"/>
  <c r="Z14" i="22"/>
  <c r="BB11" i="22"/>
  <c r="BB15" i="22" s="1"/>
  <c r="BB166" i="22" s="1"/>
  <c r="BB12" i="22"/>
  <c r="AJ11" i="22"/>
  <c r="AJ15" i="22" s="1"/>
  <c r="AJ13" i="22"/>
  <c r="BH14" i="22"/>
  <c r="AJ14" i="22"/>
  <c r="BE14" i="20"/>
  <c r="BE11" i="20"/>
  <c r="BE15" i="20" s="1"/>
  <c r="BF5" i="20"/>
  <c r="AH5" i="20"/>
  <c r="W40" i="4"/>
  <c r="AP8" i="20" s="1"/>
  <c r="W24" i="4"/>
  <c r="Z8" i="20" s="1"/>
  <c r="X16" i="4"/>
  <c r="R9" i="20" s="1"/>
  <c r="AW2" i="20"/>
  <c r="AW14" i="20"/>
  <c r="J5" i="20"/>
  <c r="BR5" i="19"/>
  <c r="BH13" i="19"/>
  <c r="BH11" i="19"/>
  <c r="BH15" i="19" s="1"/>
  <c r="L12" i="19"/>
  <c r="L11" i="19"/>
  <c r="L15" i="19" s="1"/>
  <c r="BG12" i="19"/>
  <c r="T5" i="19"/>
  <c r="BG11" i="19"/>
  <c r="BG15" i="19" s="1"/>
  <c r="BG14" i="19"/>
  <c r="R34" i="4"/>
  <c r="AJ9" i="19" s="1"/>
  <c r="R58" i="4"/>
  <c r="BH9" i="19" s="1"/>
  <c r="N11" i="19"/>
  <c r="N15" i="19" s="1"/>
  <c r="AL11" i="19"/>
  <c r="AL15" i="19" s="1"/>
  <c r="AL166" i="19" s="1"/>
  <c r="N13" i="19"/>
  <c r="Q10" i="4"/>
  <c r="L8" i="19" s="1"/>
  <c r="AL13" i="19"/>
  <c r="Z14" i="18"/>
  <c r="AS11" i="18"/>
  <c r="AS15" i="18" s="1"/>
  <c r="AS166" i="18" s="1"/>
  <c r="K16" i="4"/>
  <c r="R8" i="18" s="1"/>
  <c r="AB14" i="18"/>
  <c r="BF5" i="18"/>
  <c r="BR5" i="2"/>
  <c r="AH5" i="18"/>
  <c r="H3" i="18"/>
  <c r="G2" i="18" s="1"/>
  <c r="K8" i="4"/>
  <c r="J8" i="18" s="1"/>
  <c r="K48" i="4"/>
  <c r="AX8" i="18" s="1"/>
  <c r="K32" i="4"/>
  <c r="AH8" i="18" s="1"/>
  <c r="BK12" i="2"/>
  <c r="AD5" i="2"/>
  <c r="BI5" i="2"/>
  <c r="AS5" i="2"/>
  <c r="M5" i="2"/>
  <c r="F59" i="4"/>
  <c r="BI9" i="2" s="1"/>
  <c r="F19" i="4"/>
  <c r="U9" i="2" s="1"/>
  <c r="AK5" i="2"/>
  <c r="AJ2" i="2"/>
  <c r="AC5" i="2"/>
  <c r="AV14" i="2"/>
  <c r="BK14" i="2"/>
  <c r="BA5" i="2"/>
  <c r="BK11" i="2"/>
  <c r="BK15" i="2" s="1"/>
  <c r="BK13" i="2"/>
  <c r="T12" i="20"/>
  <c r="AZ4" i="20"/>
  <c r="AJ13" i="21"/>
  <c r="BP12" i="20"/>
  <c r="BM11" i="23"/>
  <c r="U14" i="18"/>
  <c r="R13" i="18"/>
  <c r="AE14" i="18"/>
  <c r="T13" i="20"/>
  <c r="AN14" i="20"/>
  <c r="BF14" i="22"/>
  <c r="BF12" i="22"/>
  <c r="BN14" i="18"/>
  <c r="BN11" i="18"/>
  <c r="BN15" i="18" s="1"/>
  <c r="BN12" i="18"/>
  <c r="BN13" i="18"/>
  <c r="BE14" i="21"/>
  <c r="R11" i="18"/>
  <c r="R15" i="18" s="1"/>
  <c r="AW14" i="18"/>
  <c r="BF14" i="19"/>
  <c r="AF11" i="21"/>
  <c r="AF15" i="21" s="1"/>
  <c r="AF166" i="21" s="1"/>
  <c r="BM4" i="18"/>
  <c r="BM14" i="18"/>
  <c r="BN14" i="19"/>
  <c r="BM4" i="19"/>
  <c r="BN11" i="19"/>
  <c r="BN15" i="19" s="1"/>
  <c r="BN12" i="19"/>
  <c r="X14" i="21"/>
  <c r="AJ14" i="21"/>
  <c r="BN12" i="23"/>
  <c r="R14" i="18"/>
  <c r="BG11" i="18"/>
  <c r="BG15" i="18" s="1"/>
  <c r="BL12" i="20"/>
  <c r="S12" i="20"/>
  <c r="BB12" i="21"/>
  <c r="Y11" i="21"/>
  <c r="Y15" i="21" s="1"/>
  <c r="AV14" i="21"/>
  <c r="AW13" i="23"/>
  <c r="X14" i="2"/>
  <c r="BM14" i="2"/>
  <c r="BN12" i="20"/>
  <c r="BM14" i="23"/>
  <c r="BM13" i="23"/>
  <c r="P13" i="21"/>
  <c r="AW13" i="18"/>
  <c r="BL11" i="18"/>
  <c r="BL15" i="18" s="1"/>
  <c r="BL13" i="18"/>
  <c r="BL12" i="18"/>
  <c r="BD13" i="22"/>
  <c r="BM12" i="23"/>
  <c r="M12" i="23"/>
  <c r="M14" i="23"/>
  <c r="M11" i="23"/>
  <c r="M15" i="23" s="1"/>
  <c r="BD14" i="2"/>
  <c r="AY14" i="19"/>
  <c r="U12" i="19"/>
  <c r="BA11" i="20"/>
  <c r="BA15" i="20" s="1"/>
  <c r="AJ11" i="20"/>
  <c r="AJ15" i="20" s="1"/>
  <c r="AI13" i="21"/>
  <c r="BD12" i="22"/>
  <c r="Q11" i="23"/>
  <c r="Q15" i="23" s="1"/>
  <c r="O13" i="23"/>
  <c r="AF12" i="23"/>
  <c r="BP13" i="20"/>
  <c r="AS11" i="22"/>
  <c r="AS15" i="22" s="1"/>
  <c r="AS166" i="22" s="1"/>
  <c r="N11" i="22"/>
  <c r="N15" i="22" s="1"/>
  <c r="N14" i="22"/>
  <c r="AM14" i="23"/>
  <c r="AM13" i="23"/>
  <c r="L14" i="23"/>
  <c r="L11" i="23"/>
  <c r="L15" i="23" s="1"/>
  <c r="BM4" i="2"/>
  <c r="BN11" i="2"/>
  <c r="BN15" i="2" s="1"/>
  <c r="BO13" i="20"/>
  <c r="BO14" i="20"/>
  <c r="BO12" i="20"/>
  <c r="O14" i="19"/>
  <c r="BA13" i="20"/>
  <c r="AJ14" i="20"/>
  <c r="BE11" i="21"/>
  <c r="BE15" i="21" s="1"/>
  <c r="BD14" i="22"/>
  <c r="AF13" i="23"/>
  <c r="BC14" i="23"/>
  <c r="BC13" i="23"/>
  <c r="J14" i="23"/>
  <c r="J11" i="23"/>
  <c r="J15" i="23" s="1"/>
  <c r="J12" i="23"/>
  <c r="F43" i="4"/>
  <c r="AS9" i="2" s="1"/>
  <c r="L58" i="4"/>
  <c r="BH9" i="18" s="1"/>
  <c r="X17" i="4"/>
  <c r="S9" i="20" s="1"/>
  <c r="AD21" i="4"/>
  <c r="W9" i="21" s="1"/>
  <c r="AP21" i="4"/>
  <c r="W9" i="23" s="1"/>
  <c r="AC12" i="4"/>
  <c r="N8" i="21" s="1"/>
  <c r="N7" i="21" s="1"/>
  <c r="R42" i="4"/>
  <c r="AR9" i="19" s="1"/>
  <c r="AO66" i="4"/>
  <c r="BR8" i="23" s="1"/>
  <c r="Q16" i="4"/>
  <c r="R8" i="19" s="1"/>
  <c r="AO50" i="4"/>
  <c r="AZ8" i="23" s="1"/>
  <c r="W62" i="4"/>
  <c r="BL8" i="20" s="1"/>
  <c r="W63" i="4"/>
  <c r="BM8" i="20" s="1"/>
  <c r="AP58" i="4"/>
  <c r="BH9" i="23" s="1"/>
  <c r="AJ14" i="4"/>
  <c r="P9" i="22" s="1"/>
  <c r="X54" i="4"/>
  <c r="BD9" i="20" s="1"/>
  <c r="R56" i="4"/>
  <c r="BF9" i="19" s="1"/>
  <c r="AF2" i="22"/>
  <c r="AZ2" i="22"/>
  <c r="BK2" i="22"/>
  <c r="BI2" i="19"/>
  <c r="L34" i="4"/>
  <c r="AJ9" i="18" s="1"/>
  <c r="AP45" i="4"/>
  <c r="AU9" i="23" s="1"/>
  <c r="L40" i="4"/>
  <c r="AP9" i="18" s="1"/>
  <c r="Q34" i="4"/>
  <c r="AJ8" i="19" s="1"/>
  <c r="Q33" i="4"/>
  <c r="AI8" i="19" s="1"/>
  <c r="E51" i="4"/>
  <c r="BA8" i="2" s="1"/>
  <c r="BO167" i="19"/>
  <c r="R35" i="4"/>
  <c r="AK9" i="19" s="1"/>
  <c r="X58" i="4"/>
  <c r="BH9" i="20" s="1"/>
  <c r="BR5" i="18"/>
  <c r="L19" i="4"/>
  <c r="U9" i="18" s="1"/>
  <c r="W58" i="4"/>
  <c r="BH8" i="20" s="1"/>
  <c r="W30" i="4"/>
  <c r="AF8" i="20" s="1"/>
  <c r="L22" i="4"/>
  <c r="X9" i="18" s="1"/>
  <c r="L46" i="4"/>
  <c r="AV9" i="18" s="1"/>
  <c r="L63" i="4"/>
  <c r="BM9" i="18" s="1"/>
  <c r="K25" i="4"/>
  <c r="AA8" i="18" s="1"/>
  <c r="W32" i="4"/>
  <c r="AH8" i="20" s="1"/>
  <c r="AJ26" i="4"/>
  <c r="AB9" i="22" s="1"/>
  <c r="F22" i="4"/>
  <c r="F48" i="4"/>
  <c r="AX9" i="2" s="1"/>
  <c r="E19" i="4"/>
  <c r="U8" i="2" s="1"/>
  <c r="K22" i="4"/>
  <c r="X8" i="18" s="1"/>
  <c r="AP50" i="4"/>
  <c r="AZ9" i="23" s="1"/>
  <c r="X24" i="4"/>
  <c r="Z9" i="20" s="1"/>
  <c r="R26" i="4"/>
  <c r="AB9" i="19" s="1"/>
  <c r="R48" i="4"/>
  <c r="AX9" i="19" s="1"/>
  <c r="F65" i="4"/>
  <c r="BO9" i="2" s="1"/>
  <c r="L48" i="4"/>
  <c r="AX9" i="18" s="1"/>
  <c r="AP65" i="4"/>
  <c r="BO9" i="23" s="1"/>
  <c r="F27" i="4"/>
  <c r="AC9" i="2" s="1"/>
  <c r="AD59" i="4"/>
  <c r="BI9" i="21" s="1"/>
  <c r="X41" i="4"/>
  <c r="AQ9" i="20" s="1"/>
  <c r="F14" i="4"/>
  <c r="P9" i="2" s="1"/>
  <c r="AD36" i="4"/>
  <c r="AL9" i="21" s="1"/>
  <c r="AC50" i="4"/>
  <c r="AZ8" i="21" s="1"/>
  <c r="K64" i="4"/>
  <c r="BN8" i="18" s="1"/>
  <c r="AP10" i="4"/>
  <c r="L9" i="23" s="1"/>
  <c r="AJ52" i="4"/>
  <c r="BB9" i="22" s="1"/>
  <c r="AD9" i="4"/>
  <c r="K9" i="21" s="1"/>
  <c r="AD31" i="4"/>
  <c r="AG9" i="21" s="1"/>
  <c r="X6" i="4"/>
  <c r="H9" i="20" s="1"/>
  <c r="X28" i="4"/>
  <c r="AD9" i="20" s="1"/>
  <c r="R8" i="4"/>
  <c r="J9" i="19" s="1"/>
  <c r="L6" i="4"/>
  <c r="H9" i="18" s="1"/>
  <c r="BK4" i="21"/>
  <c r="R12" i="4"/>
  <c r="N9" i="19" s="1"/>
  <c r="E11" i="4"/>
  <c r="M8" i="2" s="1"/>
  <c r="K14" i="4"/>
  <c r="P8" i="18" s="1"/>
  <c r="P7" i="18" s="1"/>
  <c r="Q18" i="4"/>
  <c r="T8" i="19" s="1"/>
  <c r="AC25" i="4"/>
  <c r="AA8" i="21" s="1"/>
  <c r="AA7" i="21" s="1"/>
  <c r="Q42" i="4"/>
  <c r="AR8" i="19" s="1"/>
  <c r="Q62" i="4"/>
  <c r="BL8" i="19" s="1"/>
  <c r="Q64" i="4"/>
  <c r="BN8" i="19" s="1"/>
  <c r="AP32" i="4"/>
  <c r="AH9" i="23" s="1"/>
  <c r="AJ32" i="4"/>
  <c r="AH9" i="22" s="1"/>
  <c r="AD33" i="4"/>
  <c r="AI9" i="21" s="1"/>
  <c r="X30" i="4"/>
  <c r="AF9" i="20" s="1"/>
  <c r="R10" i="4"/>
  <c r="L9" i="19" s="1"/>
  <c r="L30" i="4"/>
  <c r="AF9" i="18" s="1"/>
  <c r="BG4" i="20"/>
  <c r="K4" i="18"/>
  <c r="P11" i="18"/>
  <c r="P15" i="18" s="1"/>
  <c r="BO4" i="20"/>
  <c r="BM4" i="20"/>
  <c r="BO2" i="2"/>
  <c r="E63" i="4"/>
  <c r="BM8" i="2" s="1"/>
  <c r="L59" i="4"/>
  <c r="BI9" i="18" s="1"/>
  <c r="K51" i="4"/>
  <c r="BA8" i="18" s="1"/>
  <c r="K43" i="4"/>
  <c r="AS8" i="18" s="1"/>
  <c r="L11" i="4"/>
  <c r="M9" i="18" s="1"/>
  <c r="Q61" i="4"/>
  <c r="BK8" i="19" s="1"/>
  <c r="R37" i="4"/>
  <c r="AM9" i="19" s="1"/>
  <c r="R21" i="4"/>
  <c r="W9" i="19" s="1"/>
  <c r="X35" i="4"/>
  <c r="AK9" i="20" s="1"/>
  <c r="W27" i="4"/>
  <c r="AC8" i="20" s="1"/>
  <c r="X19" i="4"/>
  <c r="U9" i="20" s="1"/>
  <c r="AC45" i="4"/>
  <c r="AU8" i="21" s="1"/>
  <c r="AC29" i="4"/>
  <c r="AE8" i="21" s="1"/>
  <c r="AC21" i="4"/>
  <c r="W8" i="21" s="1"/>
  <c r="W7" i="21" s="1"/>
  <c r="AD13" i="4"/>
  <c r="O9" i="21" s="1"/>
  <c r="AD5" i="4"/>
  <c r="G9" i="21" s="1"/>
  <c r="AJ59" i="4"/>
  <c r="BI9" i="22" s="1"/>
  <c r="AI51" i="4"/>
  <c r="BA8" i="22" s="1"/>
  <c r="AJ43" i="4"/>
  <c r="AS9" i="22" s="1"/>
  <c r="AJ27" i="4"/>
  <c r="AC9" i="22" s="1"/>
  <c r="AI19" i="4"/>
  <c r="U8" i="22" s="1"/>
  <c r="AO63" i="4"/>
  <c r="BM8" i="23" s="1"/>
  <c r="AO55" i="4"/>
  <c r="BE8" i="23" s="1"/>
  <c r="AP47" i="4"/>
  <c r="AW9" i="23" s="1"/>
  <c r="AP39" i="4"/>
  <c r="AO9" i="23" s="1"/>
  <c r="AP31" i="4"/>
  <c r="AG9" i="23" s="1"/>
  <c r="AP23" i="4"/>
  <c r="Y9" i="23" s="1"/>
  <c r="AO15" i="4"/>
  <c r="Q8" i="23" s="1"/>
  <c r="AZ2" i="19"/>
  <c r="BD2" i="21"/>
  <c r="M4" i="22"/>
  <c r="BM2" i="23"/>
  <c r="E64" i="4"/>
  <c r="BN8" i="2" s="1"/>
  <c r="F56" i="4"/>
  <c r="BF9" i="2" s="1"/>
  <c r="AX13" i="2"/>
  <c r="R62" i="4"/>
  <c r="BL9" i="19" s="1"/>
  <c r="X52" i="4"/>
  <c r="BB9" i="20" s="1"/>
  <c r="X44" i="4"/>
  <c r="AT9" i="20" s="1"/>
  <c r="W36" i="4"/>
  <c r="AL8" i="20" s="1"/>
  <c r="W28" i="4"/>
  <c r="AD8" i="20" s="1"/>
  <c r="X20" i="4"/>
  <c r="V9" i="20" s="1"/>
  <c r="AD38" i="4"/>
  <c r="AN9" i="21" s="1"/>
  <c r="AC30" i="4"/>
  <c r="AF8" i="21" s="1"/>
  <c r="AJ60" i="4"/>
  <c r="BJ9" i="22" s="1"/>
  <c r="AI52" i="4"/>
  <c r="BB8" i="22" s="1"/>
  <c r="AJ44" i="4"/>
  <c r="AT9" i="22" s="1"/>
  <c r="AJ36" i="4"/>
  <c r="AL9" i="22" s="1"/>
  <c r="AJ28" i="4"/>
  <c r="AD9" i="22" s="1"/>
  <c r="AD7" i="22" s="1"/>
  <c r="AO64" i="4"/>
  <c r="BN8" i="23" s="1"/>
  <c r="AO56" i="4"/>
  <c r="BF8" i="23" s="1"/>
  <c r="AP40" i="4"/>
  <c r="AP9" i="23" s="1"/>
  <c r="AO32" i="4"/>
  <c r="AH8" i="23" s="1"/>
  <c r="AO16" i="4"/>
  <c r="R8" i="23" s="1"/>
  <c r="AP8" i="4"/>
  <c r="J9" i="23" s="1"/>
  <c r="E65" i="4"/>
  <c r="BO8" i="2" s="1"/>
  <c r="K29" i="4"/>
  <c r="AE8" i="18" s="1"/>
  <c r="Q63" i="4"/>
  <c r="BM8" i="19" s="1"/>
  <c r="AD63" i="4"/>
  <c r="BM9" i="21" s="1"/>
  <c r="AD55" i="4"/>
  <c r="BE9" i="21" s="1"/>
  <c r="AD39" i="4"/>
  <c r="AO9" i="21" s="1"/>
  <c r="AD23" i="4"/>
  <c r="Y9" i="21" s="1"/>
  <c r="AD15" i="4"/>
  <c r="Q9" i="21" s="1"/>
  <c r="AO65" i="4"/>
  <c r="BO8" i="23" s="1"/>
  <c r="AO33" i="4"/>
  <c r="AI8" i="23" s="1"/>
  <c r="J14" i="18"/>
  <c r="AW2" i="18"/>
  <c r="AF2" i="18"/>
  <c r="BM2" i="20"/>
  <c r="BL14" i="18"/>
  <c r="AJ4" i="21"/>
  <c r="AF2" i="21"/>
  <c r="AF5" i="19"/>
  <c r="R30" i="4"/>
  <c r="AF9" i="19" s="1"/>
  <c r="M2" i="19"/>
  <c r="AW4" i="18"/>
  <c r="BG4" i="19"/>
  <c r="AF2" i="23"/>
  <c r="U13" i="2"/>
  <c r="BD13" i="18"/>
  <c r="AX12" i="18"/>
  <c r="L14" i="19"/>
  <c r="AX12" i="19"/>
  <c r="U11" i="19"/>
  <c r="U15" i="19" s="1"/>
  <c r="BG11" i="20"/>
  <c r="AQ11" i="20"/>
  <c r="AQ15" i="20" s="1"/>
  <c r="AQ166" i="20" s="1"/>
  <c r="AK12" i="21"/>
  <c r="T13" i="21"/>
  <c r="T13" i="22"/>
  <c r="X14" i="22"/>
  <c r="AH11" i="23"/>
  <c r="AH15" i="23" s="1"/>
  <c r="AH166" i="23" s="1"/>
  <c r="Q4" i="20"/>
  <c r="S4" i="20"/>
  <c r="AP14" i="22"/>
  <c r="M14" i="22"/>
  <c r="AR11" i="23"/>
  <c r="AR15" i="23" s="1"/>
  <c r="AR166" i="23" s="1"/>
  <c r="AS11" i="23"/>
  <c r="AS15" i="23" s="1"/>
  <c r="BC12" i="23"/>
  <c r="BN12" i="2"/>
  <c r="BP13" i="18"/>
  <c r="BP12" i="19"/>
  <c r="F12" i="19"/>
  <c r="BM12" i="18"/>
  <c r="J11" i="19"/>
  <c r="J15" i="19" s="1"/>
  <c r="J14" i="19"/>
  <c r="BO4" i="19"/>
  <c r="BK2" i="18"/>
  <c r="BK2" i="19"/>
  <c r="AD14" i="22"/>
  <c r="AD12" i="22"/>
  <c r="Z14" i="23"/>
  <c r="AW12" i="21"/>
  <c r="Y14" i="21"/>
  <c r="BL14" i="19"/>
  <c r="BL12" i="19"/>
  <c r="U14" i="2"/>
  <c r="S12" i="18"/>
  <c r="BF11" i="19"/>
  <c r="BF15" i="19" s="1"/>
  <c r="BA13" i="21"/>
  <c r="BO12" i="2"/>
  <c r="H14" i="2"/>
  <c r="BJ13" i="22"/>
  <c r="BP12" i="2"/>
  <c r="BO13" i="2"/>
  <c r="BO13" i="19"/>
  <c r="BP12" i="18"/>
  <c r="AL2" i="19"/>
  <c r="BN13" i="22"/>
  <c r="BN11" i="22"/>
  <c r="BN15" i="22" s="1"/>
  <c r="BN166" i="22" s="1"/>
  <c r="P13" i="22"/>
  <c r="P12" i="22"/>
  <c r="F14" i="21"/>
  <c r="BM14" i="19"/>
  <c r="BM11" i="19"/>
  <c r="BM15" i="19" s="1"/>
  <c r="BM12" i="19"/>
  <c r="F12" i="22"/>
  <c r="J13" i="22"/>
  <c r="J12" i="22"/>
  <c r="AH2" i="2"/>
  <c r="G14" i="2"/>
  <c r="G11" i="2"/>
  <c r="G15" i="2" s="1"/>
  <c r="G13" i="2"/>
  <c r="AF11" i="18"/>
  <c r="AF15" i="18" s="1"/>
  <c r="AF166" i="18" s="1"/>
  <c r="S11" i="19"/>
  <c r="S15" i="19" s="1"/>
  <c r="AF12" i="20"/>
  <c r="Q14" i="20"/>
  <c r="N11" i="21"/>
  <c r="N15" i="21" s="1"/>
  <c r="Z4" i="22"/>
  <c r="AX14" i="23"/>
  <c r="BP13" i="2"/>
  <c r="U11" i="2"/>
  <c r="U15" i="2" s="1"/>
  <c r="AF12" i="18"/>
  <c r="O12" i="19"/>
  <c r="BF12" i="19"/>
  <c r="S13" i="19"/>
  <c r="AF11" i="20"/>
  <c r="AF15" i="20" s="1"/>
  <c r="AF166" i="20" s="1"/>
  <c r="L14" i="20"/>
  <c r="N13" i="21"/>
  <c r="BG12" i="21"/>
  <c r="Q13" i="21"/>
  <c r="BA12" i="21"/>
  <c r="AI11" i="22"/>
  <c r="AI15" i="22" s="1"/>
  <c r="P11" i="2"/>
  <c r="P15" i="2" s="1"/>
  <c r="H12" i="2"/>
  <c r="BJ11" i="22"/>
  <c r="BJ15" i="22" s="1"/>
  <c r="BJ166" i="22" s="1"/>
  <c r="BO11" i="23"/>
  <c r="BO15" i="23" s="1"/>
  <c r="BO166" i="23" s="1"/>
  <c r="BN13" i="19"/>
  <c r="BM11" i="18"/>
  <c r="BM11" i="2"/>
  <c r="BM12" i="2"/>
  <c r="BN14" i="20"/>
  <c r="AW14" i="23"/>
  <c r="AB14" i="2"/>
  <c r="G12" i="2"/>
  <c r="O11" i="19"/>
  <c r="O15" i="19" s="1"/>
  <c r="S14" i="19"/>
  <c r="S166" i="19" s="1"/>
  <c r="N12" i="21"/>
  <c r="BG4" i="21"/>
  <c r="O11" i="21"/>
  <c r="O15" i="21" s="1"/>
  <c r="AV11" i="21"/>
  <c r="AV15" i="21" s="1"/>
  <c r="BA11" i="21"/>
  <c r="AH12" i="22"/>
  <c r="AI14" i="22"/>
  <c r="AV11" i="23"/>
  <c r="AV15" i="23" s="1"/>
  <c r="AV166" i="23" s="1"/>
  <c r="BO4" i="2"/>
  <c r="J14" i="22"/>
  <c r="BH11" i="22"/>
  <c r="BH15" i="22" s="1"/>
  <c r="F13" i="19"/>
  <c r="F13" i="21"/>
  <c r="AD2" i="18"/>
  <c r="BB2" i="18"/>
  <c r="AC14" i="23"/>
  <c r="BN14" i="2"/>
  <c r="BN13" i="2"/>
  <c r="BO4" i="18"/>
  <c r="BO14" i="18"/>
  <c r="BO13" i="18"/>
  <c r="BH14" i="19"/>
  <c r="O14" i="21"/>
  <c r="AD13" i="22"/>
  <c r="AX14" i="18"/>
  <c r="AO11" i="21"/>
  <c r="AO15" i="21" s="1"/>
  <c r="AO166" i="21" s="1"/>
  <c r="AH13" i="23"/>
  <c r="BG4" i="22"/>
  <c r="AB11" i="2"/>
  <c r="AB15" i="2" s="1"/>
  <c r="BI11" i="22"/>
  <c r="BI15" i="22" s="1"/>
  <c r="BI166" i="22" s="1"/>
  <c r="BH12" i="22"/>
  <c r="BL11" i="19"/>
  <c r="BL15" i="19" s="1"/>
  <c r="BP13" i="19"/>
  <c r="BO12" i="19"/>
  <c r="S2" i="2"/>
  <c r="BG2" i="20"/>
  <c r="AB14" i="23"/>
  <c r="BP11" i="2"/>
  <c r="BP15" i="2" s="1"/>
  <c r="BP166" i="2" s="1"/>
  <c r="R12" i="19"/>
  <c r="AC23" i="4"/>
  <c r="Y8" i="21" s="1"/>
  <c r="K11" i="4"/>
  <c r="M8" i="18" s="1"/>
  <c r="W20" i="4"/>
  <c r="V8" i="20" s="1"/>
  <c r="V7" i="20" s="1"/>
  <c r="AD45" i="4"/>
  <c r="AU9" i="21" s="1"/>
  <c r="AP64" i="4"/>
  <c r="BN9" i="23" s="1"/>
  <c r="W11" i="4"/>
  <c r="M8" i="20" s="1"/>
  <c r="AC13" i="4"/>
  <c r="O8" i="21" s="1"/>
  <c r="AC15" i="4"/>
  <c r="Q8" i="21" s="1"/>
  <c r="Q7" i="21" s="1"/>
  <c r="AO23" i="4"/>
  <c r="Y8" i="23" s="1"/>
  <c r="W60" i="4"/>
  <c r="BJ8" i="20" s="1"/>
  <c r="AC61" i="4"/>
  <c r="BK8" i="21" s="1"/>
  <c r="BK7" i="21" s="1"/>
  <c r="AC63" i="4"/>
  <c r="BM8" i="21" s="1"/>
  <c r="AJ35" i="4"/>
  <c r="AK9" i="22" s="1"/>
  <c r="AD14" i="4"/>
  <c r="P9" i="21" s="1"/>
  <c r="X12" i="4"/>
  <c r="N9" i="20" s="1"/>
  <c r="R20" i="4"/>
  <c r="V9" i="19" s="1"/>
  <c r="V7" i="19" s="1"/>
  <c r="V4" i="21"/>
  <c r="AH2" i="21"/>
  <c r="W29" i="4"/>
  <c r="AE8" i="20" s="1"/>
  <c r="W42" i="4"/>
  <c r="AR8" i="20" s="1"/>
  <c r="AR7" i="20" s="1"/>
  <c r="AO39" i="4"/>
  <c r="AO8" i="23" s="1"/>
  <c r="AJ65" i="4"/>
  <c r="BO9" i="22" s="1"/>
  <c r="AJ41" i="4"/>
  <c r="AQ9" i="22" s="1"/>
  <c r="AI33" i="4"/>
  <c r="AI8" i="22" s="1"/>
  <c r="AJ17" i="4"/>
  <c r="S9" i="22" s="1"/>
  <c r="AI36" i="4"/>
  <c r="AL8" i="22" s="1"/>
  <c r="AJ19" i="4"/>
  <c r="U9" i="22" s="1"/>
  <c r="W46" i="4"/>
  <c r="AV8" i="20" s="1"/>
  <c r="K59" i="4"/>
  <c r="BI8" i="18" s="1"/>
  <c r="BI7" i="18" s="1"/>
  <c r="AI35" i="4"/>
  <c r="AK8" i="22" s="1"/>
  <c r="M2" i="2"/>
  <c r="K2" i="20"/>
  <c r="AD2" i="20"/>
  <c r="E48" i="4"/>
  <c r="AX8" i="2" s="1"/>
  <c r="AI44" i="4"/>
  <c r="AT8" i="22" s="1"/>
  <c r="F46" i="4"/>
  <c r="AV9" i="2" s="1"/>
  <c r="AO21" i="4"/>
  <c r="W8" i="23" s="1"/>
  <c r="F63" i="4"/>
  <c r="BM9" i="2" s="1"/>
  <c r="AC5" i="4"/>
  <c r="G8" i="21" s="1"/>
  <c r="W51" i="4"/>
  <c r="BA8" i="20" s="1"/>
  <c r="W52" i="4"/>
  <c r="BB8" i="20" s="1"/>
  <c r="AC55" i="4"/>
  <c r="BE8" i="21" s="1"/>
  <c r="K55" i="4"/>
  <c r="BE8" i="18" s="1"/>
  <c r="L39" i="4"/>
  <c r="AO9" i="18" s="1"/>
  <c r="AC49" i="4"/>
  <c r="AY8" i="21" s="1"/>
  <c r="BK2" i="23"/>
  <c r="AI65" i="4"/>
  <c r="BO8" i="22" s="1"/>
  <c r="AP25" i="4"/>
  <c r="AA9" i="23" s="1"/>
  <c r="AP48" i="4"/>
  <c r="AX9" i="23" s="1"/>
  <c r="BR5" i="20"/>
  <c r="AJ62" i="4"/>
  <c r="BL9" i="22" s="1"/>
  <c r="K2" i="19"/>
  <c r="AI45" i="4"/>
  <c r="AU8" i="22" s="1"/>
  <c r="AP66" i="4"/>
  <c r="G14" i="23"/>
  <c r="AF4" i="23"/>
  <c r="AG11" i="23"/>
  <c r="AG15" i="23" s="1"/>
  <c r="AF14" i="23"/>
  <c r="AF166" i="23" s="1"/>
  <c r="AW4" i="23"/>
  <c r="P14" i="23"/>
  <c r="AM11" i="23"/>
  <c r="AM15" i="23" s="1"/>
  <c r="Q2" i="23"/>
  <c r="BH12" i="23"/>
  <c r="AM12" i="23"/>
  <c r="BI2" i="23"/>
  <c r="AZ2" i="23"/>
  <c r="AJ2" i="23"/>
  <c r="L12" i="23"/>
  <c r="BH11" i="23"/>
  <c r="BH15" i="23" s="1"/>
  <c r="BH166" i="23" s="1"/>
  <c r="BH13" i="23"/>
  <c r="BD14" i="23"/>
  <c r="AP11" i="23"/>
  <c r="AP15" i="23" s="1"/>
  <c r="AP166" i="23" s="1"/>
  <c r="AO60" i="4"/>
  <c r="BJ8" i="23" s="1"/>
  <c r="K14" i="22"/>
  <c r="K11" i="22"/>
  <c r="K15" i="22" s="1"/>
  <c r="K12" i="22"/>
  <c r="AQ5" i="22"/>
  <c r="M13" i="22"/>
  <c r="AJ2" i="22"/>
  <c r="BO5" i="22"/>
  <c r="AI49" i="4"/>
  <c r="AY8" i="22" s="1"/>
  <c r="M11" i="22"/>
  <c r="AI41" i="4"/>
  <c r="AQ8" i="22" s="1"/>
  <c r="AJ49" i="4"/>
  <c r="AY9" i="22" s="1"/>
  <c r="BK14" i="22"/>
  <c r="T14" i="22"/>
  <c r="AI12" i="22"/>
  <c r="BF13" i="22"/>
  <c r="AR14" i="22"/>
  <c r="BG2" i="22"/>
  <c r="AJ9" i="4"/>
  <c r="K9" i="22" s="1"/>
  <c r="L13" i="22"/>
  <c r="AB11" i="22"/>
  <c r="AB15" i="22" s="1"/>
  <c r="BB13" i="22"/>
  <c r="BM2" i="22"/>
  <c r="BD2" i="22"/>
  <c r="Q2" i="22"/>
  <c r="BG11" i="22"/>
  <c r="BG15" i="22" s="1"/>
  <c r="P11" i="22"/>
  <c r="P15" i="22" s="1"/>
  <c r="BN12" i="22"/>
  <c r="S5" i="22"/>
  <c r="BF11" i="22"/>
  <c r="BF15" i="22" s="1"/>
  <c r="AJ57" i="4"/>
  <c r="AY13" i="21"/>
  <c r="U11" i="21"/>
  <c r="U15" i="21" s="1"/>
  <c r="U166" i="21" s="1"/>
  <c r="BJ11" i="21"/>
  <c r="AY14" i="21"/>
  <c r="AI12" i="21"/>
  <c r="BJ13" i="21"/>
  <c r="G2" i="21"/>
  <c r="H11" i="21"/>
  <c r="H15" i="21" s="1"/>
  <c r="BO2" i="21"/>
  <c r="BG2" i="21"/>
  <c r="AZ2" i="21"/>
  <c r="AO2" i="21"/>
  <c r="S2" i="21"/>
  <c r="K2" i="21"/>
  <c r="M2" i="21"/>
  <c r="V2" i="21"/>
  <c r="AY11" i="21"/>
  <c r="AY15" i="21" s="1"/>
  <c r="BJ12" i="21"/>
  <c r="AD35" i="4"/>
  <c r="AK9" i="21" s="1"/>
  <c r="AZ4" i="21"/>
  <c r="M13" i="21"/>
  <c r="AC57" i="4"/>
  <c r="BG8" i="21" s="1"/>
  <c r="V14" i="21"/>
  <c r="H14" i="21"/>
  <c r="BK2" i="21"/>
  <c r="T14" i="20"/>
  <c r="T166" i="20" s="1"/>
  <c r="BG14" i="20"/>
  <c r="BH13" i="20"/>
  <c r="U14" i="20"/>
  <c r="AZ12" i="20"/>
  <c r="BG13" i="20"/>
  <c r="BH12" i="20"/>
  <c r="AW12" i="20"/>
  <c r="R13" i="20"/>
  <c r="BI13" i="20"/>
  <c r="AZ11" i="20"/>
  <c r="AZ15" i="20" s="1"/>
  <c r="AZ166" i="20" s="1"/>
  <c r="U11" i="20"/>
  <c r="U15" i="20" s="1"/>
  <c r="BB14" i="20"/>
  <c r="R14" i="20"/>
  <c r="BE12" i="20"/>
  <c r="AG11" i="20"/>
  <c r="BE13" i="20"/>
  <c r="AF4" i="20"/>
  <c r="AF13" i="20"/>
  <c r="BD14" i="20"/>
  <c r="BD166" i="20" s="1"/>
  <c r="AH2" i="20"/>
  <c r="AU14" i="19"/>
  <c r="AU166" i="19" s="1"/>
  <c r="BA13" i="19"/>
  <c r="AD4" i="19"/>
  <c r="BA12" i="19"/>
  <c r="AH4" i="19"/>
  <c r="AI12" i="19"/>
  <c r="AI13" i="19"/>
  <c r="AC11" i="19"/>
  <c r="AC15" i="19" s="1"/>
  <c r="AC166" i="19" s="1"/>
  <c r="R28" i="4"/>
  <c r="AD9" i="19" s="1"/>
  <c r="R50" i="4"/>
  <c r="AZ9" i="19" s="1"/>
  <c r="BG2" i="19"/>
  <c r="S2" i="19"/>
  <c r="AI11" i="19"/>
  <c r="AI15" i="19" s="1"/>
  <c r="AI166" i="19" s="1"/>
  <c r="AO2" i="19"/>
  <c r="BD14" i="18"/>
  <c r="AQ11" i="18"/>
  <c r="AQ15" i="18" s="1"/>
  <c r="AQ166" i="18" s="1"/>
  <c r="S13" i="18"/>
  <c r="I12" i="18"/>
  <c r="J11" i="18"/>
  <c r="J15" i="18" s="1"/>
  <c r="L12" i="18"/>
  <c r="M11" i="18"/>
  <c r="M15" i="18" s="1"/>
  <c r="O2" i="18"/>
  <c r="AK12" i="18"/>
  <c r="S4" i="18"/>
  <c r="L14" i="18"/>
  <c r="AK11" i="18"/>
  <c r="AK15" i="18" s="1"/>
  <c r="S14" i="18"/>
  <c r="S166" i="18" s="1"/>
  <c r="AO11" i="18"/>
  <c r="AO15" i="18" s="1"/>
  <c r="AO166" i="18" s="1"/>
  <c r="AK14" i="18"/>
  <c r="BD2" i="18"/>
  <c r="K2" i="18"/>
  <c r="BD11" i="18"/>
  <c r="BD15" i="18" s="1"/>
  <c r="K11" i="18"/>
  <c r="P13" i="18"/>
  <c r="I14" i="18"/>
  <c r="K14" i="18"/>
  <c r="L36" i="4"/>
  <c r="AL9" i="18" s="1"/>
  <c r="F42" i="4"/>
  <c r="F61" i="4"/>
  <c r="X11" i="2"/>
  <c r="X15" i="2" s="1"/>
  <c r="AO2" i="2"/>
  <c r="Q13" i="2"/>
  <c r="AD2" i="2"/>
  <c r="BI167" i="19"/>
  <c r="BQ167" i="19"/>
  <c r="M167" i="2"/>
  <c r="AJ10" i="4"/>
  <c r="L9" i="22" s="1"/>
  <c r="L7" i="22" s="1"/>
  <c r="X9" i="4"/>
  <c r="K9" i="20" s="1"/>
  <c r="L27" i="4"/>
  <c r="AC9" i="18" s="1"/>
  <c r="AD30" i="4"/>
  <c r="AF9" i="21" s="1"/>
  <c r="F66" i="4"/>
  <c r="AP7" i="4"/>
  <c r="I9" i="23" s="1"/>
  <c r="X11" i="4"/>
  <c r="M9" i="20" s="1"/>
  <c r="L8" i="4"/>
  <c r="J9" i="18" s="1"/>
  <c r="AD11" i="4"/>
  <c r="M9" i="21" s="1"/>
  <c r="AP55" i="4"/>
  <c r="BE9" i="23" s="1"/>
  <c r="AP24" i="4"/>
  <c r="Z9" i="23" s="1"/>
  <c r="AD34" i="4"/>
  <c r="AJ9" i="21" s="1"/>
  <c r="AP56" i="4"/>
  <c r="BF9" i="23" s="1"/>
  <c r="R29" i="4"/>
  <c r="AE9" i="19" s="1"/>
  <c r="AP14" i="4"/>
  <c r="P9" i="23" s="1"/>
  <c r="L26" i="4"/>
  <c r="AB9" i="18" s="1"/>
  <c r="X51" i="4"/>
  <c r="BA9" i="20" s="1"/>
  <c r="L64" i="4"/>
  <c r="BN9" i="18" s="1"/>
  <c r="AI9" i="4"/>
  <c r="K8" i="22" s="1"/>
  <c r="K24" i="4"/>
  <c r="Z8" i="18" s="1"/>
  <c r="AO42" i="4"/>
  <c r="AR8" i="23" s="1"/>
  <c r="AR7" i="23" s="1"/>
  <c r="AO45" i="4"/>
  <c r="AU8" i="23" s="1"/>
  <c r="AO43" i="4"/>
  <c r="AS8" i="23" s="1"/>
  <c r="AO38" i="4"/>
  <c r="AN8" i="23" s="1"/>
  <c r="AN7" i="23" s="1"/>
  <c r="K56" i="4"/>
  <c r="BF8" i="18" s="1"/>
  <c r="W59" i="4"/>
  <c r="BI8" i="20" s="1"/>
  <c r="BI7" i="20" s="1"/>
  <c r="AO40" i="4"/>
  <c r="AP8" i="23" s="1"/>
  <c r="K27" i="4"/>
  <c r="AC8" i="18" s="1"/>
  <c r="AC7" i="4"/>
  <c r="I8" i="21" s="1"/>
  <c r="AJ12" i="4"/>
  <c r="N9" i="22" s="1"/>
  <c r="AJ11" i="4"/>
  <c r="M9" i="22" s="1"/>
  <c r="AP16" i="4"/>
  <c r="R9" i="23" s="1"/>
  <c r="AP15" i="4"/>
  <c r="Q9" i="23" s="1"/>
  <c r="Q50" i="4"/>
  <c r="AZ8" i="19" s="1"/>
  <c r="Q51" i="4"/>
  <c r="BA8" i="19" s="1"/>
  <c r="W56" i="4"/>
  <c r="BF8" i="20" s="1"/>
  <c r="W54" i="4"/>
  <c r="BD8" i="20" s="1"/>
  <c r="AI60" i="4"/>
  <c r="BJ8" i="22" s="1"/>
  <c r="AI59" i="4"/>
  <c r="BI8" i="22" s="1"/>
  <c r="AO31" i="4"/>
  <c r="AG8" i="23" s="1"/>
  <c r="AO30" i="4"/>
  <c r="AF8" i="23" s="1"/>
  <c r="AF7" i="23" s="1"/>
  <c r="E34" i="4"/>
  <c r="AJ8" i="2" s="1"/>
  <c r="E35" i="4"/>
  <c r="AK8" i="2" s="1"/>
  <c r="K38" i="4"/>
  <c r="AN8" i="18" s="1"/>
  <c r="K36" i="4"/>
  <c r="AL8" i="18" s="1"/>
  <c r="Q43" i="4"/>
  <c r="AS8" i="19" s="1"/>
  <c r="AS7" i="19" s="1"/>
  <c r="Q44" i="4"/>
  <c r="AT8" i="19" s="1"/>
  <c r="AT7" i="19" s="1"/>
  <c r="Q40" i="4"/>
  <c r="AP8" i="19" s="1"/>
  <c r="AP7" i="19" s="1"/>
  <c r="E6" i="4"/>
  <c r="H8" i="2" s="1"/>
  <c r="H7" i="2" s="1"/>
  <c r="E7" i="4"/>
  <c r="I8" i="2" s="1"/>
  <c r="K10" i="4"/>
  <c r="L8" i="18" s="1"/>
  <c r="L7" i="18" s="1"/>
  <c r="K9" i="4"/>
  <c r="K8" i="18" s="1"/>
  <c r="Q12" i="4"/>
  <c r="N8" i="19" s="1"/>
  <c r="Q11" i="4"/>
  <c r="M8" i="19" s="1"/>
  <c r="M7" i="19" s="1"/>
  <c r="W16" i="4"/>
  <c r="R8" i="20" s="1"/>
  <c r="R7" i="20" s="1"/>
  <c r="W15" i="4"/>
  <c r="Q8" i="20" s="1"/>
  <c r="Q7" i="20" s="1"/>
  <c r="AC19" i="4"/>
  <c r="U8" i="21" s="1"/>
  <c r="AC17" i="4"/>
  <c r="S8" i="21" s="1"/>
  <c r="S7" i="21" s="1"/>
  <c r="AI22" i="4"/>
  <c r="X8" i="22" s="1"/>
  <c r="AI20" i="4"/>
  <c r="V8" i="22" s="1"/>
  <c r="V7" i="22" s="1"/>
  <c r="AI23" i="4"/>
  <c r="Y8" i="22" s="1"/>
  <c r="AI25" i="4"/>
  <c r="AA8" i="22" s="1"/>
  <c r="AA7" i="22" s="1"/>
  <c r="AI27" i="4"/>
  <c r="AC8" i="22" s="1"/>
  <c r="AI26" i="4"/>
  <c r="AB8" i="22" s="1"/>
  <c r="AP34" i="4"/>
  <c r="AJ9" i="23" s="1"/>
  <c r="AJ7" i="23" s="1"/>
  <c r="AP35" i="4"/>
  <c r="AK9" i="23" s="1"/>
  <c r="AJ33" i="4"/>
  <c r="AI9" i="22" s="1"/>
  <c r="R66" i="4"/>
  <c r="BP9" i="19" s="1"/>
  <c r="R65" i="4"/>
  <c r="BO9" i="19" s="1"/>
  <c r="X26" i="4"/>
  <c r="AB9" i="20" s="1"/>
  <c r="X25" i="4"/>
  <c r="AA9" i="20" s="1"/>
  <c r="X27" i="4"/>
  <c r="AC9" i="20" s="1"/>
  <c r="X48" i="4"/>
  <c r="AX9" i="20" s="1"/>
  <c r="X49" i="4"/>
  <c r="AY9" i="20" s="1"/>
  <c r="L66" i="4"/>
  <c r="BP9" i="18" s="1"/>
  <c r="L65" i="4"/>
  <c r="BO9" i="18" s="1"/>
  <c r="R24" i="4"/>
  <c r="Z9" i="19" s="1"/>
  <c r="R27" i="4"/>
  <c r="AC9" i="19" s="1"/>
  <c r="R63" i="4"/>
  <c r="BM9" i="19" s="1"/>
  <c r="R64" i="4"/>
  <c r="BN9" i="19" s="1"/>
  <c r="L43" i="4"/>
  <c r="AS9" i="18" s="1"/>
  <c r="L45" i="4"/>
  <c r="AU9" i="18" s="1"/>
  <c r="F37" i="4"/>
  <c r="AM9" i="2" s="1"/>
  <c r="F38" i="4"/>
  <c r="AD52" i="4"/>
  <c r="BB9" i="21" s="1"/>
  <c r="AD53" i="4"/>
  <c r="BC9" i="21" s="1"/>
  <c r="AI17" i="4"/>
  <c r="S8" i="22" s="1"/>
  <c r="X8" i="4"/>
  <c r="J9" i="20" s="1"/>
  <c r="AJ34" i="4"/>
  <c r="AJ9" i="22" s="1"/>
  <c r="F62" i="4"/>
  <c r="E57" i="4"/>
  <c r="BG8" i="2" s="1"/>
  <c r="E33" i="4"/>
  <c r="AI8" i="2" s="1"/>
  <c r="F25" i="4"/>
  <c r="AA9" i="2" s="1"/>
  <c r="E17" i="4"/>
  <c r="S8" i="2" s="1"/>
  <c r="E9" i="4"/>
  <c r="K8" i="2" s="1"/>
  <c r="L61" i="4"/>
  <c r="BK9" i="18" s="1"/>
  <c r="L53" i="4"/>
  <c r="BC9" i="18" s="1"/>
  <c r="K45" i="4"/>
  <c r="AU8" i="18" s="1"/>
  <c r="L29" i="4"/>
  <c r="AE9" i="18" s="1"/>
  <c r="L21" i="4"/>
  <c r="W9" i="18" s="1"/>
  <c r="L13" i="4"/>
  <c r="O9" i="18" s="1"/>
  <c r="L5" i="4"/>
  <c r="R47" i="4"/>
  <c r="AW9" i="19" s="1"/>
  <c r="R31" i="4"/>
  <c r="AG9" i="19" s="1"/>
  <c r="R15" i="4"/>
  <c r="Q9" i="19" s="1"/>
  <c r="W61" i="4"/>
  <c r="BK8" i="20" s="1"/>
  <c r="W53" i="4"/>
  <c r="BC8" i="20" s="1"/>
  <c r="W45" i="4"/>
  <c r="AU8" i="20" s="1"/>
  <c r="X37" i="4"/>
  <c r="AM9" i="20" s="1"/>
  <c r="X21" i="4"/>
  <c r="W9" i="20" s="1"/>
  <c r="X5" i="4"/>
  <c r="G9" i="20" s="1"/>
  <c r="AI61" i="4"/>
  <c r="BK8" i="22" s="1"/>
  <c r="AJ53" i="4"/>
  <c r="BC9" i="22" s="1"/>
  <c r="AJ45" i="4"/>
  <c r="AU9" i="22" s="1"/>
  <c r="AJ29" i="4"/>
  <c r="AE9" i="22" s="1"/>
  <c r="AJ21" i="4"/>
  <c r="W9" i="22" s="1"/>
  <c r="AI13" i="4"/>
  <c r="O8" i="22" s="1"/>
  <c r="AJ5" i="4"/>
  <c r="G9" i="22" s="1"/>
  <c r="AP57" i="4"/>
  <c r="AP49" i="4"/>
  <c r="AY9" i="23" s="1"/>
  <c r="AP41" i="4"/>
  <c r="AQ9" i="23" s="1"/>
  <c r="AP33" i="4"/>
  <c r="AI9" i="23" s="1"/>
  <c r="AO25" i="4"/>
  <c r="AA8" i="23" s="1"/>
  <c r="W41" i="4"/>
  <c r="AQ8" i="20" s="1"/>
  <c r="AP38" i="4"/>
  <c r="AN9" i="23" s="1"/>
  <c r="R51" i="4"/>
  <c r="BA9" i="19" s="1"/>
  <c r="L49" i="4"/>
  <c r="AY9" i="18" s="1"/>
  <c r="F40" i="4"/>
  <c r="AP9" i="2" s="1"/>
  <c r="F32" i="4"/>
  <c r="AH9" i="2" s="1"/>
  <c r="F24" i="4"/>
  <c r="Z9" i="2" s="1"/>
  <c r="E8" i="4"/>
  <c r="J8" i="2" s="1"/>
  <c r="L60" i="4"/>
  <c r="BJ9" i="18" s="1"/>
  <c r="L52" i="4"/>
  <c r="BB9" i="18" s="1"/>
  <c r="K20" i="4"/>
  <c r="V8" i="18" s="1"/>
  <c r="L12" i="4"/>
  <c r="N9" i="18" s="1"/>
  <c r="R54" i="4"/>
  <c r="BD9" i="19" s="1"/>
  <c r="Q38" i="4"/>
  <c r="AN8" i="19" s="1"/>
  <c r="R14" i="4"/>
  <c r="P9" i="19" s="1"/>
  <c r="AC62" i="4"/>
  <c r="BL8" i="21" s="1"/>
  <c r="AC54" i="4"/>
  <c r="BD8" i="21" s="1"/>
  <c r="AC46" i="4"/>
  <c r="AV8" i="21" s="1"/>
  <c r="AC38" i="4"/>
  <c r="AN8" i="21" s="1"/>
  <c r="AC22" i="4"/>
  <c r="X8" i="21" s="1"/>
  <c r="AC14" i="4"/>
  <c r="P8" i="21" s="1"/>
  <c r="AC6" i="4"/>
  <c r="K65" i="4"/>
  <c r="BO8" i="18" s="1"/>
  <c r="E30" i="4"/>
  <c r="AF8" i="2" s="1"/>
  <c r="AF7" i="2" s="1"/>
  <c r="K34" i="4"/>
  <c r="AJ8" i="18" s="1"/>
  <c r="AJ58" i="4"/>
  <c r="BH9" i="22" s="1"/>
  <c r="AP36" i="4"/>
  <c r="AL9" i="23" s="1"/>
  <c r="W12" i="4"/>
  <c r="N8" i="20" s="1"/>
  <c r="F55" i="4"/>
  <c r="BE9" i="2" s="1"/>
  <c r="F47" i="4"/>
  <c r="AW9" i="2" s="1"/>
  <c r="E39" i="4"/>
  <c r="AO8" i="2" s="1"/>
  <c r="E23" i="4"/>
  <c r="Y8" i="2" s="1"/>
  <c r="F15" i="4"/>
  <c r="Q9" i="2" s="1"/>
  <c r="F7" i="4"/>
  <c r="R61" i="4"/>
  <c r="BK9" i="19" s="1"/>
  <c r="R53" i="4"/>
  <c r="BC9" i="19" s="1"/>
  <c r="R45" i="4"/>
  <c r="AU9" i="19" s="1"/>
  <c r="Q37" i="4"/>
  <c r="AM8" i="19" s="1"/>
  <c r="Q29" i="4"/>
  <c r="AE8" i="19" s="1"/>
  <c r="Q21" i="4"/>
  <c r="W8" i="19" s="1"/>
  <c r="Q13" i="4"/>
  <c r="O8" i="19" s="1"/>
  <c r="Q5" i="4"/>
  <c r="G8" i="19" s="1"/>
  <c r="AI57" i="4"/>
  <c r="BG8" i="22" s="1"/>
  <c r="W48" i="4"/>
  <c r="AX8" i="20" s="1"/>
  <c r="AX7" i="20" s="1"/>
  <c r="W50" i="4"/>
  <c r="AZ8" i="20" s="1"/>
  <c r="AZ7" i="20" s="1"/>
  <c r="L24" i="4"/>
  <c r="Z9" i="18" s="1"/>
  <c r="AO26" i="4"/>
  <c r="AB8" i="23" s="1"/>
  <c r="AB7" i="23" s="1"/>
  <c r="F60" i="4"/>
  <c r="BJ9" i="2" s="1"/>
  <c r="E52" i="4"/>
  <c r="BB8" i="2" s="1"/>
  <c r="E28" i="4"/>
  <c r="AD8" i="2" s="1"/>
  <c r="AD66" i="4"/>
  <c r="BP9" i="21" s="1"/>
  <c r="AC58" i="4"/>
  <c r="BH8" i="21" s="1"/>
  <c r="AD50" i="4"/>
  <c r="AZ9" i="21" s="1"/>
  <c r="AD42" i="4"/>
  <c r="AR9" i="21" s="1"/>
  <c r="AC34" i="4"/>
  <c r="AJ8" i="21" s="1"/>
  <c r="AD26" i="4"/>
  <c r="AB9" i="21" s="1"/>
  <c r="AD18" i="4"/>
  <c r="T9" i="21" s="1"/>
  <c r="AC10" i="4"/>
  <c r="L8" i="21" s="1"/>
  <c r="AJ64" i="4"/>
  <c r="BN9" i="22" s="1"/>
  <c r="AI56" i="4"/>
  <c r="BF8" i="22" s="1"/>
  <c r="AI48" i="4"/>
  <c r="AX8" i="22" s="1"/>
  <c r="AI40" i="4"/>
  <c r="AP8" i="22" s="1"/>
  <c r="AI32" i="4"/>
  <c r="AH8" i="22" s="1"/>
  <c r="AH7" i="22" s="1"/>
  <c r="AI24" i="4"/>
  <c r="Z8" i="22" s="1"/>
  <c r="AJ16" i="4"/>
  <c r="R9" i="22" s="1"/>
  <c r="AP60" i="4"/>
  <c r="BJ9" i="23" s="1"/>
  <c r="AO44" i="4"/>
  <c r="AT8" i="23" s="1"/>
  <c r="AO36" i="4"/>
  <c r="AL8" i="23" s="1"/>
  <c r="AP28" i="4"/>
  <c r="AD9" i="23" s="1"/>
  <c r="AP20" i="4"/>
  <c r="V9" i="23" s="1"/>
  <c r="AP12" i="4"/>
  <c r="N9" i="23" s="1"/>
  <c r="L55" i="4"/>
  <c r="BE9" i="18" s="1"/>
  <c r="K47" i="4"/>
  <c r="AW8" i="18" s="1"/>
  <c r="K39" i="4"/>
  <c r="AO8" i="18" s="1"/>
  <c r="AO7" i="18" s="1"/>
  <c r="K23" i="4"/>
  <c r="Y8" i="18" s="1"/>
  <c r="K15" i="4"/>
  <c r="Q8" i="18" s="1"/>
  <c r="Q57" i="4"/>
  <c r="BG8" i="19" s="1"/>
  <c r="Q49" i="4"/>
  <c r="AY8" i="19" s="1"/>
  <c r="R41" i="4"/>
  <c r="AQ9" i="19" s="1"/>
  <c r="R33" i="4"/>
  <c r="AI9" i="19" s="1"/>
  <c r="R25" i="4"/>
  <c r="AA9" i="19" s="1"/>
  <c r="Q17" i="4"/>
  <c r="S8" i="19" s="1"/>
  <c r="R9" i="4"/>
  <c r="K9" i="19" s="1"/>
  <c r="W55" i="4"/>
  <c r="BE8" i="20" s="1"/>
  <c r="W47" i="4"/>
  <c r="AW8" i="20" s="1"/>
  <c r="X39" i="4"/>
  <c r="AO9" i="20" s="1"/>
  <c r="W31" i="4"/>
  <c r="AG8" i="20" s="1"/>
  <c r="X23" i="4"/>
  <c r="Y9" i="20" s="1"/>
  <c r="X15" i="4"/>
  <c r="Q9" i="20" s="1"/>
  <c r="X7" i="4"/>
  <c r="I9" i="20" s="1"/>
  <c r="AJ31" i="4"/>
  <c r="AG9" i="22" s="1"/>
  <c r="AJ15" i="4"/>
  <c r="Q9" i="22" s="1"/>
  <c r="AI7" i="4"/>
  <c r="I8" i="22" s="1"/>
  <c r="AO59" i="4"/>
  <c r="BI8" i="23" s="1"/>
  <c r="AP51" i="4"/>
  <c r="BA9" i="23" s="1"/>
  <c r="AP43" i="4"/>
  <c r="AS9" i="23" s="1"/>
  <c r="AO35" i="4"/>
  <c r="AK8" i="23" s="1"/>
  <c r="AO27" i="4"/>
  <c r="AC8" i="23" s="1"/>
  <c r="AO19" i="4"/>
  <c r="U8" i="23" s="1"/>
  <c r="AO11" i="4"/>
  <c r="M8" i="23" s="1"/>
  <c r="E58" i="4"/>
  <c r="BH8" i="2" s="1"/>
  <c r="BH7" i="2" s="1"/>
  <c r="E50" i="4"/>
  <c r="AZ8" i="2" s="1"/>
  <c r="F34" i="4"/>
  <c r="AJ9" i="2" s="1"/>
  <c r="F26" i="4"/>
  <c r="E18" i="4"/>
  <c r="T8" i="2" s="1"/>
  <c r="E10" i="4"/>
  <c r="L8" i="2" s="1"/>
  <c r="Q48" i="4"/>
  <c r="AX8" i="19" s="1"/>
  <c r="AX7" i="19" s="1"/>
  <c r="Q32" i="4"/>
  <c r="AH8" i="19" s="1"/>
  <c r="AD64" i="4"/>
  <c r="BN9" i="21" s="1"/>
  <c r="AD56" i="4"/>
  <c r="BF9" i="21" s="1"/>
  <c r="AD48" i="4"/>
  <c r="AX9" i="21" s="1"/>
  <c r="AD40" i="4"/>
  <c r="AP9" i="21" s="1"/>
  <c r="AC32" i="4"/>
  <c r="AH8" i="21" s="1"/>
  <c r="AD24" i="4"/>
  <c r="Z9" i="21" s="1"/>
  <c r="AC16" i="4"/>
  <c r="R8" i="21" s="1"/>
  <c r="AI62" i="4"/>
  <c r="BL8" i="22" s="1"/>
  <c r="AI54" i="4"/>
  <c r="BD8" i="22" s="1"/>
  <c r="AJ38" i="4"/>
  <c r="AN9" i="22" s="1"/>
  <c r="AI30" i="4"/>
  <c r="AF8" i="22" s="1"/>
  <c r="AJ22" i="4"/>
  <c r="X9" i="22" s="1"/>
  <c r="AI14" i="4"/>
  <c r="P8" i="22" s="1"/>
  <c r="AJ6" i="4"/>
  <c r="H9" i="22" s="1"/>
  <c r="BB13" i="21"/>
  <c r="AF13" i="21"/>
  <c r="AX11" i="20"/>
  <c r="AX15" i="20" s="1"/>
  <c r="L13" i="23"/>
  <c r="BP11" i="19"/>
  <c r="BP15" i="19" s="1"/>
  <c r="BP166" i="19" s="1"/>
  <c r="F11" i="22"/>
  <c r="AN12" i="2"/>
  <c r="K11" i="23"/>
  <c r="AX11" i="18"/>
  <c r="AX15" i="18" s="1"/>
  <c r="AL12" i="19"/>
  <c r="BI12" i="21"/>
  <c r="AN12" i="21"/>
  <c r="Q12" i="23"/>
  <c r="Z11" i="22"/>
  <c r="Z15" i="22" s="1"/>
  <c r="AC11" i="23"/>
  <c r="AC15" i="23" s="1"/>
  <c r="F11" i="21"/>
  <c r="BC13" i="2"/>
  <c r="AW11" i="20"/>
  <c r="AW15" i="20" s="1"/>
  <c r="AB11" i="21"/>
  <c r="AB15" i="21" s="1"/>
  <c r="AB166" i="21" s="1"/>
  <c r="K13" i="22"/>
  <c r="AW11" i="23"/>
  <c r="AW15" i="23" s="1"/>
  <c r="AN12" i="20"/>
  <c r="AX11" i="23"/>
  <c r="AX15" i="23" s="1"/>
  <c r="BP11" i="20"/>
  <c r="BP15" i="20" s="1"/>
  <c r="BP166" i="20" s="1"/>
  <c r="BP11" i="18"/>
  <c r="BP15" i="18" s="1"/>
  <c r="BP166" i="18" s="1"/>
  <c r="F11" i="18"/>
  <c r="AF13" i="2"/>
  <c r="AB11" i="18"/>
  <c r="AB15" i="18" s="1"/>
  <c r="BB13" i="20"/>
  <c r="Q12" i="21"/>
  <c r="AG13" i="23"/>
  <c r="F11" i="2"/>
  <c r="AM12" i="2"/>
  <c r="Q12" i="20"/>
  <c r="Z11" i="23"/>
  <c r="Z15" i="23" s="1"/>
  <c r="AB11" i="23"/>
  <c r="AB15" i="23" s="1"/>
  <c r="F11" i="20"/>
  <c r="BO11" i="19"/>
  <c r="Z11" i="18"/>
  <c r="Z15" i="18" s="1"/>
  <c r="BB13" i="19"/>
  <c r="BI12" i="20"/>
  <c r="AC11" i="20"/>
  <c r="AC15" i="20" s="1"/>
  <c r="AC166" i="20" s="1"/>
  <c r="AY11" i="23"/>
  <c r="AY15" i="23" s="1"/>
  <c r="AY166" i="23" s="1"/>
  <c r="AX11" i="22"/>
  <c r="AX15" i="22" s="1"/>
  <c r="BO11" i="2"/>
  <c r="K13" i="18"/>
  <c r="BO11" i="20"/>
  <c r="Q12" i="18"/>
  <c r="AC11" i="18"/>
  <c r="AC15" i="18" s="1"/>
  <c r="AC166" i="18" s="1"/>
  <c r="AY11" i="19"/>
  <c r="AY15" i="19" s="1"/>
  <c r="AG13" i="2"/>
  <c r="AA11" i="19"/>
  <c r="AA15" i="19" s="1"/>
  <c r="R12" i="20"/>
  <c r="AC11" i="21"/>
  <c r="AC15" i="21" s="1"/>
  <c r="BJ12" i="22"/>
  <c r="BO11" i="18"/>
  <c r="BP11" i="23"/>
  <c r="BP15" i="23" s="1"/>
  <c r="BP166" i="23" s="1"/>
  <c r="AF13" i="18"/>
  <c r="R12" i="18"/>
  <c r="F11" i="19"/>
  <c r="R12" i="23"/>
  <c r="S13" i="23"/>
  <c r="S14" i="23"/>
  <c r="AJ4" i="23"/>
  <c r="T12" i="23"/>
  <c r="AN13" i="23"/>
  <c r="AQ11" i="23"/>
  <c r="AQ15" i="23" s="1"/>
  <c r="P13" i="23"/>
  <c r="BG2" i="23"/>
  <c r="AP17" i="4"/>
  <c r="S9" i="23" s="1"/>
  <c r="AO17" i="4"/>
  <c r="S8" i="23" s="1"/>
  <c r="AO57" i="4"/>
  <c r="BG8" i="23" s="1"/>
  <c r="AO9" i="4"/>
  <c r="K8" i="23" s="1"/>
  <c r="M2" i="23"/>
  <c r="T11" i="23"/>
  <c r="T15" i="23" s="1"/>
  <c r="T166" i="23" s="1"/>
  <c r="BA12" i="23"/>
  <c r="AY12" i="23"/>
  <c r="AI11" i="23"/>
  <c r="AI15" i="23" s="1"/>
  <c r="AQ14" i="23"/>
  <c r="BK12" i="23"/>
  <c r="AO49" i="4"/>
  <c r="AY8" i="23" s="1"/>
  <c r="AP9" i="4"/>
  <c r="K9" i="23" s="1"/>
  <c r="BA11" i="23"/>
  <c r="AY13" i="23"/>
  <c r="AI13" i="23"/>
  <c r="O4" i="23"/>
  <c r="T13" i="23"/>
  <c r="BA14" i="23"/>
  <c r="AI14" i="23"/>
  <c r="S2" i="23"/>
  <c r="AA5" i="23"/>
  <c r="AO41" i="4"/>
  <c r="AQ8" i="23" s="1"/>
  <c r="AQ7" i="23" s="1"/>
  <c r="AD2" i="23"/>
  <c r="O2" i="23"/>
  <c r="G2" i="23"/>
  <c r="K2" i="23"/>
  <c r="BD2" i="23"/>
  <c r="AM11" i="22"/>
  <c r="AM15" i="22" s="1"/>
  <c r="AM13" i="22"/>
  <c r="AO2" i="22"/>
  <c r="AV14" i="22"/>
  <c r="AV11" i="22"/>
  <c r="AV15" i="22" s="1"/>
  <c r="AI37" i="4"/>
  <c r="AM8" i="22" s="1"/>
  <c r="AI53" i="4"/>
  <c r="BC8" i="22" s="1"/>
  <c r="AJ61" i="4"/>
  <c r="BK9" i="22" s="1"/>
  <c r="AN11" i="22"/>
  <c r="AN15" i="22" s="1"/>
  <c r="BB4" i="22"/>
  <c r="BC13" i="22"/>
  <c r="AC11" i="22"/>
  <c r="AC15" i="22" s="1"/>
  <c r="O2" i="22"/>
  <c r="AW2" i="22"/>
  <c r="AI6" i="4"/>
  <c r="H8" i="22" s="1"/>
  <c r="H7" i="22" s="1"/>
  <c r="AJ13" i="4"/>
  <c r="O9" i="22" s="1"/>
  <c r="R12" i="22"/>
  <c r="AB14" i="22"/>
  <c r="AI21" i="4"/>
  <c r="W8" i="22" s="1"/>
  <c r="AI29" i="4"/>
  <c r="AE8" i="22" s="1"/>
  <c r="AN12" i="22"/>
  <c r="R11" i="22"/>
  <c r="R15" i="22" s="1"/>
  <c r="BC14" i="22"/>
  <c r="BI12" i="22"/>
  <c r="G5" i="22"/>
  <c r="H11" i="22"/>
  <c r="H15" i="22" s="1"/>
  <c r="BQ5" i="21"/>
  <c r="AH2" i="22"/>
  <c r="O5" i="22"/>
  <c r="AI46" i="4"/>
  <c r="AV8" i="22" s="1"/>
  <c r="AV7" i="22" s="1"/>
  <c r="AJ30" i="4"/>
  <c r="AF9" i="22" s="1"/>
  <c r="AA11" i="22"/>
  <c r="AA15" i="22" s="1"/>
  <c r="R13" i="22"/>
  <c r="BI13" i="22"/>
  <c r="W5" i="22"/>
  <c r="H12" i="22"/>
  <c r="BR3" i="21"/>
  <c r="Z2" i="22"/>
  <c r="AF5" i="22"/>
  <c r="AJ37" i="4"/>
  <c r="AM9" i="22" s="1"/>
  <c r="BI2" i="22"/>
  <c r="M2" i="22"/>
  <c r="BC12" i="22"/>
  <c r="T11" i="22"/>
  <c r="T15" i="22" s="1"/>
  <c r="BK11" i="22"/>
  <c r="BK15" i="22" s="1"/>
  <c r="BI4" i="22"/>
  <c r="H14" i="22"/>
  <c r="J11" i="22"/>
  <c r="J15" i="22" s="1"/>
  <c r="AR11" i="22"/>
  <c r="AR15" i="22" s="1"/>
  <c r="S2" i="22"/>
  <c r="AE5" i="22"/>
  <c r="AJ54" i="4"/>
  <c r="BD9" i="22" s="1"/>
  <c r="AI5" i="4"/>
  <c r="AT11" i="22"/>
  <c r="AT15" i="22" s="1"/>
  <c r="AT166" i="22" s="1"/>
  <c r="BK12" i="22"/>
  <c r="K2" i="22"/>
  <c r="AA14" i="22"/>
  <c r="BO2" i="22"/>
  <c r="AU5" i="22"/>
  <c r="AJ2" i="21"/>
  <c r="P14" i="21"/>
  <c r="G13" i="21"/>
  <c r="AA11" i="21"/>
  <c r="AA15" i="21" s="1"/>
  <c r="AZ13" i="21"/>
  <c r="O4" i="21"/>
  <c r="BL12" i="21"/>
  <c r="AR14" i="21"/>
  <c r="AR166" i="21" s="1"/>
  <c r="AL2" i="21"/>
  <c r="BM2" i="21"/>
  <c r="BL11" i="21"/>
  <c r="BL15" i="21" s="1"/>
  <c r="G14" i="21"/>
  <c r="AZ14" i="21"/>
  <c r="AZ166" i="21" s="1"/>
  <c r="AD46" i="4"/>
  <c r="AV9" i="21" s="1"/>
  <c r="AD62" i="4"/>
  <c r="BL9" i="21" s="1"/>
  <c r="BL13" i="21"/>
  <c r="U13" i="21"/>
  <c r="AA14" i="21"/>
  <c r="M12" i="21"/>
  <c r="BL14" i="21"/>
  <c r="U12" i="21"/>
  <c r="M11" i="21"/>
  <c r="AD6" i="4"/>
  <c r="P11" i="21"/>
  <c r="G11" i="21"/>
  <c r="G15" i="21" s="1"/>
  <c r="AQ11" i="21"/>
  <c r="AQ15" i="21" s="1"/>
  <c r="AQ166" i="21" s="1"/>
  <c r="AZ12" i="21"/>
  <c r="M4" i="21"/>
  <c r="H12" i="21"/>
  <c r="O2" i="21"/>
  <c r="AC40" i="4"/>
  <c r="AP8" i="21" s="1"/>
  <c r="Z2" i="21"/>
  <c r="AD14" i="21"/>
  <c r="Q2" i="21"/>
  <c r="BB2" i="21"/>
  <c r="BD2" i="19"/>
  <c r="AJ2" i="19"/>
  <c r="BQ5" i="18"/>
  <c r="Q53" i="4"/>
  <c r="BC8" i="19" s="1"/>
  <c r="R13" i="4"/>
  <c r="O9" i="19" s="1"/>
  <c r="R23" i="4"/>
  <c r="Y9" i="19" s="1"/>
  <c r="AZ4" i="19"/>
  <c r="AJ12" i="19"/>
  <c r="AE13" i="19"/>
  <c r="M12" i="19"/>
  <c r="L13" i="19"/>
  <c r="W11" i="19"/>
  <c r="W15" i="19" s="1"/>
  <c r="W166" i="19" s="1"/>
  <c r="BH12" i="19"/>
  <c r="AX11" i="19"/>
  <c r="AX15" i="19" s="1"/>
  <c r="AX166" i="19" s="1"/>
  <c r="AD12" i="19"/>
  <c r="AP11" i="19"/>
  <c r="AP15" i="19" s="1"/>
  <c r="AP166" i="19" s="1"/>
  <c r="J13" i="19"/>
  <c r="AM5" i="19"/>
  <c r="BJ12" i="19"/>
  <c r="BK5" i="19"/>
  <c r="R5" i="4"/>
  <c r="G9" i="19" s="1"/>
  <c r="R32" i="4"/>
  <c r="AH9" i="19" s="1"/>
  <c r="AE12" i="19"/>
  <c r="AZ13" i="19"/>
  <c r="AJ11" i="19"/>
  <c r="AJ15" i="19" s="1"/>
  <c r="AJ166" i="19" s="1"/>
  <c r="AE14" i="19"/>
  <c r="AX13" i="19"/>
  <c r="AD11" i="19"/>
  <c r="J12" i="19"/>
  <c r="Q5" i="19"/>
  <c r="BC5" i="19"/>
  <c r="I5" i="19"/>
  <c r="BJ13" i="19"/>
  <c r="AD2" i="19"/>
  <c r="Q45" i="4"/>
  <c r="AU8" i="19" s="1"/>
  <c r="AZ12" i="19"/>
  <c r="AZ11" i="19"/>
  <c r="AZ14" i="19"/>
  <c r="AJ13" i="19"/>
  <c r="AQ11" i="19"/>
  <c r="AQ15" i="19" s="1"/>
  <c r="AQ166" i="19" s="1"/>
  <c r="AD13" i="19"/>
  <c r="BR3" i="18"/>
  <c r="BJ11" i="19"/>
  <c r="BJ15" i="19" s="1"/>
  <c r="BJ166" i="19" s="1"/>
  <c r="V2" i="19"/>
  <c r="R6" i="4"/>
  <c r="AA14" i="19"/>
  <c r="AS2" i="19"/>
  <c r="BB2" i="19"/>
  <c r="Q6" i="4"/>
  <c r="BG2" i="18"/>
  <c r="AL12" i="18"/>
  <c r="AL14" i="18"/>
  <c r="AL13" i="18"/>
  <c r="AL11" i="18"/>
  <c r="AL15" i="18" s="1"/>
  <c r="AD12" i="18"/>
  <c r="AD14" i="18"/>
  <c r="AD13" i="18"/>
  <c r="AD11" i="18"/>
  <c r="AD15" i="18" s="1"/>
  <c r="AT14" i="18"/>
  <c r="AT11" i="18"/>
  <c r="AT15" i="18" s="1"/>
  <c r="AI13" i="18"/>
  <c r="X14" i="18"/>
  <c r="V2" i="18"/>
  <c r="Q2" i="18"/>
  <c r="K28" i="4"/>
  <c r="AD8" i="18" s="1"/>
  <c r="L44" i="4"/>
  <c r="AT9" i="18" s="1"/>
  <c r="BI2" i="18"/>
  <c r="AJ2" i="18"/>
  <c r="S2" i="18"/>
  <c r="M2" i="18"/>
  <c r="Y14" i="18"/>
  <c r="Y166" i="18" s="1"/>
  <c r="V5" i="18"/>
  <c r="AO2" i="18"/>
  <c r="K44" i="4"/>
  <c r="AT8" i="18" s="1"/>
  <c r="L28" i="4"/>
  <c r="AD9" i="18" s="1"/>
  <c r="AP14" i="18"/>
  <c r="AP166" i="18" s="1"/>
  <c r="AJ12" i="18"/>
  <c r="AZ4" i="18"/>
  <c r="Z2" i="18"/>
  <c r="K52" i="4"/>
  <c r="BB8" i="18" s="1"/>
  <c r="L20" i="4"/>
  <c r="V9" i="18" s="1"/>
  <c r="BI4" i="18"/>
  <c r="BJ13" i="18"/>
  <c r="N5" i="18"/>
  <c r="K60" i="4"/>
  <c r="BJ8" i="18" s="1"/>
  <c r="K12" i="4"/>
  <c r="N8" i="18" s="1"/>
  <c r="AI11" i="18"/>
  <c r="X11" i="18"/>
  <c r="X15" i="18" s="1"/>
  <c r="BB5" i="18"/>
  <c r="AI12" i="18"/>
  <c r="AL2" i="18"/>
  <c r="AW2" i="2"/>
  <c r="AN11" i="2"/>
  <c r="AN15" i="2" s="1"/>
  <c r="P12" i="2"/>
  <c r="BG5" i="2"/>
  <c r="BC12" i="2"/>
  <c r="AN14" i="2"/>
  <c r="BD2" i="2"/>
  <c r="AF2" i="2"/>
  <c r="V2" i="2"/>
  <c r="T14" i="2"/>
  <c r="BC14" i="2"/>
  <c r="AN13" i="2"/>
  <c r="T13" i="2"/>
  <c r="F18" i="4"/>
  <c r="T9" i="2" s="1"/>
  <c r="P14" i="2"/>
  <c r="F50" i="4"/>
  <c r="AZ9" i="2" s="1"/>
  <c r="F49" i="4"/>
  <c r="AY9" i="2" s="1"/>
  <c r="L13" i="2"/>
  <c r="F39" i="4"/>
  <c r="AO9" i="2" s="1"/>
  <c r="AG12" i="20"/>
  <c r="U12" i="20"/>
  <c r="K13" i="20"/>
  <c r="AP11" i="20"/>
  <c r="AP15" i="20" s="1"/>
  <c r="AP166" i="20" s="1"/>
  <c r="AX14" i="20"/>
  <c r="AX166" i="20" s="1"/>
  <c r="AD14" i="20"/>
  <c r="K12" i="20"/>
  <c r="AD11" i="20"/>
  <c r="AD15" i="20" s="1"/>
  <c r="AG13" i="20"/>
  <c r="BI14" i="20"/>
  <c r="AX13" i="20"/>
  <c r="BD12" i="20"/>
  <c r="AO2" i="20"/>
  <c r="AD13" i="20"/>
  <c r="AY11" i="20"/>
  <c r="AY15" i="20" s="1"/>
  <c r="R11" i="20"/>
  <c r="R15" i="20" s="1"/>
  <c r="BD13" i="20"/>
  <c r="AY12" i="20"/>
  <c r="BB11" i="20"/>
  <c r="BB15" i="20" s="1"/>
  <c r="AJ12" i="20"/>
  <c r="Q11" i="20"/>
  <c r="Q15" i="20" s="1"/>
  <c r="AW4" i="20"/>
  <c r="BB2" i="20"/>
  <c r="V11" i="20"/>
  <c r="V15" i="20" s="1"/>
  <c r="AO11" i="20"/>
  <c r="AO15" i="20" s="1"/>
  <c r="AO166" i="20" s="1"/>
  <c r="BI2" i="20"/>
  <c r="AZ2" i="20"/>
  <c r="AS2" i="20"/>
  <c r="AJ2" i="20"/>
  <c r="M2" i="20"/>
  <c r="AT14" i="20"/>
  <c r="AB11" i="20"/>
  <c r="AB15" i="20" s="1"/>
  <c r="AB166" i="20" s="1"/>
  <c r="Y14" i="20"/>
  <c r="V14" i="20"/>
  <c r="I13" i="20"/>
  <c r="AS4" i="20"/>
  <c r="Y11" i="20"/>
  <c r="Y15" i="20" s="1"/>
  <c r="I14" i="20"/>
  <c r="Q2" i="20"/>
  <c r="I12" i="20"/>
  <c r="G2" i="20"/>
  <c r="AL2" i="20"/>
  <c r="BO167" i="22"/>
  <c r="BQ167" i="22"/>
  <c r="M167" i="19"/>
  <c r="K167" i="19"/>
  <c r="BB14" i="23"/>
  <c r="BB11" i="23"/>
  <c r="BB4" i="23"/>
  <c r="BB12" i="23"/>
  <c r="BB13" i="23"/>
  <c r="G13" i="23"/>
  <c r="G12" i="23"/>
  <c r="AU11" i="23"/>
  <c r="AU15" i="23" s="1"/>
  <c r="AU166" i="23" s="1"/>
  <c r="AJ11" i="23"/>
  <c r="AK12" i="23"/>
  <c r="H12" i="23"/>
  <c r="BQ3" i="22"/>
  <c r="AP44" i="4"/>
  <c r="AT9" i="23" s="1"/>
  <c r="AJ13" i="23"/>
  <c r="Y11" i="23"/>
  <c r="Y15" i="23" s="1"/>
  <c r="Y166" i="23" s="1"/>
  <c r="AK11" i="23"/>
  <c r="AK15" i="23" s="1"/>
  <c r="H13" i="23"/>
  <c r="BG4" i="23"/>
  <c r="W11" i="23"/>
  <c r="W15" i="23" s="1"/>
  <c r="W166" i="23" s="1"/>
  <c r="AO20" i="4"/>
  <c r="V8" i="23" s="1"/>
  <c r="AO28" i="4"/>
  <c r="AD8" i="23" s="1"/>
  <c r="AP52" i="4"/>
  <c r="BB9" i="23" s="1"/>
  <c r="AJ14" i="23"/>
  <c r="AK14" i="23"/>
  <c r="H14" i="23"/>
  <c r="BG12" i="23"/>
  <c r="AZ4" i="23"/>
  <c r="V5" i="23"/>
  <c r="Z2" i="23"/>
  <c r="AO2" i="23"/>
  <c r="AW2" i="23"/>
  <c r="BG11" i="23"/>
  <c r="AD5" i="23"/>
  <c r="N5" i="23"/>
  <c r="AO12" i="4"/>
  <c r="N8" i="23" s="1"/>
  <c r="G11" i="23"/>
  <c r="BG14" i="23"/>
  <c r="AL5" i="23"/>
  <c r="AS2" i="23"/>
  <c r="AT5" i="23"/>
  <c r="BJ5" i="23"/>
  <c r="V2" i="23"/>
  <c r="AL2" i="23"/>
  <c r="BB2" i="23"/>
  <c r="AO52" i="4"/>
  <c r="BB8" i="23" s="1"/>
  <c r="BM14" i="22"/>
  <c r="BM4" i="22"/>
  <c r="BM13" i="22"/>
  <c r="BM11" i="22"/>
  <c r="BM12" i="22"/>
  <c r="BE14" i="22"/>
  <c r="BE12" i="22"/>
  <c r="BE11" i="22"/>
  <c r="BE15" i="22" s="1"/>
  <c r="BE13" i="22"/>
  <c r="BD4" i="22"/>
  <c r="AW4" i="22"/>
  <c r="AW14" i="22"/>
  <c r="AW11" i="22"/>
  <c r="AW15" i="22" s="1"/>
  <c r="AW12" i="22"/>
  <c r="Y14" i="22"/>
  <c r="Y11" i="22"/>
  <c r="Y15" i="22" s="1"/>
  <c r="L14" i="22"/>
  <c r="AC14" i="22"/>
  <c r="AI39" i="4"/>
  <c r="AO8" i="22" s="1"/>
  <c r="AJ23" i="4"/>
  <c r="Y9" i="22" s="1"/>
  <c r="AI63" i="4"/>
  <c r="BM8" i="22" s="1"/>
  <c r="Q5" i="22"/>
  <c r="AJ39" i="4"/>
  <c r="AO9" i="22" s="1"/>
  <c r="AJ63" i="4"/>
  <c r="BM9" i="22" s="1"/>
  <c r="AI55" i="4"/>
  <c r="BE8" i="22" s="1"/>
  <c r="BL11" i="22"/>
  <c r="AI15" i="4"/>
  <c r="Q8" i="22" s="1"/>
  <c r="AI47" i="4"/>
  <c r="AW8" i="22" s="1"/>
  <c r="AJ7" i="4"/>
  <c r="I9" i="22" s="1"/>
  <c r="BL12" i="22"/>
  <c r="BR5" i="21"/>
  <c r="V2" i="22"/>
  <c r="AD2" i="22"/>
  <c r="AL2" i="22"/>
  <c r="AS2" i="22"/>
  <c r="BB2" i="22"/>
  <c r="AJ47" i="4"/>
  <c r="AW9" i="22" s="1"/>
  <c r="K4" i="22"/>
  <c r="BK4" i="22"/>
  <c r="BL13" i="22"/>
  <c r="AG5" i="22"/>
  <c r="L12" i="22"/>
  <c r="I5" i="22"/>
  <c r="AJ55" i="4"/>
  <c r="BE9" i="22" s="1"/>
  <c r="AK11" i="22"/>
  <c r="AK15" i="22" s="1"/>
  <c r="BL14" i="22"/>
  <c r="AK14" i="22"/>
  <c r="AI31" i="4"/>
  <c r="AG8" i="22" s="1"/>
  <c r="BM12" i="21"/>
  <c r="K14" i="21"/>
  <c r="BM11" i="21"/>
  <c r="AU14" i="21"/>
  <c r="AU166" i="21" s="1"/>
  <c r="AC14" i="21"/>
  <c r="AL12" i="21"/>
  <c r="W14" i="21"/>
  <c r="BM14" i="21"/>
  <c r="BG13" i="21"/>
  <c r="S12" i="21"/>
  <c r="AW11" i="21"/>
  <c r="AW15" i="21" s="1"/>
  <c r="AW166" i="21" s="1"/>
  <c r="K11" i="21"/>
  <c r="AT14" i="21"/>
  <c r="AT166" i="21" s="1"/>
  <c r="AS2" i="21"/>
  <c r="BI2" i="21"/>
  <c r="AC56" i="4"/>
  <c r="BF8" i="21" s="1"/>
  <c r="AD16" i="4"/>
  <c r="R9" i="21" s="1"/>
  <c r="L13" i="21"/>
  <c r="BG14" i="21"/>
  <c r="BG166" i="21" s="1"/>
  <c r="S11" i="21"/>
  <c r="AW13" i="21"/>
  <c r="AS11" i="21"/>
  <c r="K12" i="21"/>
  <c r="AL11" i="21"/>
  <c r="BO11" i="21"/>
  <c r="BO15" i="21" s="1"/>
  <c r="BO166" i="21" s="1"/>
  <c r="AD32" i="4"/>
  <c r="AH9" i="21" s="1"/>
  <c r="L12" i="21"/>
  <c r="S13" i="21"/>
  <c r="K4" i="21"/>
  <c r="AL13" i="21"/>
  <c r="V11" i="21"/>
  <c r="V15" i="21" s="1"/>
  <c r="BO12" i="21"/>
  <c r="AD11" i="21"/>
  <c r="R5" i="21"/>
  <c r="Z5" i="21"/>
  <c r="L11" i="21"/>
  <c r="L15" i="21" s="1"/>
  <c r="S4" i="21"/>
  <c r="BO13" i="21"/>
  <c r="AD13" i="21"/>
  <c r="AH5" i="21"/>
  <c r="AP5" i="21"/>
  <c r="AW2" i="21"/>
  <c r="J5" i="21"/>
  <c r="AX5" i="21"/>
  <c r="BO4" i="21"/>
  <c r="BN5" i="21"/>
  <c r="BF5" i="21"/>
  <c r="AE11" i="20"/>
  <c r="AE14" i="20"/>
  <c r="AD4" i="20"/>
  <c r="AE13" i="20"/>
  <c r="AE12" i="20"/>
  <c r="O14" i="20"/>
  <c r="O4" i="20"/>
  <c r="O13" i="20"/>
  <c r="O12" i="20"/>
  <c r="O11" i="20"/>
  <c r="W14" i="20"/>
  <c r="L13" i="20"/>
  <c r="G5" i="20"/>
  <c r="H14" i="20"/>
  <c r="BQ5" i="19"/>
  <c r="O2" i="20"/>
  <c r="AF2" i="20"/>
  <c r="BD2" i="20"/>
  <c r="W37" i="4"/>
  <c r="AM8" i="20" s="1"/>
  <c r="X61" i="4"/>
  <c r="BK9" i="20" s="1"/>
  <c r="X29" i="4"/>
  <c r="AE9" i="20" s="1"/>
  <c r="AU11" i="20"/>
  <c r="AU15" i="20" s="1"/>
  <c r="AU166" i="20" s="1"/>
  <c r="AA14" i="20"/>
  <c r="N11" i="20"/>
  <c r="N15" i="20" s="1"/>
  <c r="Z4" i="20"/>
  <c r="Z2" i="20"/>
  <c r="W21" i="4"/>
  <c r="W8" i="20" s="1"/>
  <c r="X53" i="4"/>
  <c r="BC9" i="20" s="1"/>
  <c r="X14" i="20"/>
  <c r="X166" i="20" s="1"/>
  <c r="N13" i="20"/>
  <c r="Z11" i="20"/>
  <c r="Z15" i="20" s="1"/>
  <c r="Z166" i="20" s="1"/>
  <c r="AM5" i="20"/>
  <c r="BK5" i="20"/>
  <c r="S2" i="20"/>
  <c r="W13" i="4"/>
  <c r="O8" i="20" s="1"/>
  <c r="V4" i="20"/>
  <c r="N12" i="20"/>
  <c r="H12" i="20"/>
  <c r="W5" i="4"/>
  <c r="X45" i="4"/>
  <c r="AU9" i="20" s="1"/>
  <c r="X13" i="4"/>
  <c r="O9" i="20" s="1"/>
  <c r="BC5" i="20"/>
  <c r="H13" i="20"/>
  <c r="AA11" i="20"/>
  <c r="AA15" i="20" s="1"/>
  <c r="W11" i="20"/>
  <c r="W15" i="20" s="1"/>
  <c r="L12" i="20"/>
  <c r="K4" i="20"/>
  <c r="V2" i="20"/>
  <c r="Y11" i="19"/>
  <c r="Y15" i="19" s="1"/>
  <c r="Y14" i="19"/>
  <c r="AW2" i="19"/>
  <c r="AV14" i="19"/>
  <c r="AV11" i="19"/>
  <c r="AV15" i="19" s="1"/>
  <c r="X11" i="19"/>
  <c r="X15" i="19" s="1"/>
  <c r="X14" i="19"/>
  <c r="H12" i="19"/>
  <c r="H14" i="19"/>
  <c r="H13" i="19"/>
  <c r="H11" i="19"/>
  <c r="H15" i="19" s="1"/>
  <c r="V4" i="19"/>
  <c r="AH2" i="19"/>
  <c r="BE13" i="19"/>
  <c r="BE14" i="19"/>
  <c r="BE12" i="19"/>
  <c r="BE11" i="19"/>
  <c r="BE15" i="19" s="1"/>
  <c r="M13" i="19"/>
  <c r="AT14" i="19"/>
  <c r="G11" i="19"/>
  <c r="G15" i="19" s="1"/>
  <c r="AN5" i="19"/>
  <c r="AF2" i="19"/>
  <c r="Q30" i="4"/>
  <c r="AF8" i="19" s="1"/>
  <c r="Q31" i="4"/>
  <c r="AG8" i="19" s="1"/>
  <c r="R7" i="4"/>
  <c r="Q55" i="4"/>
  <c r="BE8" i="19" s="1"/>
  <c r="AH14" i="19"/>
  <c r="AH166" i="19" s="1"/>
  <c r="V14" i="19"/>
  <c r="K4" i="19"/>
  <c r="AR11" i="19"/>
  <c r="AR15" i="19" s="1"/>
  <c r="AR166" i="19" s="1"/>
  <c r="M4" i="19"/>
  <c r="P5" i="19"/>
  <c r="AG5" i="19"/>
  <c r="Q2" i="19"/>
  <c r="Q54" i="4"/>
  <c r="BD8" i="19" s="1"/>
  <c r="R39" i="4"/>
  <c r="AO9" i="19" s="1"/>
  <c r="Q39" i="4"/>
  <c r="AO8" i="19" s="1"/>
  <c r="Q46" i="4"/>
  <c r="AV8" i="19" s="1"/>
  <c r="R55" i="4"/>
  <c r="BE9" i="19" s="1"/>
  <c r="R38" i="4"/>
  <c r="AN9" i="19" s="1"/>
  <c r="K12" i="19"/>
  <c r="M14" i="19"/>
  <c r="Z11" i="19"/>
  <c r="Z15" i="19" s="1"/>
  <c r="AT11" i="19"/>
  <c r="AT15" i="19" s="1"/>
  <c r="Q23" i="4"/>
  <c r="Y8" i="19" s="1"/>
  <c r="K13" i="19"/>
  <c r="Z14" i="19"/>
  <c r="AW5" i="19"/>
  <c r="Z2" i="19"/>
  <c r="R22" i="4"/>
  <c r="X9" i="19" s="1"/>
  <c r="Q22" i="4"/>
  <c r="X8" i="19" s="1"/>
  <c r="Q47" i="4"/>
  <c r="AW8" i="19" s="1"/>
  <c r="R46" i="4"/>
  <c r="AV9" i="19" s="1"/>
  <c r="AH12" i="19"/>
  <c r="K11" i="19"/>
  <c r="BD5" i="19"/>
  <c r="Q7" i="4"/>
  <c r="AH13" i="19"/>
  <c r="AM13" i="18"/>
  <c r="AM12" i="18"/>
  <c r="AM11" i="18"/>
  <c r="AM14" i="18"/>
  <c r="AV11" i="18"/>
  <c r="AV15" i="18" s="1"/>
  <c r="Z4" i="18"/>
  <c r="AE13" i="18"/>
  <c r="BC5" i="18"/>
  <c r="BQ5" i="2"/>
  <c r="O5" i="18"/>
  <c r="K5" i="4"/>
  <c r="AA11" i="18"/>
  <c r="AA15" i="18" s="1"/>
  <c r="AA166" i="18" s="1"/>
  <c r="AH2" i="18"/>
  <c r="AV14" i="18"/>
  <c r="AU5" i="18"/>
  <c r="K13" i="4"/>
  <c r="O8" i="18" s="1"/>
  <c r="L37" i="4"/>
  <c r="AM9" i="18" s="1"/>
  <c r="W5" i="18"/>
  <c r="BK5" i="18"/>
  <c r="K37" i="4"/>
  <c r="AM8" i="18" s="1"/>
  <c r="K53" i="4"/>
  <c r="BC8" i="18" s="1"/>
  <c r="AE12" i="18"/>
  <c r="AD4" i="18"/>
  <c r="K61" i="4"/>
  <c r="BK8" i="18" s="1"/>
  <c r="AS2" i="18"/>
  <c r="K21" i="4"/>
  <c r="W8" i="18" s="1"/>
  <c r="G12" i="18"/>
  <c r="AZ2" i="18"/>
  <c r="AV11" i="2"/>
  <c r="AV15" i="2" s="1"/>
  <c r="Z2" i="2"/>
  <c r="AS2" i="2"/>
  <c r="AI5" i="2"/>
  <c r="E25" i="4"/>
  <c r="AA8" i="2" s="1"/>
  <c r="F17" i="4"/>
  <c r="S9" i="2" s="1"/>
  <c r="AF4" i="2"/>
  <c r="K5" i="2"/>
  <c r="AL2" i="2"/>
  <c r="AE13" i="2"/>
  <c r="J14" i="2"/>
  <c r="AX11" i="2"/>
  <c r="AX15" i="2" s="1"/>
  <c r="AP5" i="2"/>
  <c r="E40" i="4"/>
  <c r="AP8" i="2" s="1"/>
  <c r="G4" i="2"/>
  <c r="J12" i="2"/>
  <c r="AA5" i="2"/>
  <c r="AH5" i="2"/>
  <c r="E32" i="4"/>
  <c r="AH8" i="2" s="1"/>
  <c r="F33" i="4"/>
  <c r="AI9" i="2" s="1"/>
  <c r="AF11" i="2"/>
  <c r="AF15" i="2" s="1"/>
  <c r="AE14" i="2"/>
  <c r="E49" i="4"/>
  <c r="AY8" i="2" s="1"/>
  <c r="E24" i="4"/>
  <c r="Z8" i="2" s="1"/>
  <c r="F16" i="4"/>
  <c r="R9" i="2" s="1"/>
  <c r="AE11" i="2"/>
  <c r="AE15" i="2" s="1"/>
  <c r="AF14" i="2"/>
  <c r="O2" i="2"/>
  <c r="E41" i="4"/>
  <c r="AQ8" i="2" s="1"/>
  <c r="F8" i="4"/>
  <c r="J9" i="2" s="1"/>
  <c r="AZ2" i="2"/>
  <c r="K2" i="2"/>
  <c r="AF12" i="2"/>
  <c r="S5" i="2"/>
  <c r="F57" i="4"/>
  <c r="BQ167" i="18"/>
  <c r="M167" i="23"/>
  <c r="Q167" i="23"/>
  <c r="BM167" i="23"/>
  <c r="K167" i="23"/>
  <c r="BO167" i="23"/>
  <c r="BI167" i="23"/>
  <c r="BQ167" i="23"/>
  <c r="BQ169" i="23" s="1"/>
  <c r="AF167" i="23"/>
  <c r="AL167" i="23"/>
  <c r="AD167" i="23"/>
  <c r="G167" i="23"/>
  <c r="O167" i="23"/>
  <c r="BK167" i="23"/>
  <c r="Q167" i="22"/>
  <c r="BD167" i="22"/>
  <c r="BM167" i="22"/>
  <c r="M167" i="22"/>
  <c r="AD167" i="22"/>
  <c r="G167" i="22"/>
  <c r="O167" i="22"/>
  <c r="AF167" i="22"/>
  <c r="BG167" i="22"/>
  <c r="BK167" i="22"/>
  <c r="AL167" i="22"/>
  <c r="AO167" i="22"/>
  <c r="AZ167" i="22"/>
  <c r="BI167" i="22"/>
  <c r="BQ167" i="21"/>
  <c r="AH167" i="21"/>
  <c r="BM167" i="21"/>
  <c r="AL167" i="21"/>
  <c r="G167" i="21"/>
  <c r="BD167" i="21"/>
  <c r="BG167" i="21"/>
  <c r="AF167" i="21"/>
  <c r="AD167" i="21"/>
  <c r="AO167" i="21"/>
  <c r="BO167" i="21"/>
  <c r="O167" i="21"/>
  <c r="BK167" i="21"/>
  <c r="AW167" i="21"/>
  <c r="AH167" i="20"/>
  <c r="BM167" i="20"/>
  <c r="BK167" i="20"/>
  <c r="AD167" i="20"/>
  <c r="AF167" i="20"/>
  <c r="BQ167" i="20"/>
  <c r="O167" i="19"/>
  <c r="AL167" i="19"/>
  <c r="AJ167" i="19"/>
  <c r="BM167" i="18"/>
  <c r="BM169" i="18" s="1"/>
  <c r="BI167" i="18"/>
  <c r="Q167" i="18"/>
  <c r="AJ167" i="18"/>
  <c r="AF167" i="2"/>
  <c r="AF167" i="18"/>
  <c r="K167" i="18"/>
  <c r="BO167" i="18"/>
  <c r="BO169" i="18" s="1"/>
  <c r="G167" i="18"/>
  <c r="O167" i="18"/>
  <c r="AD167" i="18"/>
  <c r="O167" i="2"/>
  <c r="BO167" i="2"/>
  <c r="BM167" i="2"/>
  <c r="AD167" i="2"/>
  <c r="BK167" i="2"/>
  <c r="G167" i="2"/>
  <c r="BG167" i="23"/>
  <c r="BD167" i="23"/>
  <c r="BB167" i="23"/>
  <c r="AO167" i="23"/>
  <c r="S167" i="23"/>
  <c r="AW167" i="22"/>
  <c r="K167" i="22"/>
  <c r="Q167" i="21"/>
  <c r="M167" i="21"/>
  <c r="K167" i="21"/>
  <c r="AZ167" i="21"/>
  <c r="S167" i="21"/>
  <c r="AL167" i="20"/>
  <c r="BI167" i="20"/>
  <c r="BB167" i="20"/>
  <c r="AZ167" i="20"/>
  <c r="BO167" i="20"/>
  <c r="Q167" i="20"/>
  <c r="BD167" i="20"/>
  <c r="BG167" i="20"/>
  <c r="V167" i="20"/>
  <c r="O167" i="20"/>
  <c r="M167" i="20"/>
  <c r="K167" i="20"/>
  <c r="G167" i="20"/>
  <c r="BK167" i="19"/>
  <c r="BB167" i="19"/>
  <c r="BG167" i="19"/>
  <c r="AF167" i="19"/>
  <c r="G167" i="19"/>
  <c r="Q167" i="19"/>
  <c r="BD167" i="19"/>
  <c r="BM167" i="19"/>
  <c r="AD167" i="19"/>
  <c r="V167" i="19"/>
  <c r="S167" i="19"/>
  <c r="AO167" i="19"/>
  <c r="AL167" i="18"/>
  <c r="BK167" i="18"/>
  <c r="BG167" i="18"/>
  <c r="BD167" i="18"/>
  <c r="BB167" i="18"/>
  <c r="AZ167" i="18"/>
  <c r="AW167" i="18"/>
  <c r="M167" i="18"/>
  <c r="AO167" i="18"/>
  <c r="S167" i="18"/>
  <c r="BI167" i="2"/>
  <c r="K167" i="2"/>
  <c r="AL167" i="2"/>
  <c r="BQ167" i="2"/>
  <c r="Q167" i="2"/>
  <c r="BD167" i="2"/>
  <c r="BB167" i="2"/>
  <c r="AW167" i="2"/>
  <c r="AS167" i="2"/>
  <c r="AO167" i="2"/>
  <c r="BG167" i="2"/>
  <c r="AJ167" i="2"/>
  <c r="AZ167" i="2"/>
  <c r="AH167" i="2"/>
  <c r="S167" i="2"/>
  <c r="AZ14" i="23"/>
  <c r="AZ166" i="23" s="1"/>
  <c r="BD4" i="23"/>
  <c r="BE12" i="23"/>
  <c r="S11" i="23"/>
  <c r="AN11" i="23"/>
  <c r="AN15" i="23" s="1"/>
  <c r="K13" i="23"/>
  <c r="BI13" i="23"/>
  <c r="R13" i="23"/>
  <c r="BK13" i="23"/>
  <c r="AO51" i="4"/>
  <c r="BA8" i="23" s="1"/>
  <c r="BE14" i="23"/>
  <c r="AH12" i="23"/>
  <c r="X14" i="23"/>
  <c r="X166" i="23" s="1"/>
  <c r="S12" i="23"/>
  <c r="BF11" i="23"/>
  <c r="BF15" i="23" s="1"/>
  <c r="AN14" i="23"/>
  <c r="K12" i="23"/>
  <c r="BI12" i="23"/>
  <c r="R14" i="23"/>
  <c r="BK11" i="23"/>
  <c r="BK14" i="23"/>
  <c r="BD13" i="23"/>
  <c r="BF13" i="23"/>
  <c r="AP27" i="4"/>
  <c r="AC9" i="23" s="1"/>
  <c r="AZ12" i="23"/>
  <c r="BD12" i="23"/>
  <c r="AO4" i="23"/>
  <c r="S4" i="23"/>
  <c r="BF14" i="23"/>
  <c r="K4" i="23"/>
  <c r="BI14" i="23"/>
  <c r="AP19" i="4"/>
  <c r="U9" i="23" s="1"/>
  <c r="BE13" i="23"/>
  <c r="AH4" i="23"/>
  <c r="K14" i="23"/>
  <c r="P15" i="23"/>
  <c r="AP11" i="4"/>
  <c r="M9" i="23" s="1"/>
  <c r="AZ13" i="23"/>
  <c r="R11" i="23"/>
  <c r="AP59" i="4"/>
  <c r="BI9" i="23" s="1"/>
  <c r="AJ56" i="4"/>
  <c r="BF9" i="22" s="1"/>
  <c r="AO11" i="22"/>
  <c r="AL11" i="22"/>
  <c r="AW13" i="22"/>
  <c r="AL13" i="22"/>
  <c r="AH11" i="22"/>
  <c r="AM12" i="22"/>
  <c r="AJ48" i="4"/>
  <c r="AX9" i="22" s="1"/>
  <c r="AH13" i="22"/>
  <c r="AM14" i="22"/>
  <c r="AY12" i="22"/>
  <c r="AJ4" i="22"/>
  <c r="AJ40" i="4"/>
  <c r="AP9" i="22" s="1"/>
  <c r="AJ24" i="4"/>
  <c r="Z9" i="22" s="1"/>
  <c r="AH4" i="22"/>
  <c r="AI64" i="4"/>
  <c r="BN8" i="22" s="1"/>
  <c r="AI16" i="4"/>
  <c r="R8" i="22" s="1"/>
  <c r="AL4" i="22"/>
  <c r="AK13" i="22"/>
  <c r="AL12" i="22"/>
  <c r="AY11" i="22"/>
  <c r="AI8" i="4"/>
  <c r="AJ8" i="4"/>
  <c r="AY13" i="22"/>
  <c r="BP14" i="21"/>
  <c r="AG12" i="21"/>
  <c r="AC48" i="4"/>
  <c r="AX8" i="21" s="1"/>
  <c r="AD8" i="4"/>
  <c r="AC18" i="4"/>
  <c r="T8" i="21" s="1"/>
  <c r="AG13" i="21"/>
  <c r="AC64" i="4"/>
  <c r="BN8" i="21" s="1"/>
  <c r="AC66" i="4"/>
  <c r="BP8" i="21" s="1"/>
  <c r="BP7" i="21" s="1"/>
  <c r="BP11" i="21"/>
  <c r="AG14" i="21"/>
  <c r="AC8" i="4"/>
  <c r="AD58" i="4"/>
  <c r="BH9" i="21" s="1"/>
  <c r="AF4" i="21"/>
  <c r="AD10" i="4"/>
  <c r="L9" i="21" s="1"/>
  <c r="BP12" i="21"/>
  <c r="AC24" i="4"/>
  <c r="Z8" i="21" s="1"/>
  <c r="BP13" i="21"/>
  <c r="W23" i="4"/>
  <c r="Y8" i="20" s="1"/>
  <c r="X31" i="4"/>
  <c r="AG9" i="20" s="1"/>
  <c r="AI12" i="20"/>
  <c r="X55" i="4"/>
  <c r="BE9" i="20" s="1"/>
  <c r="W39" i="4"/>
  <c r="AO8" i="20" s="1"/>
  <c r="AI13" i="20"/>
  <c r="AO4" i="20"/>
  <c r="M11" i="20"/>
  <c r="AI14" i="20"/>
  <c r="AI166" i="20" s="1"/>
  <c r="AR11" i="20"/>
  <c r="X47" i="4"/>
  <c r="AW9" i="20" s="1"/>
  <c r="W7" i="4"/>
  <c r="M13" i="20"/>
  <c r="AN11" i="20"/>
  <c r="AN15" i="20" s="1"/>
  <c r="M4" i="20"/>
  <c r="AS11" i="19"/>
  <c r="Z4" i="19"/>
  <c r="G14" i="19"/>
  <c r="AO11" i="19"/>
  <c r="Q25" i="4"/>
  <c r="AA8" i="19" s="1"/>
  <c r="AA7" i="19" s="1"/>
  <c r="AS4" i="19"/>
  <c r="AK13" i="19"/>
  <c r="AK12" i="19"/>
  <c r="AO4" i="19"/>
  <c r="R57" i="4"/>
  <c r="AB11" i="19"/>
  <c r="AB15" i="19" s="1"/>
  <c r="AB166" i="19" s="1"/>
  <c r="Q9" i="4"/>
  <c r="K8" i="19" s="1"/>
  <c r="G13" i="19"/>
  <c r="AK11" i="19"/>
  <c r="R49" i="4"/>
  <c r="AY9" i="19" s="1"/>
  <c r="R17" i="4"/>
  <c r="S9" i="19" s="1"/>
  <c r="AJ4" i="19"/>
  <c r="Q41" i="4"/>
  <c r="AQ8" i="19" s="1"/>
  <c r="AY11" i="18"/>
  <c r="BA13" i="18"/>
  <c r="AJ11" i="18"/>
  <c r="G4" i="18"/>
  <c r="H14" i="18"/>
  <c r="L23" i="4"/>
  <c r="Y9" i="18" s="1"/>
  <c r="AZ13" i="18"/>
  <c r="BI14" i="18"/>
  <c r="AY13" i="18"/>
  <c r="BA14" i="18"/>
  <c r="AZ14" i="18"/>
  <c r="AJ4" i="18"/>
  <c r="BG12" i="18"/>
  <c r="J13" i="18"/>
  <c r="H11" i="18"/>
  <c r="H15" i="18" s="1"/>
  <c r="L47" i="4"/>
  <c r="AW9" i="18" s="1"/>
  <c r="L15" i="4"/>
  <c r="Q9" i="18" s="1"/>
  <c r="BJ11" i="18"/>
  <c r="BJ15" i="18" s="1"/>
  <c r="BJ166" i="18" s="1"/>
  <c r="BI12" i="18"/>
  <c r="BG13" i="18"/>
  <c r="H13" i="18"/>
  <c r="AJ13" i="18"/>
  <c r="BE12" i="18"/>
  <c r="AZ12" i="18"/>
  <c r="BI11" i="18"/>
  <c r="BG4" i="18"/>
  <c r="G14" i="18"/>
  <c r="K7" i="4"/>
  <c r="L7" i="4"/>
  <c r="BE13" i="18"/>
  <c r="AO4" i="18"/>
  <c r="BA11" i="18"/>
  <c r="BA15" i="18" s="1"/>
  <c r="AZ11" i="18"/>
  <c r="G11" i="18"/>
  <c r="BJ12" i="18"/>
  <c r="L11" i="2"/>
  <c r="L15" i="2" s="1"/>
  <c r="BE13" i="2"/>
  <c r="BE12" i="2"/>
  <c r="BE14" i="2"/>
  <c r="BE166" i="2" s="1"/>
  <c r="AY12" i="2"/>
  <c r="AY14" i="2"/>
  <c r="AY11" i="2"/>
  <c r="AY15" i="2" s="1"/>
  <c r="AY13" i="2"/>
  <c r="AQ11" i="2"/>
  <c r="AQ15" i="2" s="1"/>
  <c r="AQ166" i="2" s="1"/>
  <c r="N14" i="2"/>
  <c r="N12" i="2"/>
  <c r="N11" i="2"/>
  <c r="N15" i="2" s="1"/>
  <c r="Y11" i="2"/>
  <c r="Y15" i="2" s="1"/>
  <c r="Y166" i="2" s="1"/>
  <c r="AX12" i="2"/>
  <c r="AX14" i="2"/>
  <c r="R11" i="2"/>
  <c r="R15" i="2" s="1"/>
  <c r="R12" i="2"/>
  <c r="Q2" i="2"/>
  <c r="N13" i="2"/>
  <c r="AR11" i="2"/>
  <c r="AR15" i="2" s="1"/>
  <c r="AG11" i="2"/>
  <c r="AG12" i="2"/>
  <c r="Q11" i="2"/>
  <c r="Q12" i="2"/>
  <c r="Q14" i="2"/>
  <c r="BD11" i="2"/>
  <c r="BD13" i="2"/>
  <c r="O4" i="2"/>
  <c r="AU14" i="2"/>
  <c r="AU166" i="2" s="1"/>
  <c r="AJ14" i="2"/>
  <c r="AJ12" i="2"/>
  <c r="AJ13" i="2"/>
  <c r="O11" i="2"/>
  <c r="O14" i="2"/>
  <c r="O12" i="2"/>
  <c r="L12" i="2"/>
  <c r="AR14" i="2"/>
  <c r="BH14" i="2"/>
  <c r="BH12" i="2"/>
  <c r="BH13" i="2"/>
  <c r="BJ5" i="2"/>
  <c r="E60" i="4"/>
  <c r="BJ8" i="2" s="1"/>
  <c r="BB5" i="2"/>
  <c r="F52" i="4"/>
  <c r="BB9" i="2" s="1"/>
  <c r="F44" i="4"/>
  <c r="AT9" i="2" s="1"/>
  <c r="E44" i="4"/>
  <c r="AT8" i="2" s="1"/>
  <c r="AT5" i="2"/>
  <c r="E36" i="4"/>
  <c r="AL8" i="2" s="1"/>
  <c r="F36" i="4"/>
  <c r="AL9" i="2" s="1"/>
  <c r="AL5" i="2"/>
  <c r="E20" i="4"/>
  <c r="V8" i="2" s="1"/>
  <c r="F20" i="4"/>
  <c r="V9" i="2" s="1"/>
  <c r="V5" i="2"/>
  <c r="E12" i="4"/>
  <c r="N8" i="2" s="1"/>
  <c r="F12" i="4"/>
  <c r="N9" i="2" s="1"/>
  <c r="AJ11" i="2"/>
  <c r="AO11" i="2"/>
  <c r="J13" i="2"/>
  <c r="AZ14" i="2"/>
  <c r="AZ166" i="2" s="1"/>
  <c r="AE12" i="2"/>
  <c r="I11" i="2"/>
  <c r="I15" i="2" s="1"/>
  <c r="G3" i="2"/>
  <c r="G2" i="2" s="1"/>
  <c r="E16" i="4"/>
  <c r="R8" i="2" s="1"/>
  <c r="R7" i="2" s="1"/>
  <c r="F41" i="4"/>
  <c r="AQ9" i="2" s="1"/>
  <c r="F9" i="4"/>
  <c r="K9" i="2" s="1"/>
  <c r="T11" i="2"/>
  <c r="T15" i="2" s="1"/>
  <c r="AW5" i="2"/>
  <c r="AZ12" i="2"/>
  <c r="BC11" i="2"/>
  <c r="BC15" i="2" s="1"/>
  <c r="E55" i="4"/>
  <c r="BE8" i="2" s="1"/>
  <c r="F31" i="4"/>
  <c r="AM11" i="2"/>
  <c r="AM15" i="2" s="1"/>
  <c r="BF5" i="2"/>
  <c r="Z5" i="2"/>
  <c r="E56" i="4"/>
  <c r="BF8" i="2" s="1"/>
  <c r="F23" i="4"/>
  <c r="Y9" i="2" s="1"/>
  <c r="AZ13" i="2"/>
  <c r="AM14" i="2"/>
  <c r="I12" i="2"/>
  <c r="E15" i="4"/>
  <c r="Q8" i="2" s="1"/>
  <c r="Q7" i="2" s="1"/>
  <c r="AW167" i="23"/>
  <c r="Z167" i="23"/>
  <c r="AH167" i="23"/>
  <c r="V167" i="23"/>
  <c r="AZ167" i="23"/>
  <c r="AS167" i="23"/>
  <c r="AJ167" i="23"/>
  <c r="Z167" i="22"/>
  <c r="AS167" i="22"/>
  <c r="AJ167" i="22"/>
  <c r="AH167" i="22"/>
  <c r="BB167" i="22"/>
  <c r="V167" i="22"/>
  <c r="BI167" i="21"/>
  <c r="Z167" i="21"/>
  <c r="AS167" i="21"/>
  <c r="V167" i="21"/>
  <c r="AJ167" i="21"/>
  <c r="BB167" i="21"/>
  <c r="AS167" i="20"/>
  <c r="AO167" i="20"/>
  <c r="S167" i="20"/>
  <c r="AJ167" i="20"/>
  <c r="Z167" i="20"/>
  <c r="AW167" i="20"/>
  <c r="AZ167" i="19"/>
  <c r="AW167" i="19"/>
  <c r="AH167" i="19"/>
  <c r="Z167" i="19"/>
  <c r="AS167" i="19"/>
  <c r="AH167" i="18"/>
  <c r="V167" i="18"/>
  <c r="AS167" i="18"/>
  <c r="Z167" i="18"/>
  <c r="V166" i="19" l="1"/>
  <c r="AX7" i="22"/>
  <c r="BN7" i="2"/>
  <c r="AU7" i="19"/>
  <c r="P7" i="22"/>
  <c r="AJ7" i="18"/>
  <c r="AD166" i="22"/>
  <c r="AC166" i="21"/>
  <c r="AA166" i="19"/>
  <c r="AJ7" i="21"/>
  <c r="BL7" i="22"/>
  <c r="X7" i="21"/>
  <c r="AD7" i="20"/>
  <c r="AN166" i="21"/>
  <c r="AU7" i="22"/>
  <c r="AW7" i="2"/>
  <c r="M7" i="23"/>
  <c r="BE7" i="20"/>
  <c r="AC7" i="22"/>
  <c r="M7" i="18"/>
  <c r="L7" i="19"/>
  <c r="R7" i="22"/>
  <c r="BM7" i="23"/>
  <c r="BE7" i="23"/>
  <c r="AQ7" i="22"/>
  <c r="BL7" i="19"/>
  <c r="BN7" i="18"/>
  <c r="BM6" i="18" s="1"/>
  <c r="AI7" i="19"/>
  <c r="R7" i="19"/>
  <c r="AX7" i="18"/>
  <c r="U7" i="18"/>
  <c r="BI7" i="21"/>
  <c r="X7" i="23"/>
  <c r="AH7" i="23"/>
  <c r="AG7" i="23"/>
  <c r="BE7" i="18"/>
  <c r="BN7" i="23"/>
  <c r="BM7" i="2"/>
  <c r="AI7" i="21"/>
  <c r="M7" i="22"/>
  <c r="K7" i="18"/>
  <c r="AS7" i="23"/>
  <c r="BP7" i="18"/>
  <c r="U7" i="20"/>
  <c r="P7" i="20"/>
  <c r="AH7" i="19"/>
  <c r="BF7" i="22"/>
  <c r="N7" i="20"/>
  <c r="BB7" i="20"/>
  <c r="BE7" i="22"/>
  <c r="BD7" i="20"/>
  <c r="W7" i="20"/>
  <c r="AW7" i="18"/>
  <c r="O7" i="19"/>
  <c r="Z7" i="18"/>
  <c r="BB7" i="22"/>
  <c r="S7" i="18"/>
  <c r="H7" i="18"/>
  <c r="U7" i="19"/>
  <c r="BN7" i="22"/>
  <c r="X7" i="19"/>
  <c r="AV7" i="18"/>
  <c r="AT7" i="18"/>
  <c r="AN7" i="21"/>
  <c r="AY7" i="22"/>
  <c r="Y7" i="21"/>
  <c r="BO7" i="2"/>
  <c r="AK7" i="18"/>
  <c r="BB7" i="23"/>
  <c r="S7" i="23"/>
  <c r="AQ7" i="20"/>
  <c r="G7" i="23"/>
  <c r="AQ7" i="18"/>
  <c r="Z7" i="19"/>
  <c r="S7" i="20"/>
  <c r="U7" i="21"/>
  <c r="AV7" i="20"/>
  <c r="BO7" i="20"/>
  <c r="BO6" i="20" s="1"/>
  <c r="BC7" i="23"/>
  <c r="AL7" i="22"/>
  <c r="AI7" i="23"/>
  <c r="AN7" i="22"/>
  <c r="AR7" i="18"/>
  <c r="AD7" i="18"/>
  <c r="G7" i="19"/>
  <c r="N7" i="19"/>
  <c r="BA7" i="20"/>
  <c r="AI7" i="22"/>
  <c r="K7" i="19"/>
  <c r="W7" i="19"/>
  <c r="BA7" i="19"/>
  <c r="Q7" i="23"/>
  <c r="R7" i="18"/>
  <c r="AD7" i="19"/>
  <c r="AZ7" i="18"/>
  <c r="BH7" i="19"/>
  <c r="AM7" i="23"/>
  <c r="AE7" i="19"/>
  <c r="BO7" i="18"/>
  <c r="AZ7" i="19"/>
  <c r="W7" i="23"/>
  <c r="AR7" i="22"/>
  <c r="H7" i="23"/>
  <c r="AM7" i="18"/>
  <c r="BA7" i="18"/>
  <c r="AQ7" i="19"/>
  <c r="Y7" i="20"/>
  <c r="Y7" i="19"/>
  <c r="AW7" i="22"/>
  <c r="BI7" i="23"/>
  <c r="AY7" i="19"/>
  <c r="AP7" i="22"/>
  <c r="BF7" i="23"/>
  <c r="AR7" i="19"/>
  <c r="AZ7" i="21"/>
  <c r="AJ7" i="19"/>
  <c r="J7" i="18"/>
  <c r="AV7" i="23"/>
  <c r="AY7" i="20"/>
  <c r="BE7" i="19"/>
  <c r="BC7" i="20"/>
  <c r="AP7" i="21"/>
  <c r="AY7" i="23"/>
  <c r="Y7" i="18"/>
  <c r="BJ7" i="22"/>
  <c r="AU7" i="23"/>
  <c r="Y7" i="23"/>
  <c r="BO7" i="23"/>
  <c r="AA7" i="18"/>
  <c r="AB7" i="19"/>
  <c r="AA7" i="20"/>
  <c r="K7" i="20"/>
  <c r="BP7" i="19"/>
  <c r="BM7" i="18"/>
  <c r="Q7" i="18"/>
  <c r="BH7" i="22"/>
  <c r="G7" i="21"/>
  <c r="J7" i="19"/>
  <c r="AJ7" i="22"/>
  <c r="BD7" i="18"/>
  <c r="H7" i="20"/>
  <c r="J7" i="23"/>
  <c r="AN7" i="20"/>
  <c r="AC7" i="21"/>
  <c r="Q7" i="22"/>
  <c r="K7" i="22"/>
  <c r="K6" i="22" s="1"/>
  <c r="M7" i="20"/>
  <c r="BE7" i="2"/>
  <c r="N7" i="2"/>
  <c r="AV7" i="19"/>
  <c r="BM7" i="22"/>
  <c r="N7" i="23"/>
  <c r="AG7" i="20"/>
  <c r="AO7" i="23"/>
  <c r="AF7" i="21"/>
  <c r="AF7" i="20"/>
  <c r="BF7" i="19"/>
  <c r="BO7" i="19"/>
  <c r="AB7" i="18"/>
  <c r="AW7" i="23"/>
  <c r="N7" i="22"/>
  <c r="P7" i="23"/>
  <c r="T7" i="22"/>
  <c r="O7" i="2"/>
  <c r="BA7" i="23"/>
  <c r="AO7" i="19"/>
  <c r="AN7" i="19"/>
  <c r="AC7" i="20"/>
  <c r="BH7" i="20"/>
  <c r="AX7" i="23"/>
  <c r="AS7" i="22"/>
  <c r="AJ7" i="20"/>
  <c r="AJ6" i="20" s="1"/>
  <c r="AB7" i="22"/>
  <c r="AT7" i="22"/>
  <c r="AE7" i="20"/>
  <c r="BM7" i="19"/>
  <c r="AF7" i="18"/>
  <c r="AP7" i="18"/>
  <c r="BI7" i="22"/>
  <c r="AO7" i="22"/>
  <c r="BH7" i="21"/>
  <c r="AE7" i="18"/>
  <c r="Z7" i="23"/>
  <c r="V7" i="21"/>
  <c r="AT7" i="20"/>
  <c r="AS7" i="20"/>
  <c r="AK7" i="19"/>
  <c r="AY7" i="18"/>
  <c r="AW7" i="20"/>
  <c r="O7" i="20"/>
  <c r="K7" i="23"/>
  <c r="AC7" i="23"/>
  <c r="S7" i="19"/>
  <c r="AV7" i="21"/>
  <c r="Y7" i="22"/>
  <c r="AL7" i="18"/>
  <c r="BM7" i="20"/>
  <c r="X7" i="20"/>
  <c r="BH7" i="23"/>
  <c r="O7" i="18"/>
  <c r="Z7" i="21"/>
  <c r="BD7" i="22"/>
  <c r="U7" i="23"/>
  <c r="BC7" i="22"/>
  <c r="T7" i="21"/>
  <c r="AM7" i="22"/>
  <c r="AK7" i="23"/>
  <c r="BD7" i="21"/>
  <c r="AU7" i="20"/>
  <c r="AC7" i="18"/>
  <c r="R7" i="23"/>
  <c r="U7" i="22"/>
  <c r="X7" i="18"/>
  <c r="BL7" i="20"/>
  <c r="Z7" i="20"/>
  <c r="AB7" i="20"/>
  <c r="BH7" i="18"/>
  <c r="L7" i="23"/>
  <c r="AC7" i="19"/>
  <c r="AO7" i="20"/>
  <c r="Z7" i="22"/>
  <c r="BL7" i="21"/>
  <c r="X7" i="22"/>
  <c r="AP7" i="23"/>
  <c r="AK7" i="22"/>
  <c r="AS7" i="18"/>
  <c r="BN7" i="19"/>
  <c r="AZ7" i="23"/>
  <c r="AP7" i="20"/>
  <c r="T7" i="18"/>
  <c r="BL166" i="21"/>
  <c r="BK7" i="23"/>
  <c r="BK6" i="23" s="1"/>
  <c r="BK7" i="20"/>
  <c r="BO11" i="22"/>
  <c r="BO15" i="22" s="1"/>
  <c r="BO7" i="22"/>
  <c r="BK4" i="19"/>
  <c r="BK7" i="19"/>
  <c r="BK14" i="18"/>
  <c r="BK7" i="18"/>
  <c r="BK6" i="18" s="1"/>
  <c r="BJ7" i="18"/>
  <c r="BM7" i="21"/>
  <c r="BP14" i="22"/>
  <c r="BP7" i="22"/>
  <c r="BO7" i="21"/>
  <c r="S12" i="22"/>
  <c r="S7" i="22"/>
  <c r="BA12" i="22"/>
  <c r="BA7" i="22"/>
  <c r="BJ11" i="20"/>
  <c r="BJ15" i="20" s="1"/>
  <c r="BJ7" i="20"/>
  <c r="K7" i="21"/>
  <c r="AL14" i="20"/>
  <c r="AL7" i="20"/>
  <c r="AA11" i="23"/>
  <c r="AA7" i="23"/>
  <c r="P7" i="21"/>
  <c r="J14" i="20"/>
  <c r="J7" i="20"/>
  <c r="AX7" i="2"/>
  <c r="AF7" i="19"/>
  <c r="BC7" i="18"/>
  <c r="AG7" i="21"/>
  <c r="AL7" i="21"/>
  <c r="AO7" i="21"/>
  <c r="AK14" i="20"/>
  <c r="AK7" i="20"/>
  <c r="AF7" i="22"/>
  <c r="AW7" i="19"/>
  <c r="P7" i="19"/>
  <c r="AM14" i="20"/>
  <c r="AM7" i="20"/>
  <c r="BF7" i="21"/>
  <c r="AK166" i="22"/>
  <c r="V7" i="23"/>
  <c r="V7" i="18"/>
  <c r="BJ7" i="21"/>
  <c r="M7" i="21"/>
  <c r="M6" i="21" s="1"/>
  <c r="S166" i="20"/>
  <c r="W7" i="2"/>
  <c r="U7" i="2"/>
  <c r="AM7" i="2"/>
  <c r="AK7" i="21"/>
  <c r="AZ14" i="22"/>
  <c r="AZ7" i="22"/>
  <c r="BI4" i="19"/>
  <c r="BI7" i="19"/>
  <c r="BI6" i="19" s="1"/>
  <c r="AY7" i="21"/>
  <c r="AH4" i="20"/>
  <c r="AH7" i="20"/>
  <c r="AD7" i="21"/>
  <c r="AX7" i="21"/>
  <c r="BJ7" i="23"/>
  <c r="AE7" i="22"/>
  <c r="W14" i="22"/>
  <c r="W7" i="22"/>
  <c r="BF13" i="20"/>
  <c r="BF7" i="20"/>
  <c r="AB7" i="21"/>
  <c r="AG11" i="18"/>
  <c r="AG15" i="18" s="1"/>
  <c r="AG7" i="18"/>
  <c r="AG12" i="19"/>
  <c r="AG7" i="19"/>
  <c r="W7" i="18"/>
  <c r="I7" i="22"/>
  <c r="AT7" i="23"/>
  <c r="N13" i="18"/>
  <c r="N7" i="18"/>
  <c r="AR7" i="21"/>
  <c r="BB11" i="18"/>
  <c r="BB15" i="18" s="1"/>
  <c r="BB7" i="18"/>
  <c r="AY7" i="2"/>
  <c r="BE7" i="21"/>
  <c r="AJ166" i="21"/>
  <c r="AH14" i="18"/>
  <c r="AH7" i="18"/>
  <c r="T13" i="19"/>
  <c r="T7" i="19"/>
  <c r="AN11" i="18"/>
  <c r="AN15" i="18" s="1"/>
  <c r="AN7" i="18"/>
  <c r="AG7" i="22"/>
  <c r="I12" i="23"/>
  <c r="I7" i="23"/>
  <c r="BB7" i="21"/>
  <c r="AU7" i="18"/>
  <c r="L7" i="21"/>
  <c r="BF13" i="18"/>
  <c r="BF7" i="18"/>
  <c r="AT7" i="21"/>
  <c r="BA7" i="21"/>
  <c r="AD4" i="23"/>
  <c r="AD7" i="23"/>
  <c r="Z7" i="2"/>
  <c r="AL4" i="23"/>
  <c r="AL7" i="23"/>
  <c r="AM7" i="19"/>
  <c r="BD7" i="19"/>
  <c r="I13" i="19"/>
  <c r="O7" i="21"/>
  <c r="Q4" i="19"/>
  <c r="Q7" i="19"/>
  <c r="X166" i="19"/>
  <c r="BC7" i="19"/>
  <c r="O7" i="22"/>
  <c r="AU7" i="21"/>
  <c r="AQ7" i="21"/>
  <c r="BK7" i="22"/>
  <c r="L7" i="2"/>
  <c r="T7" i="2"/>
  <c r="AE7" i="2"/>
  <c r="G7" i="2"/>
  <c r="AH7" i="2"/>
  <c r="J7" i="2"/>
  <c r="AZ7" i="2"/>
  <c r="BC7" i="2"/>
  <c r="AQ7" i="2"/>
  <c r="AU7" i="2"/>
  <c r="Y7" i="2"/>
  <c r="AV7" i="2"/>
  <c r="AO7" i="2"/>
  <c r="AJ7" i="2"/>
  <c r="BD7" i="2"/>
  <c r="BB7" i="2"/>
  <c r="P7" i="2"/>
  <c r="AC11" i="2"/>
  <c r="AC15" i="2" s="1"/>
  <c r="AC7" i="2"/>
  <c r="BD4" i="2"/>
  <c r="BF7" i="2"/>
  <c r="BJ7" i="2"/>
  <c r="S14" i="2"/>
  <c r="S7" i="2"/>
  <c r="AA14" i="2"/>
  <c r="AA7" i="2"/>
  <c r="AK11" i="2"/>
  <c r="AK15" i="2" s="1"/>
  <c r="AK7" i="2"/>
  <c r="AI11" i="2"/>
  <c r="AI7" i="2"/>
  <c r="V7" i="2"/>
  <c r="AR166" i="2"/>
  <c r="M13" i="2"/>
  <c r="M7" i="2"/>
  <c r="AP7" i="2"/>
  <c r="AS11" i="2"/>
  <c r="AS15" i="2" s="1"/>
  <c r="AS7" i="2"/>
  <c r="AL7" i="2"/>
  <c r="BI11" i="2"/>
  <c r="BI15" i="2" s="1"/>
  <c r="BI7" i="2"/>
  <c r="AD11" i="2"/>
  <c r="AD15" i="2" s="1"/>
  <c r="AD7" i="2"/>
  <c r="AT7" i="2"/>
  <c r="K13" i="2"/>
  <c r="K7" i="2"/>
  <c r="BA12" i="2"/>
  <c r="BA7" i="2"/>
  <c r="C9" i="27"/>
  <c r="AB169" i="2"/>
  <c r="Z169" i="2"/>
  <c r="AS14" i="21"/>
  <c r="AS7" i="21"/>
  <c r="AM14" i="21"/>
  <c r="AM7" i="21"/>
  <c r="I14" i="21"/>
  <c r="I7" i="21"/>
  <c r="BC14" i="21"/>
  <c r="BC7" i="21"/>
  <c r="AH12" i="21"/>
  <c r="AH7" i="21"/>
  <c r="R7" i="21"/>
  <c r="BD166" i="21"/>
  <c r="BM4" i="21"/>
  <c r="BN7" i="21"/>
  <c r="AE14" i="21"/>
  <c r="AE7" i="21"/>
  <c r="AI166" i="21"/>
  <c r="BH166" i="19"/>
  <c r="AW166" i="18"/>
  <c r="BC166" i="23"/>
  <c r="BD166" i="22"/>
  <c r="AW166" i="22"/>
  <c r="AN166" i="23"/>
  <c r="AA166" i="20"/>
  <c r="BH166" i="2"/>
  <c r="AE166" i="19"/>
  <c r="BA166" i="20"/>
  <c r="Y166" i="19"/>
  <c r="BI166" i="20"/>
  <c r="BE166" i="19"/>
  <c r="W166" i="2"/>
  <c r="AE166" i="2"/>
  <c r="T166" i="2"/>
  <c r="BK166" i="2"/>
  <c r="AG166" i="21"/>
  <c r="AK166" i="21"/>
  <c r="BI166" i="23"/>
  <c r="AM166" i="2"/>
  <c r="AX166" i="2"/>
  <c r="Y166" i="22"/>
  <c r="X166" i="22"/>
  <c r="BQ4" i="22"/>
  <c r="BR12" i="2"/>
  <c r="BQ11" i="18"/>
  <c r="BQ15" i="18" s="1"/>
  <c r="BR14" i="19"/>
  <c r="BR12" i="22"/>
  <c r="BQ4" i="20"/>
  <c r="BQ14" i="21"/>
  <c r="BQ12" i="2"/>
  <c r="BR11" i="21"/>
  <c r="BR15" i="21" s="1"/>
  <c r="BR12" i="20"/>
  <c r="BQ12" i="19"/>
  <c r="BR13" i="18"/>
  <c r="X166" i="21"/>
  <c r="W166" i="21"/>
  <c r="AT166" i="20"/>
  <c r="AY166" i="21"/>
  <c r="AV166" i="19"/>
  <c r="AT166" i="18"/>
  <c r="BC166" i="22"/>
  <c r="BE166" i="23"/>
  <c r="AC166" i="23"/>
  <c r="BF166" i="19"/>
  <c r="U166" i="23"/>
  <c r="U166" i="20"/>
  <c r="AV166" i="22"/>
  <c r="V9" i="28"/>
  <c r="BI166" i="21"/>
  <c r="AD166" i="20"/>
  <c r="AK166" i="18"/>
  <c r="AJ166" i="20"/>
  <c r="AP166" i="22"/>
  <c r="BD166" i="23"/>
  <c r="AB166" i="22"/>
  <c r="BN166" i="20"/>
  <c r="V166" i="20"/>
  <c r="U166" i="19"/>
  <c r="AA166" i="21"/>
  <c r="O166" i="21"/>
  <c r="AI166" i="22"/>
  <c r="BN166" i="18"/>
  <c r="AL166" i="18"/>
  <c r="AV166" i="18"/>
  <c r="X166" i="18"/>
  <c r="U166" i="18"/>
  <c r="BL166" i="18"/>
  <c r="X9" i="28"/>
  <c r="V10" i="28"/>
  <c r="AY166" i="2"/>
  <c r="BF166" i="23"/>
  <c r="AT166" i="19"/>
  <c r="BE166" i="22"/>
  <c r="AA166" i="22"/>
  <c r="BM166" i="19"/>
  <c r="X166" i="2"/>
  <c r="BE166" i="20"/>
  <c r="AE166" i="23"/>
  <c r="BG166" i="18"/>
  <c r="U166" i="2"/>
  <c r="AE166" i="18"/>
  <c r="AV166" i="2"/>
  <c r="AJ166" i="22"/>
  <c r="BA166" i="19"/>
  <c r="AG166" i="23"/>
  <c r="V8" i="28"/>
  <c r="AI166" i="23"/>
  <c r="AD166" i="18"/>
  <c r="T166" i="22"/>
  <c r="BN166" i="2"/>
  <c r="AM166" i="23"/>
  <c r="AV166" i="21"/>
  <c r="BH166" i="22"/>
  <c r="S9" i="28"/>
  <c r="W10" i="28"/>
  <c r="Z166" i="19"/>
  <c r="BK166" i="22"/>
  <c r="BL166" i="19"/>
  <c r="AB166" i="18"/>
  <c r="AY166" i="20"/>
  <c r="AC166" i="22"/>
  <c r="BC166" i="2"/>
  <c r="BD166" i="18"/>
  <c r="Y166" i="21"/>
  <c r="AV166" i="20"/>
  <c r="BH166" i="18"/>
  <c r="AN166" i="22"/>
  <c r="AS166" i="23"/>
  <c r="W8" i="28"/>
  <c r="AB166" i="2"/>
  <c r="Z166" i="23"/>
  <c r="BE166" i="21"/>
  <c r="Z166" i="18"/>
  <c r="U166" i="22"/>
  <c r="BR166" i="23"/>
  <c r="AW166" i="23"/>
  <c r="Z166" i="22"/>
  <c r="O166" i="19"/>
  <c r="AW166" i="20"/>
  <c r="AX166" i="22"/>
  <c r="S8" i="28"/>
  <c r="W166" i="20"/>
  <c r="AN166" i="2"/>
  <c r="BK166" i="21"/>
  <c r="BG166" i="22"/>
  <c r="V166" i="21"/>
  <c r="AX166" i="18"/>
  <c r="AM166" i="22"/>
  <c r="AK166" i="23"/>
  <c r="Y166" i="20"/>
  <c r="BG13" i="2"/>
  <c r="AQ166" i="23"/>
  <c r="BB166" i="20"/>
  <c r="BB166" i="21"/>
  <c r="AF166" i="2"/>
  <c r="AB166" i="23"/>
  <c r="AX166" i="23"/>
  <c r="BF166" i="22"/>
  <c r="BG166" i="19"/>
  <c r="BA166" i="18"/>
  <c r="AR166" i="22"/>
  <c r="AY166" i="19"/>
  <c r="BN166" i="19"/>
  <c r="AN166" i="20"/>
  <c r="O169" i="2"/>
  <c r="BO169" i="23"/>
  <c r="I13" i="21"/>
  <c r="BM169" i="2"/>
  <c r="BM169" i="19"/>
  <c r="AH12" i="20"/>
  <c r="AG12" i="18"/>
  <c r="BI11" i="19"/>
  <c r="BI15" i="19" s="1"/>
  <c r="BI13" i="19"/>
  <c r="F169" i="18"/>
  <c r="F169" i="22"/>
  <c r="F169" i="21"/>
  <c r="AL11" i="20"/>
  <c r="AL15" i="20" s="1"/>
  <c r="AL166" i="20" s="1"/>
  <c r="AD169" i="2"/>
  <c r="F169" i="20"/>
  <c r="BM169" i="20"/>
  <c r="F10" i="23"/>
  <c r="F169" i="23"/>
  <c r="BO169" i="20"/>
  <c r="BO169" i="19"/>
  <c r="I12" i="21"/>
  <c r="BI14" i="19"/>
  <c r="BI12" i="19"/>
  <c r="AJ169" i="22"/>
  <c r="AS169" i="22"/>
  <c r="BM169" i="22"/>
  <c r="I11" i="21"/>
  <c r="I15" i="21" s="1"/>
  <c r="BD4" i="20"/>
  <c r="BF11" i="20"/>
  <c r="BF15" i="20" s="1"/>
  <c r="AJ169" i="19"/>
  <c r="Z169" i="19"/>
  <c r="F171" i="19"/>
  <c r="I152" i="30" s="1"/>
  <c r="BK169" i="18"/>
  <c r="BG169" i="2"/>
  <c r="AH169" i="23"/>
  <c r="AS4" i="21"/>
  <c r="AS13" i="21" s="1"/>
  <c r="AF4" i="18"/>
  <c r="AG14" i="18"/>
  <c r="AG13" i="18"/>
  <c r="M169" i="22"/>
  <c r="BG10" i="20"/>
  <c r="BR9" i="2"/>
  <c r="BD4" i="18"/>
  <c r="BF12" i="18"/>
  <c r="B171" i="23"/>
  <c r="AF13" i="19"/>
  <c r="AF12" i="19"/>
  <c r="BQ169" i="20"/>
  <c r="BQ11" i="22"/>
  <c r="BQ15" i="22" s="1"/>
  <c r="BP11" i="22"/>
  <c r="BP15" i="22" s="1"/>
  <c r="BP166" i="22" s="1"/>
  <c r="AM12" i="21"/>
  <c r="AS169" i="19"/>
  <c r="O169" i="19"/>
  <c r="F171" i="20"/>
  <c r="P152" i="30" s="1"/>
  <c r="Q169" i="23"/>
  <c r="O10" i="23"/>
  <c r="BQ8" i="22"/>
  <c r="BQ13" i="22"/>
  <c r="BQ14" i="22"/>
  <c r="I11" i="23"/>
  <c r="I15" i="23" s="1"/>
  <c r="BQ12" i="22"/>
  <c r="AZ13" i="22"/>
  <c r="Q169" i="22"/>
  <c r="K169" i="21"/>
  <c r="AD169" i="21"/>
  <c r="BI4" i="20"/>
  <c r="AF169" i="19"/>
  <c r="AN14" i="18"/>
  <c r="AN166" i="18" s="1"/>
  <c r="AN13" i="18"/>
  <c r="AL4" i="18"/>
  <c r="AN12" i="18"/>
  <c r="Z169" i="23"/>
  <c r="BA13" i="22"/>
  <c r="S14" i="22"/>
  <c r="S13" i="22"/>
  <c r="O169" i="21"/>
  <c r="AH169" i="21"/>
  <c r="AJ4" i="20"/>
  <c r="AK11" i="20"/>
  <c r="AK15" i="20" s="1"/>
  <c r="AK166" i="20" s="1"/>
  <c r="AK12" i="20"/>
  <c r="BG169" i="20"/>
  <c r="AL13" i="20"/>
  <c r="AK13" i="20"/>
  <c r="Q169" i="20"/>
  <c r="AL12" i="20"/>
  <c r="K169" i="20"/>
  <c r="AZ169" i="20"/>
  <c r="AL169" i="19"/>
  <c r="T12" i="19"/>
  <c r="BK169" i="2"/>
  <c r="BK169" i="19"/>
  <c r="BM169" i="21"/>
  <c r="AL169" i="22"/>
  <c r="I14" i="23"/>
  <c r="AL169" i="21"/>
  <c r="AZ169" i="2"/>
  <c r="BB4" i="18"/>
  <c r="BJ14" i="20"/>
  <c r="BJ166" i="20" s="1"/>
  <c r="AZ11" i="22"/>
  <c r="AZ15" i="22" s="1"/>
  <c r="AZ166" i="22" s="1"/>
  <c r="Z169" i="22"/>
  <c r="AJ169" i="2"/>
  <c r="G4" i="23"/>
  <c r="AJ169" i="23"/>
  <c r="Q10" i="18"/>
  <c r="M169" i="20"/>
  <c r="Q169" i="18"/>
  <c r="I13" i="23"/>
  <c r="AZ12" i="22"/>
  <c r="BI10" i="20"/>
  <c r="AO169" i="2"/>
  <c r="BJ12" i="20"/>
  <c r="AJ169" i="21"/>
  <c r="BJ13" i="20"/>
  <c r="BQ13" i="20"/>
  <c r="BQ11" i="20"/>
  <c r="BQ15" i="20" s="1"/>
  <c r="BQ14" i="20"/>
  <c r="F171" i="21"/>
  <c r="W152" i="30" s="1"/>
  <c r="BR13" i="22"/>
  <c r="BR11" i="22"/>
  <c r="BR15" i="22" s="1"/>
  <c r="BR14" i="22"/>
  <c r="BQ2" i="2"/>
  <c r="BQ169" i="2" s="1"/>
  <c r="BQ12" i="20"/>
  <c r="M169" i="21"/>
  <c r="BG169" i="23"/>
  <c r="AZ169" i="23"/>
  <c r="AJ169" i="18"/>
  <c r="BD169" i="22"/>
  <c r="M169" i="18"/>
  <c r="AL169" i="18"/>
  <c r="O169" i="18"/>
  <c r="AF169" i="21"/>
  <c r="AF169" i="23"/>
  <c r="BR8" i="22"/>
  <c r="BP13" i="22"/>
  <c r="AL4" i="21"/>
  <c r="O169" i="20"/>
  <c r="BI169" i="18"/>
  <c r="AF169" i="20"/>
  <c r="AM13" i="21"/>
  <c r="BB12" i="18"/>
  <c r="AZ169" i="18"/>
  <c r="V169" i="20"/>
  <c r="S169" i="23"/>
  <c r="BD169" i="21"/>
  <c r="BB13" i="18"/>
  <c r="AM11" i="21"/>
  <c r="AM15" i="21" s="1"/>
  <c r="AM166" i="21" s="1"/>
  <c r="BP12" i="22"/>
  <c r="BK169" i="20"/>
  <c r="AF14" i="19"/>
  <c r="V169" i="22"/>
  <c r="G169" i="21"/>
  <c r="AO169" i="20"/>
  <c r="Z4" i="23"/>
  <c r="Z12" i="23" s="1"/>
  <c r="T11" i="19"/>
  <c r="T15" i="19" s="1"/>
  <c r="BI14" i="2"/>
  <c r="AD169" i="23"/>
  <c r="AL169" i="23"/>
  <c r="BQ9" i="22"/>
  <c r="BI169" i="22"/>
  <c r="K169" i="22"/>
  <c r="BC12" i="21"/>
  <c r="BB4" i="21"/>
  <c r="BC11" i="21"/>
  <c r="BC15" i="21" s="1"/>
  <c r="BC166" i="21" s="1"/>
  <c r="BC13" i="21"/>
  <c r="AS169" i="21"/>
  <c r="Z169" i="21"/>
  <c r="S169" i="21"/>
  <c r="AS169" i="20"/>
  <c r="G169" i="20"/>
  <c r="AH169" i="20"/>
  <c r="BB169" i="20"/>
  <c r="BD169" i="19"/>
  <c r="AO169" i="19"/>
  <c r="AF11" i="19"/>
  <c r="AF15" i="19" s="1"/>
  <c r="AF4" i="19"/>
  <c r="BB14" i="18"/>
  <c r="BB166" i="18" s="1"/>
  <c r="AO169" i="18"/>
  <c r="S4" i="2"/>
  <c r="BB169" i="2"/>
  <c r="BD169" i="2"/>
  <c r="BK10" i="2"/>
  <c r="AJ10" i="21"/>
  <c r="BQ8" i="23"/>
  <c r="BG10" i="21"/>
  <c r="S10" i="20"/>
  <c r="BB10" i="22"/>
  <c r="AZ10" i="21"/>
  <c r="K10" i="20"/>
  <c r="BM10" i="20"/>
  <c r="BQ10" i="23"/>
  <c r="AZ10" i="20"/>
  <c r="M10" i="19"/>
  <c r="S169" i="22"/>
  <c r="BG10" i="19"/>
  <c r="AH169" i="19"/>
  <c r="BG9" i="18"/>
  <c r="BG7" i="18" s="1"/>
  <c r="BG9" i="21"/>
  <c r="BG7" i="21" s="1"/>
  <c r="BG9" i="2"/>
  <c r="BG7" i="2" s="1"/>
  <c r="BG9" i="22"/>
  <c r="BG7" i="22" s="1"/>
  <c r="BG9" i="19"/>
  <c r="BG7" i="19" s="1"/>
  <c r="BG9" i="20"/>
  <c r="BG7" i="20" s="1"/>
  <c r="BG9" i="23"/>
  <c r="BG7" i="23" s="1"/>
  <c r="I9" i="2"/>
  <c r="I7" i="2" s="1"/>
  <c r="BL9" i="2"/>
  <c r="BL7" i="2" s="1"/>
  <c r="BP9" i="2"/>
  <c r="BP7" i="2" s="1"/>
  <c r="BK9" i="2"/>
  <c r="BK7" i="2" s="1"/>
  <c r="S10" i="18"/>
  <c r="AL169" i="20"/>
  <c r="AF169" i="22"/>
  <c r="AD4" i="21"/>
  <c r="K169" i="19"/>
  <c r="BO169" i="22"/>
  <c r="BA11" i="22"/>
  <c r="BA15" i="22" s="1"/>
  <c r="G9" i="18"/>
  <c r="BQ9" i="2"/>
  <c r="BA14" i="22"/>
  <c r="AH4" i="18"/>
  <c r="AN9" i="2"/>
  <c r="AN7" i="2" s="1"/>
  <c r="AZ4" i="2"/>
  <c r="AR9" i="2"/>
  <c r="AR7" i="2" s="1"/>
  <c r="G169" i="19"/>
  <c r="BG169" i="21"/>
  <c r="BG12" i="2"/>
  <c r="AZ4" i="22"/>
  <c r="AS169" i="18"/>
  <c r="AD4" i="2"/>
  <c r="BQ2" i="19"/>
  <c r="BQ169" i="19" s="1"/>
  <c r="V169" i="18"/>
  <c r="AW169" i="20"/>
  <c r="BB169" i="22"/>
  <c r="AD13" i="2"/>
  <c r="AW169" i="2"/>
  <c r="BB169" i="18"/>
  <c r="BG169" i="19"/>
  <c r="AO169" i="23"/>
  <c r="K169" i="18"/>
  <c r="AZ169" i="22"/>
  <c r="O169" i="22"/>
  <c r="S4" i="19"/>
  <c r="AE13" i="21"/>
  <c r="M169" i="19"/>
  <c r="AC14" i="2"/>
  <c r="BI13" i="2"/>
  <c r="AW169" i="23"/>
  <c r="Z169" i="18"/>
  <c r="T14" i="19"/>
  <c r="BG169" i="22"/>
  <c r="AE12" i="21"/>
  <c r="BB169" i="21"/>
  <c r="AH169" i="18"/>
  <c r="AH169" i="22"/>
  <c r="V169" i="23"/>
  <c r="AD14" i="2"/>
  <c r="AS14" i="2"/>
  <c r="AS166" i="2" s="1"/>
  <c r="S169" i="2"/>
  <c r="BI169" i="2"/>
  <c r="BD169" i="18"/>
  <c r="V169" i="19"/>
  <c r="BB169" i="19"/>
  <c r="BD169" i="20"/>
  <c r="AZ169" i="21"/>
  <c r="BB169" i="23"/>
  <c r="AF169" i="18"/>
  <c r="G169" i="22"/>
  <c r="O169" i="23"/>
  <c r="V4" i="22"/>
  <c r="V12" i="22" s="1"/>
  <c r="BI12" i="2"/>
  <c r="M169" i="2"/>
  <c r="BA13" i="2"/>
  <c r="AH12" i="18"/>
  <c r="S169" i="20"/>
  <c r="BK169" i="22"/>
  <c r="AW169" i="19"/>
  <c r="AW169" i="18"/>
  <c r="BI169" i="20"/>
  <c r="BM10" i="19"/>
  <c r="AZ169" i="19"/>
  <c r="AG9" i="2"/>
  <c r="AG7" i="2" s="1"/>
  <c r="AF10" i="18"/>
  <c r="Z169" i="20"/>
  <c r="V169" i="21"/>
  <c r="AH169" i="2"/>
  <c r="AD169" i="19"/>
  <c r="BO169" i="21"/>
  <c r="AO169" i="22"/>
  <c r="AD169" i="22"/>
  <c r="G169" i="23"/>
  <c r="K169" i="23"/>
  <c r="AD12" i="2"/>
  <c r="AE11" i="21"/>
  <c r="AE15" i="21" s="1"/>
  <c r="AE166" i="21" s="1"/>
  <c r="J13" i="20"/>
  <c r="AB9" i="2"/>
  <c r="AB7" i="2" s="1"/>
  <c r="BQ8" i="20"/>
  <c r="BA11" i="2"/>
  <c r="BA15" i="2" s="1"/>
  <c r="BA14" i="2"/>
  <c r="X9" i="2"/>
  <c r="X7" i="2" s="1"/>
  <c r="J171" i="2"/>
  <c r="BD169" i="23"/>
  <c r="J171" i="21"/>
  <c r="BG169" i="18"/>
  <c r="AL169" i="2"/>
  <c r="AW169" i="22"/>
  <c r="AD169" i="20"/>
  <c r="F171" i="18"/>
  <c r="F152" i="30" s="1"/>
  <c r="BI169" i="19"/>
  <c r="G169" i="18"/>
  <c r="BK169" i="23"/>
  <c r="J171" i="22"/>
  <c r="AF6" i="23"/>
  <c r="AS169" i="23"/>
  <c r="AS169" i="2"/>
  <c r="Q169" i="21"/>
  <c r="J171" i="20"/>
  <c r="BI169" i="23"/>
  <c r="AD10" i="18"/>
  <c r="J171" i="23"/>
  <c r="AO13" i="20"/>
  <c r="AO12" i="20"/>
  <c r="AO169" i="21"/>
  <c r="V12" i="20"/>
  <c r="V13" i="20"/>
  <c r="AO13" i="18"/>
  <c r="AO12" i="18"/>
  <c r="S169" i="18"/>
  <c r="F6" i="19"/>
  <c r="M11" i="2"/>
  <c r="M15" i="2" s="1"/>
  <c r="Z13" i="22"/>
  <c r="Z12" i="22"/>
  <c r="S169" i="19"/>
  <c r="F6" i="22"/>
  <c r="AF169" i="2"/>
  <c r="AS13" i="20"/>
  <c r="AS12" i="20"/>
  <c r="F171" i="2"/>
  <c r="AO13" i="19"/>
  <c r="AO12" i="19"/>
  <c r="Z13" i="18"/>
  <c r="Z12" i="18"/>
  <c r="J12" i="20"/>
  <c r="M4" i="18"/>
  <c r="Q169" i="19"/>
  <c r="G169" i="2"/>
  <c r="F6" i="2"/>
  <c r="J171" i="18"/>
  <c r="AO13" i="23"/>
  <c r="AO12" i="23"/>
  <c r="Q169" i="2"/>
  <c r="BQ169" i="21"/>
  <c r="F6" i="20"/>
  <c r="J171" i="19"/>
  <c r="AJ169" i="20"/>
  <c r="M14" i="2"/>
  <c r="V169" i="2"/>
  <c r="F6" i="23"/>
  <c r="AS13" i="19"/>
  <c r="AS12" i="19"/>
  <c r="AF10" i="21"/>
  <c r="AW169" i="21"/>
  <c r="V12" i="19"/>
  <c r="V13" i="19"/>
  <c r="J11" i="20"/>
  <c r="J15" i="20" s="1"/>
  <c r="V12" i="21"/>
  <c r="V13" i="21"/>
  <c r="F171" i="22"/>
  <c r="AD152" i="30" s="1"/>
  <c r="BO169" i="2"/>
  <c r="BM169" i="23"/>
  <c r="M12" i="2"/>
  <c r="BK169" i="21"/>
  <c r="F6" i="18"/>
  <c r="AD169" i="18"/>
  <c r="BQ169" i="18"/>
  <c r="AL10" i="18"/>
  <c r="F6" i="21"/>
  <c r="BI169" i="21"/>
  <c r="M4" i="2"/>
  <c r="Z12" i="19"/>
  <c r="Z13" i="19"/>
  <c r="K169" i="2"/>
  <c r="M169" i="23"/>
  <c r="Z13" i="20"/>
  <c r="Z12" i="20"/>
  <c r="BG4" i="2"/>
  <c r="BR11" i="19"/>
  <c r="BR15" i="19" s="1"/>
  <c r="BR13" i="19"/>
  <c r="BR11" i="2"/>
  <c r="BR15" i="2" s="1"/>
  <c r="BR14" i="2"/>
  <c r="BR12" i="19"/>
  <c r="BP8" i="23"/>
  <c r="K10" i="23"/>
  <c r="AH14" i="20"/>
  <c r="AH13" i="20"/>
  <c r="AH11" i="20"/>
  <c r="BF14" i="20"/>
  <c r="BF12" i="20"/>
  <c r="Q14" i="19"/>
  <c r="Q13" i="19"/>
  <c r="BK14" i="19"/>
  <c r="BF11" i="18"/>
  <c r="BF15" i="18" s="1"/>
  <c r="BF14" i="18"/>
  <c r="BR13" i="2"/>
  <c r="AO10" i="18"/>
  <c r="AH11" i="18"/>
  <c r="AH15" i="18" s="1"/>
  <c r="AH166" i="18" s="1"/>
  <c r="AH13" i="18"/>
  <c r="S11" i="2"/>
  <c r="S10" i="2" s="1"/>
  <c r="AK13" i="2"/>
  <c r="S13" i="2"/>
  <c r="AH4" i="2"/>
  <c r="S12" i="2"/>
  <c r="AK12" i="2"/>
  <c r="AJ4" i="2"/>
  <c r="AK14" i="2"/>
  <c r="AK166" i="2" s="1"/>
  <c r="BR14" i="18"/>
  <c r="BR12" i="18"/>
  <c r="BR11" i="18"/>
  <c r="BR15" i="18" s="1"/>
  <c r="AI14" i="2"/>
  <c r="AO10" i="23"/>
  <c r="BO10" i="23"/>
  <c r="BM15" i="23"/>
  <c r="BM166" i="23" s="1"/>
  <c r="BM10" i="23"/>
  <c r="BG10" i="18"/>
  <c r="BR11" i="20"/>
  <c r="BR15" i="20" s="1"/>
  <c r="BR13" i="20"/>
  <c r="BR14" i="20"/>
  <c r="S4" i="22"/>
  <c r="AH10" i="19"/>
  <c r="BG15" i="20"/>
  <c r="BG166" i="20" s="1"/>
  <c r="BM15" i="2"/>
  <c r="BM166" i="2" s="1"/>
  <c r="BM10" i="2"/>
  <c r="BQ4" i="21"/>
  <c r="BC12" i="18"/>
  <c r="BK10" i="21"/>
  <c r="K15" i="23"/>
  <c r="K10" i="22"/>
  <c r="BM15" i="18"/>
  <c r="BM166" i="18" s="1"/>
  <c r="BM10" i="18"/>
  <c r="BA15" i="21"/>
  <c r="BA166" i="21" s="1"/>
  <c r="AW10" i="23"/>
  <c r="S11" i="22"/>
  <c r="S15" i="22" s="1"/>
  <c r="AA14" i="23"/>
  <c r="BI10" i="22"/>
  <c r="BR9" i="23"/>
  <c r="BR7" i="23" s="1"/>
  <c r="BQ9" i="23"/>
  <c r="BP9" i="23"/>
  <c r="V10" i="20"/>
  <c r="AH10" i="23"/>
  <c r="AF10" i="23"/>
  <c r="BG10" i="22"/>
  <c r="M15" i="22"/>
  <c r="M10" i="22"/>
  <c r="AQ14" i="22"/>
  <c r="AQ11" i="22"/>
  <c r="AQ15" i="22" s="1"/>
  <c r="BO14" i="22"/>
  <c r="BO4" i="22"/>
  <c r="BO13" i="22"/>
  <c r="BO12" i="22"/>
  <c r="AO4" i="22"/>
  <c r="BJ15" i="21"/>
  <c r="BJ166" i="21" s="1"/>
  <c r="BI10" i="21"/>
  <c r="BR9" i="19"/>
  <c r="BQ9" i="19"/>
  <c r="AG15" i="20"/>
  <c r="AG166" i="20" s="1"/>
  <c r="AF10" i="20"/>
  <c r="N11" i="18"/>
  <c r="N15" i="18" s="1"/>
  <c r="N12" i="18"/>
  <c r="N14" i="18"/>
  <c r="AM15" i="18"/>
  <c r="AM166" i="18" s="1"/>
  <c r="K15" i="18"/>
  <c r="K10" i="18"/>
  <c r="K4" i="2"/>
  <c r="K11" i="2"/>
  <c r="K10" i="2" s="1"/>
  <c r="K14" i="2"/>
  <c r="BQ13" i="18"/>
  <c r="BQ13" i="21"/>
  <c r="BQ12" i="21"/>
  <c r="BQ11" i="21"/>
  <c r="BQ15" i="21" s="1"/>
  <c r="BR9" i="22"/>
  <c r="H8" i="21"/>
  <c r="BQ9" i="21"/>
  <c r="BQ9" i="18"/>
  <c r="BD10" i="22"/>
  <c r="BO10" i="19"/>
  <c r="BO15" i="19"/>
  <c r="BO166" i="19" s="1"/>
  <c r="F10" i="22"/>
  <c r="F15" i="22"/>
  <c r="F10" i="20"/>
  <c r="F15" i="20"/>
  <c r="BO15" i="18"/>
  <c r="BO166" i="18" s="1"/>
  <c r="BO10" i="18"/>
  <c r="F15" i="21"/>
  <c r="F10" i="21"/>
  <c r="BO15" i="2"/>
  <c r="BO166" i="2" s="1"/>
  <c r="BO10" i="2"/>
  <c r="Z10" i="22"/>
  <c r="F15" i="19"/>
  <c r="F10" i="19"/>
  <c r="BO10" i="20"/>
  <c r="BO15" i="20"/>
  <c r="BO166" i="20" s="1"/>
  <c r="F10" i="18"/>
  <c r="F15" i="18"/>
  <c r="BD10" i="23"/>
  <c r="F15" i="2"/>
  <c r="F10" i="2"/>
  <c r="V14" i="23"/>
  <c r="V4" i="23"/>
  <c r="BA15" i="23"/>
  <c r="BA166" i="23" s="1"/>
  <c r="AZ10" i="23"/>
  <c r="AU11" i="22"/>
  <c r="AU15" i="22" s="1"/>
  <c r="W11" i="22"/>
  <c r="W15" i="22" s="1"/>
  <c r="W166" i="22" s="1"/>
  <c r="G8" i="22"/>
  <c r="G7" i="22" s="1"/>
  <c r="BQ8" i="21"/>
  <c r="O14" i="22"/>
  <c r="O13" i="22"/>
  <c r="O4" i="22"/>
  <c r="O12" i="22"/>
  <c r="O11" i="22"/>
  <c r="AU14" i="22"/>
  <c r="AS4" i="22"/>
  <c r="AE12" i="22"/>
  <c r="AE14" i="22"/>
  <c r="AE13" i="22"/>
  <c r="AD4" i="22"/>
  <c r="AE11" i="22"/>
  <c r="AF14" i="22"/>
  <c r="AF13" i="22"/>
  <c r="AF11" i="22"/>
  <c r="AF15" i="22" s="1"/>
  <c r="AF12" i="22"/>
  <c r="G14" i="22"/>
  <c r="G12" i="22"/>
  <c r="G13" i="22"/>
  <c r="G11" i="22"/>
  <c r="G15" i="22" s="1"/>
  <c r="O10" i="21"/>
  <c r="P15" i="21"/>
  <c r="BQ9" i="20"/>
  <c r="H9" i="21"/>
  <c r="M10" i="21"/>
  <c r="M15" i="21"/>
  <c r="BQ12" i="18"/>
  <c r="G4" i="19"/>
  <c r="V10" i="19"/>
  <c r="BC11" i="19"/>
  <c r="BC13" i="19"/>
  <c r="BB4" i="19"/>
  <c r="BC12" i="19"/>
  <c r="BC14" i="19"/>
  <c r="I14" i="19"/>
  <c r="AZ10" i="19"/>
  <c r="AZ15" i="19"/>
  <c r="AZ166" i="19" s="1"/>
  <c r="Q11" i="19"/>
  <c r="Q12" i="19"/>
  <c r="BK11" i="19"/>
  <c r="BK13" i="19"/>
  <c r="BK12" i="19"/>
  <c r="BQ8" i="18"/>
  <c r="H8" i="19"/>
  <c r="I11" i="19"/>
  <c r="I12" i="19"/>
  <c r="BQ14" i="18"/>
  <c r="AM12" i="19"/>
  <c r="AM14" i="19"/>
  <c r="AM13" i="19"/>
  <c r="AM11" i="19"/>
  <c r="AM15" i="19" s="1"/>
  <c r="BQ4" i="18"/>
  <c r="BB6" i="19"/>
  <c r="Z10" i="19"/>
  <c r="H9" i="19"/>
  <c r="AD15" i="19"/>
  <c r="AD166" i="19" s="1"/>
  <c r="AD10" i="19"/>
  <c r="V11" i="18"/>
  <c r="V15" i="18" s="1"/>
  <c r="V14" i="18"/>
  <c r="AI15" i="18"/>
  <c r="AI166" i="18" s="1"/>
  <c r="BG11" i="2"/>
  <c r="BG14" i="2"/>
  <c r="BQ11" i="19"/>
  <c r="BQ15" i="19" s="1"/>
  <c r="Q10" i="20"/>
  <c r="AW10" i="20"/>
  <c r="BQ2" i="22"/>
  <c r="BQ169" i="22" s="1"/>
  <c r="BQ14" i="19"/>
  <c r="BQ13" i="19"/>
  <c r="BQ4" i="19"/>
  <c r="BQ13" i="2"/>
  <c r="BQ14" i="2"/>
  <c r="BQ4" i="2"/>
  <c r="G15" i="23"/>
  <c r="BJ14" i="23"/>
  <c r="BJ13" i="23"/>
  <c r="BJ12" i="23"/>
  <c r="BJ11" i="23"/>
  <c r="N14" i="23"/>
  <c r="N12" i="23"/>
  <c r="M4" i="23"/>
  <c r="N13" i="23"/>
  <c r="N11" i="23"/>
  <c r="AT14" i="23"/>
  <c r="AS4" i="23"/>
  <c r="AT11" i="23"/>
  <c r="AD13" i="23"/>
  <c r="AD11" i="23"/>
  <c r="AD14" i="23"/>
  <c r="AD12" i="23"/>
  <c r="AJ15" i="23"/>
  <c r="AJ166" i="23" s="1"/>
  <c r="AJ10" i="23"/>
  <c r="V11" i="23"/>
  <c r="BB15" i="23"/>
  <c r="BB166" i="23" s="1"/>
  <c r="BB10" i="23"/>
  <c r="BI4" i="23"/>
  <c r="AL14" i="23"/>
  <c r="AL11" i="23"/>
  <c r="AL12" i="23"/>
  <c r="AL13" i="23"/>
  <c r="BG10" i="23"/>
  <c r="BG15" i="23"/>
  <c r="BG166" i="23" s="1"/>
  <c r="BR12" i="21"/>
  <c r="BK10" i="22"/>
  <c r="BL15" i="22"/>
  <c r="BL166" i="22" s="1"/>
  <c r="BR14" i="21"/>
  <c r="AG13" i="22"/>
  <c r="AG11" i="22"/>
  <c r="AF4" i="22"/>
  <c r="AG12" i="22"/>
  <c r="AG14" i="22"/>
  <c r="BM15" i="22"/>
  <c r="BM166" i="22" s="1"/>
  <c r="BM10" i="22"/>
  <c r="AJ10" i="22"/>
  <c r="BR13" i="21"/>
  <c r="I14" i="22"/>
  <c r="I13" i="22"/>
  <c r="I12" i="22"/>
  <c r="G4" i="22"/>
  <c r="I11" i="22"/>
  <c r="Q4" i="22"/>
  <c r="Q13" i="22"/>
  <c r="Q11" i="22"/>
  <c r="Q12" i="22"/>
  <c r="Q14" i="22"/>
  <c r="AX14" i="21"/>
  <c r="AX13" i="21"/>
  <c r="AX11" i="21"/>
  <c r="AX12" i="21"/>
  <c r="AP14" i="21"/>
  <c r="AO4" i="21"/>
  <c r="AP11" i="21"/>
  <c r="AH4" i="21"/>
  <c r="AH14" i="21"/>
  <c r="AH13" i="21"/>
  <c r="AH11" i="21"/>
  <c r="AL15" i="21"/>
  <c r="AL166" i="21" s="1"/>
  <c r="K15" i="21"/>
  <c r="K10" i="21"/>
  <c r="Z11" i="21"/>
  <c r="Z14" i="21"/>
  <c r="Z4" i="21"/>
  <c r="V10" i="21"/>
  <c r="R12" i="21"/>
  <c r="Q4" i="21"/>
  <c r="R11" i="21"/>
  <c r="R14" i="21"/>
  <c r="R13" i="21"/>
  <c r="AS15" i="21"/>
  <c r="AS166" i="21" s="1"/>
  <c r="AS10" i="21"/>
  <c r="AW4" i="21"/>
  <c r="BF11" i="21"/>
  <c r="BD4" i="21"/>
  <c r="BF14" i="21"/>
  <c r="BF12" i="21"/>
  <c r="BF13" i="21"/>
  <c r="AD15" i="21"/>
  <c r="AD166" i="21" s="1"/>
  <c r="S10" i="21"/>
  <c r="S15" i="21"/>
  <c r="S166" i="21" s="1"/>
  <c r="BM15" i="21"/>
  <c r="BM166" i="21" s="1"/>
  <c r="BN13" i="21"/>
  <c r="BN12" i="21"/>
  <c r="BN11" i="21"/>
  <c r="BN15" i="21" s="1"/>
  <c r="BN14" i="21"/>
  <c r="J13" i="21"/>
  <c r="G4" i="21"/>
  <c r="J14" i="21"/>
  <c r="J11" i="21"/>
  <c r="J12" i="21"/>
  <c r="BQ8" i="19"/>
  <c r="G8" i="20"/>
  <c r="G7" i="20" s="1"/>
  <c r="BC13" i="20"/>
  <c r="BB4" i="20"/>
  <c r="BC14" i="20"/>
  <c r="BC11" i="20"/>
  <c r="BC12" i="20"/>
  <c r="O15" i="20"/>
  <c r="O166" i="20" s="1"/>
  <c r="O10" i="20"/>
  <c r="AS10" i="20"/>
  <c r="AD10" i="20"/>
  <c r="AE15" i="20"/>
  <c r="AE166" i="20" s="1"/>
  <c r="AM11" i="20"/>
  <c r="AM15" i="20" s="1"/>
  <c r="AM166" i="20" s="1"/>
  <c r="BK4" i="20"/>
  <c r="BK13" i="20"/>
  <c r="BK12" i="20"/>
  <c r="BK11" i="20"/>
  <c r="BK14" i="20"/>
  <c r="Z10" i="20"/>
  <c r="AM13" i="20"/>
  <c r="AM12" i="20"/>
  <c r="AL4" i="20"/>
  <c r="G4" i="20"/>
  <c r="G12" i="20"/>
  <c r="G13" i="20"/>
  <c r="G11" i="20"/>
  <c r="G14" i="20"/>
  <c r="BR8" i="18"/>
  <c r="I8" i="19"/>
  <c r="AN14" i="19"/>
  <c r="AN13" i="19"/>
  <c r="AN12" i="19"/>
  <c r="AN11" i="19"/>
  <c r="AL4" i="19"/>
  <c r="BD11" i="19"/>
  <c r="BD14" i="19"/>
  <c r="BD13" i="19"/>
  <c r="BD12" i="19"/>
  <c r="BD4" i="19"/>
  <c r="K15" i="19"/>
  <c r="K10" i="19"/>
  <c r="AG14" i="19"/>
  <c r="AG13" i="19"/>
  <c r="AG11" i="19"/>
  <c r="AG15" i="19" s="1"/>
  <c r="P14" i="19"/>
  <c r="P13" i="19"/>
  <c r="P12" i="19"/>
  <c r="P11" i="19"/>
  <c r="O4" i="19"/>
  <c r="AW14" i="19"/>
  <c r="AW13" i="19"/>
  <c r="AW4" i="19"/>
  <c r="AW11" i="19"/>
  <c r="AW12" i="19"/>
  <c r="I9" i="19"/>
  <c r="BR9" i="18"/>
  <c r="BQ8" i="2"/>
  <c r="G8" i="18"/>
  <c r="O13" i="18"/>
  <c r="O14" i="18"/>
  <c r="O11" i="18"/>
  <c r="O4" i="18"/>
  <c r="O12" i="18"/>
  <c r="AU14" i="18"/>
  <c r="AU11" i="18"/>
  <c r="AS4" i="18"/>
  <c r="BC13" i="18"/>
  <c r="BC11" i="18"/>
  <c r="BC14" i="18"/>
  <c r="BK4" i="18"/>
  <c r="BK11" i="18"/>
  <c r="BK13" i="18"/>
  <c r="BK12" i="18"/>
  <c r="BQ11" i="2"/>
  <c r="BQ15" i="2" s="1"/>
  <c r="Z10" i="18"/>
  <c r="V4" i="18"/>
  <c r="W11" i="18"/>
  <c r="W14" i="18"/>
  <c r="K12" i="2"/>
  <c r="AI13" i="2"/>
  <c r="AH13" i="2"/>
  <c r="AH14" i="2"/>
  <c r="AH12" i="2"/>
  <c r="AH11" i="2"/>
  <c r="AH15" i="2" s="1"/>
  <c r="AA11" i="2"/>
  <c r="AA15" i="2" s="1"/>
  <c r="AA166" i="2" s="1"/>
  <c r="AP11" i="2"/>
  <c r="AP15" i="2" s="1"/>
  <c r="AP14" i="2"/>
  <c r="AO4" i="2"/>
  <c r="AI12" i="2"/>
  <c r="AD10" i="2"/>
  <c r="BK15" i="23"/>
  <c r="BK166" i="23" s="1"/>
  <c r="BK10" i="23"/>
  <c r="S15" i="23"/>
  <c r="S166" i="23" s="1"/>
  <c r="S10" i="23"/>
  <c r="AA15" i="23"/>
  <c r="Z10" i="23"/>
  <c r="Q10" i="23"/>
  <c r="R15" i="23"/>
  <c r="AY15" i="22"/>
  <c r="AY166" i="22" s="1"/>
  <c r="AW10" i="22"/>
  <c r="AL15" i="22"/>
  <c r="AL166" i="22" s="1"/>
  <c r="AL10" i="22"/>
  <c r="AO15" i="22"/>
  <c r="AO166" i="22" s="1"/>
  <c r="J9" i="22"/>
  <c r="BR9" i="21"/>
  <c r="AH10" i="22"/>
  <c r="AH15" i="22"/>
  <c r="AH166" i="22" s="1"/>
  <c r="J8" i="22"/>
  <c r="BR8" i="21"/>
  <c r="BR8" i="20"/>
  <c r="J8" i="21"/>
  <c r="BR9" i="20"/>
  <c r="J9" i="21"/>
  <c r="BO10" i="21"/>
  <c r="BP15" i="21"/>
  <c r="BP166" i="21" s="1"/>
  <c r="M15" i="20"/>
  <c r="M10" i="20"/>
  <c r="AO10" i="20"/>
  <c r="AR15" i="20"/>
  <c r="AR166" i="20" s="1"/>
  <c r="I8" i="20"/>
  <c r="I7" i="20" s="1"/>
  <c r="BR8" i="19"/>
  <c r="AJ10" i="19"/>
  <c r="AK15" i="19"/>
  <c r="AK166" i="19" s="1"/>
  <c r="AO15" i="19"/>
  <c r="AO166" i="19" s="1"/>
  <c r="AO10" i="19"/>
  <c r="AS15" i="19"/>
  <c r="AS166" i="19" s="1"/>
  <c r="AS10" i="19"/>
  <c r="G10" i="18"/>
  <c r="G15" i="18"/>
  <c r="I9" i="18"/>
  <c r="AJ15" i="18"/>
  <c r="AJ166" i="18" s="1"/>
  <c r="AJ10" i="18"/>
  <c r="AZ15" i="18"/>
  <c r="AZ166" i="18" s="1"/>
  <c r="AZ10" i="18"/>
  <c r="BR8" i="2"/>
  <c r="I8" i="18"/>
  <c r="BI10" i="18"/>
  <c r="BI15" i="18"/>
  <c r="BI166" i="18" s="1"/>
  <c r="AY15" i="18"/>
  <c r="AY166" i="18" s="1"/>
  <c r="AW10" i="18"/>
  <c r="AT14" i="2"/>
  <c r="AT11" i="2"/>
  <c r="BD15" i="2"/>
  <c r="BD166" i="2" s="1"/>
  <c r="AJ10" i="2"/>
  <c r="AJ15" i="2"/>
  <c r="AJ166" i="2" s="1"/>
  <c r="AW12" i="2"/>
  <c r="AW4" i="2"/>
  <c r="AW11" i="2"/>
  <c r="AW13" i="2"/>
  <c r="AW14" i="2"/>
  <c r="AO15" i="2"/>
  <c r="AO166" i="2" s="1"/>
  <c r="V14" i="2"/>
  <c r="V4" i="2"/>
  <c r="V11" i="2"/>
  <c r="AG15" i="2"/>
  <c r="AG166" i="2" s="1"/>
  <c r="AF10" i="2"/>
  <c r="G10" i="2"/>
  <c r="O15" i="2"/>
  <c r="O166" i="2" s="1"/>
  <c r="O10" i="2"/>
  <c r="Z4" i="2"/>
  <c r="Z14" i="2"/>
  <c r="Z11" i="2"/>
  <c r="BF12" i="2"/>
  <c r="BF13" i="2"/>
  <c r="BF11" i="2"/>
  <c r="BF15" i="2" s="1"/>
  <c r="BF14" i="2"/>
  <c r="AS4" i="2"/>
  <c r="BB4" i="2"/>
  <c r="BB12" i="2"/>
  <c r="BB11" i="2"/>
  <c r="BB14" i="2"/>
  <c r="BB13" i="2"/>
  <c r="AL11" i="2"/>
  <c r="AL14" i="2"/>
  <c r="AL12" i="2"/>
  <c r="AL4" i="2"/>
  <c r="AL13" i="2"/>
  <c r="Q15" i="2"/>
  <c r="Q10" i="2"/>
  <c r="AI15" i="2"/>
  <c r="BJ11" i="2"/>
  <c r="BJ14" i="2"/>
  <c r="BJ12" i="2"/>
  <c r="BI4" i="2"/>
  <c r="BJ13" i="2"/>
  <c r="BF166" i="20" l="1"/>
  <c r="BI10" i="19"/>
  <c r="T166" i="19"/>
  <c r="AG166" i="18"/>
  <c r="AC166" i="2"/>
  <c r="BO6" i="19"/>
  <c r="H7" i="19"/>
  <c r="I7" i="19"/>
  <c r="O6" i="2"/>
  <c r="J7" i="22"/>
  <c r="BQ7" i="23"/>
  <c r="BQ6" i="23" s="1"/>
  <c r="G7" i="18"/>
  <c r="BP7" i="23"/>
  <c r="J7" i="21"/>
  <c r="I7" i="18"/>
  <c r="AD166" i="2"/>
  <c r="AH166" i="2"/>
  <c r="BI166" i="2"/>
  <c r="BF166" i="2"/>
  <c r="C3" i="27"/>
  <c r="A152" i="30"/>
  <c r="C5" i="27"/>
  <c r="BQ166" i="21"/>
  <c r="H7" i="21"/>
  <c r="BQ7" i="2"/>
  <c r="BQ7" i="19"/>
  <c r="BQ6" i="19" s="1"/>
  <c r="BR166" i="19"/>
  <c r="BR166" i="21"/>
  <c r="BQ10" i="18"/>
  <c r="BR7" i="2"/>
  <c r="AI166" i="2"/>
  <c r="AU166" i="22"/>
  <c r="AA166" i="23"/>
  <c r="AP166" i="2"/>
  <c r="AQ166" i="22"/>
  <c r="BA166" i="2"/>
  <c r="Y10" i="28"/>
  <c r="AB10" i="28" s="1"/>
  <c r="AC10" i="28" s="1"/>
  <c r="BR7" i="19"/>
  <c r="BQ7" i="21"/>
  <c r="BQ6" i="21" s="1"/>
  <c r="BR7" i="18"/>
  <c r="BQ7" i="22"/>
  <c r="BQ6" i="22" s="1"/>
  <c r="BR7" i="22"/>
  <c r="BQ7" i="18"/>
  <c r="BQ6" i="18" s="1"/>
  <c r="BR7" i="21"/>
  <c r="BR7" i="20"/>
  <c r="BQ7" i="20"/>
  <c r="BQ6" i="20" s="1"/>
  <c r="B171" i="18"/>
  <c r="Y9" i="28"/>
  <c r="AB9" i="28" s="1"/>
  <c r="AC9" i="28" s="1"/>
  <c r="AG166" i="19"/>
  <c r="BA166" i="22"/>
  <c r="BI166" i="19"/>
  <c r="BF166" i="18"/>
  <c r="AM166" i="19"/>
  <c r="AF166" i="22"/>
  <c r="BQ166" i="22"/>
  <c r="S166" i="22"/>
  <c r="AF166" i="19"/>
  <c r="Y8" i="28"/>
  <c r="AB8" i="28" s="1"/>
  <c r="BN166" i="21"/>
  <c r="BG6" i="2"/>
  <c r="BQ166" i="2"/>
  <c r="V166" i="18"/>
  <c r="BO166" i="22"/>
  <c r="BQ166" i="18"/>
  <c r="BR166" i="22"/>
  <c r="BQ166" i="20"/>
  <c r="BR166" i="18"/>
  <c r="BQ166" i="19"/>
  <c r="BR166" i="20"/>
  <c r="BR166" i="2"/>
  <c r="AH6" i="20"/>
  <c r="AD6" i="2"/>
  <c r="K6" i="20"/>
  <c r="AH6" i="18"/>
  <c r="BM6" i="20"/>
  <c r="S6" i="20"/>
  <c r="AD6" i="21"/>
  <c r="BO6" i="18"/>
  <c r="BM6" i="2"/>
  <c r="BB6" i="2"/>
  <c r="K6" i="23"/>
  <c r="AF6" i="18"/>
  <c r="BI6" i="20"/>
  <c r="A171" i="18"/>
  <c r="A171" i="19"/>
  <c r="B171" i="20"/>
  <c r="B171" i="19"/>
  <c r="A171" i="20"/>
  <c r="AF6" i="2"/>
  <c r="AD6" i="23"/>
  <c r="BM6" i="23"/>
  <c r="O6" i="23"/>
  <c r="AZ6" i="21"/>
  <c r="AJ6" i="23"/>
  <c r="BB6" i="23"/>
  <c r="AD6" i="22"/>
  <c r="K6" i="21"/>
  <c r="BO6" i="21"/>
  <c r="BD10" i="20"/>
  <c r="AJ6" i="19"/>
  <c r="AS12" i="21"/>
  <c r="O6" i="20"/>
  <c r="K6" i="18"/>
  <c r="AZ6" i="18"/>
  <c r="BO10" i="22"/>
  <c r="AZ6" i="22"/>
  <c r="O6" i="18"/>
  <c r="BQ10" i="22"/>
  <c r="BO6" i="22"/>
  <c r="AJ6" i="21"/>
  <c r="M6" i="19"/>
  <c r="S6" i="18"/>
  <c r="G10" i="23"/>
  <c r="A171" i="23"/>
  <c r="AO6" i="21"/>
  <c r="S6" i="21"/>
  <c r="AW6" i="18"/>
  <c r="A171" i="21"/>
  <c r="B171" i="22"/>
  <c r="B171" i="21"/>
  <c r="A171" i="22"/>
  <c r="A171" i="2"/>
  <c r="B171" i="2"/>
  <c r="BG6" i="19"/>
  <c r="Q6" i="21"/>
  <c r="AL6" i="20"/>
  <c r="AJ10" i="20"/>
  <c r="BG6" i="23"/>
  <c r="BD6" i="23"/>
  <c r="AL10" i="21"/>
  <c r="S10" i="22"/>
  <c r="V13" i="22"/>
  <c r="Z6" i="19"/>
  <c r="BB10" i="21"/>
  <c r="BG6" i="18"/>
  <c r="AS6" i="19"/>
  <c r="G6" i="23"/>
  <c r="M6" i="20"/>
  <c r="AH6" i="22"/>
  <c r="BQ10" i="20"/>
  <c r="Z13" i="23"/>
  <c r="BB6" i="21"/>
  <c r="S10" i="19"/>
  <c r="R171" i="23"/>
  <c r="BG6" i="20"/>
  <c r="AH6" i="23"/>
  <c r="O6" i="22"/>
  <c r="BI6" i="22"/>
  <c r="BG6" i="22"/>
  <c r="BI6" i="21"/>
  <c r="M6" i="2"/>
  <c r="S15" i="2"/>
  <c r="S166" i="2" s="1"/>
  <c r="AZ6" i="20"/>
  <c r="K6" i="19"/>
  <c r="O6" i="21"/>
  <c r="BG6" i="21"/>
  <c r="Q6" i="23"/>
  <c r="AL6" i="21"/>
  <c r="AF6" i="21"/>
  <c r="BD6" i="18"/>
  <c r="BM6" i="19"/>
  <c r="BD6" i="2"/>
  <c r="Z6" i="21"/>
  <c r="BD10" i="18"/>
  <c r="M10" i="18"/>
  <c r="AH10" i="18"/>
  <c r="Q6" i="19"/>
  <c r="AS6" i="22"/>
  <c r="AF6" i="20"/>
  <c r="AO6" i="18"/>
  <c r="AJ6" i="18"/>
  <c r="BI6" i="18"/>
  <c r="AS6" i="20"/>
  <c r="AZ6" i="23"/>
  <c r="AS6" i="21"/>
  <c r="S6" i="22"/>
  <c r="AD6" i="20"/>
  <c r="M6" i="22"/>
  <c r="V6" i="23"/>
  <c r="AD6" i="18"/>
  <c r="AW6" i="23"/>
  <c r="BK6" i="20"/>
  <c r="Q6" i="18"/>
  <c r="AJ6" i="22"/>
  <c r="AO6" i="22"/>
  <c r="S6" i="19"/>
  <c r="AD6" i="19"/>
  <c r="AS6" i="2"/>
  <c r="BK6" i="21"/>
  <c r="Z6" i="20"/>
  <c r="Z6" i="22"/>
  <c r="Q6" i="20"/>
  <c r="AO6" i="23"/>
  <c r="BM6" i="22"/>
  <c r="AL6" i="22"/>
  <c r="AO6" i="19"/>
  <c r="Z6" i="18"/>
  <c r="BK6" i="2"/>
  <c r="AL6" i="2"/>
  <c r="AZ10" i="2"/>
  <c r="V6" i="20"/>
  <c r="V171" i="2"/>
  <c r="BK6" i="19"/>
  <c r="BB6" i="20"/>
  <c r="AH6" i="21"/>
  <c r="AZ6" i="19"/>
  <c r="G6" i="2"/>
  <c r="AW6" i="21"/>
  <c r="BB6" i="22"/>
  <c r="BD6" i="21"/>
  <c r="AD10" i="21"/>
  <c r="K6" i="2"/>
  <c r="BM6" i="21"/>
  <c r="AZ10" i="22"/>
  <c r="M6" i="18"/>
  <c r="BO6" i="2"/>
  <c r="V171" i="22"/>
  <c r="Z171" i="19"/>
  <c r="V171" i="19"/>
  <c r="Z171" i="20"/>
  <c r="Z171" i="23"/>
  <c r="AL6" i="18"/>
  <c r="Z171" i="21"/>
  <c r="V171" i="21"/>
  <c r="M10" i="2"/>
  <c r="AS6" i="23"/>
  <c r="Z171" i="18"/>
  <c r="R171" i="21"/>
  <c r="V171" i="23"/>
  <c r="V6" i="21"/>
  <c r="R171" i="19"/>
  <c r="AL6" i="19"/>
  <c r="BI6" i="2"/>
  <c r="AS12" i="22"/>
  <c r="AS13" i="22"/>
  <c r="V12" i="23"/>
  <c r="V13" i="23"/>
  <c r="Q6" i="2"/>
  <c r="AO13" i="21"/>
  <c r="AO12" i="21"/>
  <c r="AO13" i="22"/>
  <c r="AO12" i="22"/>
  <c r="R171" i="18"/>
  <c r="Z13" i="21"/>
  <c r="Z12" i="21"/>
  <c r="R171" i="2"/>
  <c r="AS13" i="18"/>
  <c r="AS12" i="18"/>
  <c r="R171" i="20"/>
  <c r="AS12" i="23"/>
  <c r="AS13" i="23"/>
  <c r="BO6" i="23"/>
  <c r="R171" i="22"/>
  <c r="BK6" i="22"/>
  <c r="Z171" i="22"/>
  <c r="V171" i="18"/>
  <c r="Z171" i="2"/>
  <c r="V171" i="20"/>
  <c r="V12" i="18"/>
  <c r="V13" i="18"/>
  <c r="K15" i="2"/>
  <c r="AZ6" i="2"/>
  <c r="V12" i="2"/>
  <c r="V13" i="2"/>
  <c r="AO12" i="2"/>
  <c r="AO13" i="2"/>
  <c r="Z12" i="2"/>
  <c r="Z13" i="2"/>
  <c r="AS12" i="2"/>
  <c r="AS13" i="2"/>
  <c r="V6" i="22"/>
  <c r="AJ6" i="2"/>
  <c r="AO6" i="20"/>
  <c r="BD6" i="20"/>
  <c r="BB6" i="18"/>
  <c r="V10" i="22"/>
  <c r="AH15" i="20"/>
  <c r="AH166" i="20" s="1"/>
  <c r="AH10" i="20"/>
  <c r="AH6" i="19"/>
  <c r="AW6" i="19"/>
  <c r="AO6" i="2"/>
  <c r="Z6" i="2"/>
  <c r="AL6" i="23"/>
  <c r="Z6" i="23"/>
  <c r="V6" i="19"/>
  <c r="BQ10" i="21"/>
  <c r="BI6" i="23"/>
  <c r="AW6" i="20"/>
  <c r="AL10" i="20"/>
  <c r="AO10" i="22"/>
  <c r="AF10" i="19"/>
  <c r="AF6" i="19"/>
  <c r="M6" i="23"/>
  <c r="AW6" i="22"/>
  <c r="O6" i="19"/>
  <c r="BD6" i="22"/>
  <c r="AG171" i="20"/>
  <c r="AC171" i="20"/>
  <c r="BD6" i="19"/>
  <c r="AH10" i="2"/>
  <c r="S6" i="2"/>
  <c r="BQ10" i="19"/>
  <c r="AW6" i="2"/>
  <c r="Q6" i="22"/>
  <c r="V6" i="2"/>
  <c r="AS6" i="18"/>
  <c r="S6" i="23"/>
  <c r="V6" i="18"/>
  <c r="AH6" i="2"/>
  <c r="O10" i="22"/>
  <c r="O15" i="22"/>
  <c r="O166" i="22" s="1"/>
  <c r="AF6" i="22"/>
  <c r="AS10" i="22"/>
  <c r="AE15" i="22"/>
  <c r="AE166" i="22" s="1"/>
  <c r="AD10" i="22"/>
  <c r="BK15" i="19"/>
  <c r="BK166" i="19" s="1"/>
  <c r="BK10" i="19"/>
  <c r="Q15" i="19"/>
  <c r="Q10" i="19"/>
  <c r="BC15" i="19"/>
  <c r="BC166" i="19" s="1"/>
  <c r="BB10" i="19"/>
  <c r="I15" i="19"/>
  <c r="G10" i="19"/>
  <c r="AG171" i="19"/>
  <c r="AC171" i="19"/>
  <c r="BG10" i="2"/>
  <c r="BG15" i="2"/>
  <c r="BG166" i="2" s="1"/>
  <c r="BQ10" i="2"/>
  <c r="AD15" i="23"/>
  <c r="AD166" i="23" s="1"/>
  <c r="AD10" i="23"/>
  <c r="AL15" i="23"/>
  <c r="AL166" i="23" s="1"/>
  <c r="AL10" i="23"/>
  <c r="V15" i="23"/>
  <c r="V166" i="23" s="1"/>
  <c r="V10" i="23"/>
  <c r="AT15" i="23"/>
  <c r="AT166" i="23" s="1"/>
  <c r="AS10" i="23"/>
  <c r="BJ15" i="23"/>
  <c r="BJ166" i="23" s="1"/>
  <c r="BI10" i="23"/>
  <c r="N15" i="23"/>
  <c r="M10" i="23"/>
  <c r="G10" i="22"/>
  <c r="I15" i="22"/>
  <c r="AG15" i="22"/>
  <c r="AG166" i="22" s="1"/>
  <c r="AF10" i="22"/>
  <c r="Q15" i="22"/>
  <c r="Q10" i="22"/>
  <c r="AH10" i="21"/>
  <c r="AH15" i="21"/>
  <c r="AH166" i="21" s="1"/>
  <c r="J15" i="21"/>
  <c r="G10" i="21"/>
  <c r="BM10" i="21"/>
  <c r="Z15" i="21"/>
  <c r="Z166" i="21" s="1"/>
  <c r="Z10" i="21"/>
  <c r="AX15" i="21"/>
  <c r="AX166" i="21" s="1"/>
  <c r="AW10" i="21"/>
  <c r="Q10" i="21"/>
  <c r="R15" i="21"/>
  <c r="BF15" i="21"/>
  <c r="BF166" i="21" s="1"/>
  <c r="BD10" i="21"/>
  <c r="AP15" i="21"/>
  <c r="AP166" i="21" s="1"/>
  <c r="AO10" i="21"/>
  <c r="BC15" i="20"/>
  <c r="BC166" i="20" s="1"/>
  <c r="BB10" i="20"/>
  <c r="G15" i="20"/>
  <c r="G10" i="20"/>
  <c r="BK10" i="20"/>
  <c r="BK15" i="20"/>
  <c r="BK166" i="20" s="1"/>
  <c r="AN15" i="19"/>
  <c r="AN166" i="19" s="1"/>
  <c r="AL10" i="19"/>
  <c r="BD15" i="19"/>
  <c r="BD166" i="19" s="1"/>
  <c r="BD10" i="19"/>
  <c r="P15" i="19"/>
  <c r="O10" i="19"/>
  <c r="AW15" i="19"/>
  <c r="AW166" i="19" s="1"/>
  <c r="AW10" i="19"/>
  <c r="O10" i="18"/>
  <c r="O15" i="18"/>
  <c r="O166" i="18" s="1"/>
  <c r="W15" i="18"/>
  <c r="W166" i="18" s="1"/>
  <c r="V10" i="18"/>
  <c r="BK15" i="18"/>
  <c r="BK166" i="18" s="1"/>
  <c r="BK10" i="18"/>
  <c r="AU15" i="18"/>
  <c r="AU166" i="18" s="1"/>
  <c r="AS10" i="18"/>
  <c r="BC15" i="18"/>
  <c r="BC166" i="18" s="1"/>
  <c r="BB10" i="18"/>
  <c r="BD10" i="2"/>
  <c r="AO10" i="2"/>
  <c r="Z15" i="2"/>
  <c r="Z166" i="2" s="1"/>
  <c r="Z10" i="2"/>
  <c r="AW10" i="2"/>
  <c r="AW15" i="2"/>
  <c r="AW166" i="2" s="1"/>
  <c r="AT15" i="2"/>
  <c r="AT166" i="2" s="1"/>
  <c r="AS10" i="2"/>
  <c r="BB10" i="2"/>
  <c r="BB15" i="2"/>
  <c r="BB166" i="2" s="1"/>
  <c r="AL15" i="2"/>
  <c r="AL166" i="2" s="1"/>
  <c r="AL10" i="2"/>
  <c r="BJ15" i="2"/>
  <c r="BJ166" i="2" s="1"/>
  <c r="BI10" i="2"/>
  <c r="V10" i="2"/>
  <c r="V15" i="2"/>
  <c r="V166" i="2" s="1"/>
  <c r="C7" i="27" l="1"/>
  <c r="AC8" i="28"/>
  <c r="AG171" i="23"/>
  <c r="AG171" i="18"/>
  <c r="BQ6" i="2"/>
  <c r="AC171" i="21"/>
  <c r="AC171" i="18"/>
  <c r="AG171" i="21"/>
  <c r="AC171" i="23"/>
  <c r="N171" i="18"/>
  <c r="N171" i="19"/>
  <c r="AC171" i="22"/>
  <c r="AG171" i="22"/>
  <c r="N171" i="21"/>
  <c r="N171" i="22"/>
  <c r="AG171" i="2"/>
  <c r="N171" i="20"/>
  <c r="N171" i="23"/>
  <c r="N171" i="2"/>
  <c r="AC171" i="2"/>
  <c r="G6" i="19"/>
  <c r="G6" i="22"/>
  <c r="G6" i="21"/>
  <c r="G6" i="20"/>
  <c r="G6" i="18"/>
  <c r="C17" i="27" l="1"/>
  <c r="G17" i="27" l="1"/>
  <c r="C19" i="27"/>
  <c r="C15" i="27" l="1"/>
  <c r="G15" i="27"/>
  <c r="G19" i="27"/>
</calcChain>
</file>

<file path=xl/sharedStrings.xml><?xml version="1.0" encoding="utf-8"?>
<sst xmlns="http://schemas.openxmlformats.org/spreadsheetml/2006/main" count="13604" uniqueCount="333">
  <si>
    <t>Drive</t>
  </si>
  <si>
    <t>5:45</t>
  </si>
  <si>
    <t>6:15</t>
  </si>
  <si>
    <t>6:30</t>
  </si>
  <si>
    <t>6:45</t>
  </si>
  <si>
    <t>7:30</t>
  </si>
  <si>
    <t>8:30</t>
  </si>
  <si>
    <t>9:30</t>
  </si>
  <si>
    <t>10:30</t>
  </si>
  <si>
    <t>11:00</t>
  </si>
  <si>
    <t>11:30</t>
  </si>
  <si>
    <t>11:45</t>
  </si>
  <si>
    <t>12:15</t>
  </si>
  <si>
    <t>12:30</t>
  </si>
  <si>
    <t>12:45</t>
  </si>
  <si>
    <t>13:15</t>
  </si>
  <si>
    <t>13:30</t>
  </si>
  <si>
    <t>13:45</t>
  </si>
  <si>
    <t>14:30</t>
  </si>
  <si>
    <t>15:30</t>
  </si>
  <si>
    <t>16:30</t>
  </si>
  <si>
    <t>17:30</t>
  </si>
  <si>
    <t>18:30</t>
  </si>
  <si>
    <t>18:45</t>
  </si>
  <si>
    <t>19:15</t>
  </si>
  <si>
    <t>19:30</t>
  </si>
  <si>
    <t>19:45</t>
  </si>
  <si>
    <t>20:15</t>
  </si>
  <si>
    <t>20:30</t>
  </si>
  <si>
    <t>20:45</t>
  </si>
  <si>
    <t>21:15</t>
  </si>
  <si>
    <t>21:30</t>
  </si>
  <si>
    <t>22:30</t>
  </si>
  <si>
    <t>23:30</t>
  </si>
  <si>
    <t>MFY</t>
  </si>
  <si>
    <t>VENDITE</t>
  </si>
  <si>
    <t xml:space="preserve">PATATE </t>
  </si>
  <si>
    <t>PAT/BIB</t>
  </si>
  <si>
    <t>CASSA</t>
  </si>
  <si>
    <t>DRIVE</t>
  </si>
  <si>
    <t>CUCINA</t>
  </si>
  <si>
    <t>SALA</t>
  </si>
  <si>
    <t>TOTALE ORE CREW PIANIFICATE</t>
  </si>
  <si>
    <t>GCS'C</t>
  </si>
  <si>
    <t>SALES</t>
  </si>
  <si>
    <t>PATATE</t>
  </si>
  <si>
    <t>Lunedì</t>
  </si>
  <si>
    <t>Martedì</t>
  </si>
  <si>
    <t>Mercoledì</t>
  </si>
  <si>
    <t>Giovedì</t>
  </si>
  <si>
    <t>Venerdì</t>
  </si>
  <si>
    <t>Sabato</t>
  </si>
  <si>
    <t>Domenica</t>
  </si>
  <si>
    <t>Delivery</t>
  </si>
  <si>
    <t>Sales</t>
  </si>
  <si>
    <t>1:30</t>
  </si>
  <si>
    <t>21:00</t>
  </si>
  <si>
    <t>22:00</t>
  </si>
  <si>
    <t>23:00</t>
  </si>
  <si>
    <t>19:00</t>
  </si>
  <si>
    <t>20:00</t>
  </si>
  <si>
    <t>18:00</t>
  </si>
  <si>
    <t>6:00</t>
  </si>
  <si>
    <t>7:00</t>
  </si>
  <si>
    <t>8:00</t>
  </si>
  <si>
    <t>9:00</t>
  </si>
  <si>
    <t>10:00</t>
  </si>
  <si>
    <t>12:00</t>
  </si>
  <si>
    <t>13:00</t>
  </si>
  <si>
    <t>14:00</t>
  </si>
  <si>
    <t>15:00</t>
  </si>
  <si>
    <t>16:00</t>
  </si>
  <si>
    <t>17:00</t>
  </si>
  <si>
    <t>0:15</t>
  </si>
  <si>
    <t>0:00</t>
  </si>
  <si>
    <t>0:30</t>
  </si>
  <si>
    <t>1:00</t>
  </si>
  <si>
    <t>2:00</t>
  </si>
  <si>
    <t>2:30</t>
  </si>
  <si>
    <t>3:00</t>
  </si>
  <si>
    <t>3:30</t>
  </si>
  <si>
    <t>4:00</t>
  </si>
  <si>
    <t>4:30</t>
  </si>
  <si>
    <t>5:00</t>
  </si>
  <si>
    <t>5:30</t>
  </si>
  <si>
    <t>Orario</t>
  </si>
  <si>
    <t>Timespan</t>
  </si>
  <si>
    <t>06:00 - 06:14</t>
  </si>
  <si>
    <t>06:15 - 06:29</t>
  </si>
  <si>
    <t>06:30 - 06:44</t>
  </si>
  <si>
    <t>06:45 - 06:59</t>
  </si>
  <si>
    <t>07:00 - 07:14</t>
  </si>
  <si>
    <t>07:15 - 07:29</t>
  </si>
  <si>
    <t>07:30 - 07:44</t>
  </si>
  <si>
    <t>07:45 - 07:59</t>
  </si>
  <si>
    <t>08:00 - 08:14</t>
  </si>
  <si>
    <t>08:15 - 08:29</t>
  </si>
  <si>
    <t>08:30 - 08:44</t>
  </si>
  <si>
    <t>08:45 - 08:59</t>
  </si>
  <si>
    <t>09:00 - 09:14</t>
  </si>
  <si>
    <t>09:15 - 09:29</t>
  </si>
  <si>
    <t>09:30 - 09:44</t>
  </si>
  <si>
    <t>09:45 - 09:59</t>
  </si>
  <si>
    <t>10:00 - 10:14</t>
  </si>
  <si>
    <t>10:15 - 10:29</t>
  </si>
  <si>
    <t>10:30 - 10:44</t>
  </si>
  <si>
    <t>10:45 - 10:59</t>
  </si>
  <si>
    <t>11:00 - 11:14</t>
  </si>
  <si>
    <t>11:15 - 11:29</t>
  </si>
  <si>
    <t>11:30 - 11:44</t>
  </si>
  <si>
    <t>11:45 - 11:59</t>
  </si>
  <si>
    <t>12:00 - 12:14</t>
  </si>
  <si>
    <t>12:15 - 12:29</t>
  </si>
  <si>
    <t>12:30 - 12:44</t>
  </si>
  <si>
    <t>12:45 - 12:59</t>
  </si>
  <si>
    <t>13:00 - 13:14</t>
  </si>
  <si>
    <t>13:15 - 13:29</t>
  </si>
  <si>
    <t>13:30 - 13:44</t>
  </si>
  <si>
    <t>13:45 - 13:59</t>
  </si>
  <si>
    <t>14:00 - 14:14</t>
  </si>
  <si>
    <t>14:15 - 14:29</t>
  </si>
  <si>
    <t>14:30 - 14:44</t>
  </si>
  <si>
    <t>14:45 - 14:59</t>
  </si>
  <si>
    <t>15:00 - 15:14</t>
  </si>
  <si>
    <t>15:15 - 15:29</t>
  </si>
  <si>
    <t>15:30 - 15:44</t>
  </si>
  <si>
    <t>15:45 - 15:59</t>
  </si>
  <si>
    <t>16:00 - 16:14</t>
  </si>
  <si>
    <t>16:15 - 16:29</t>
  </si>
  <si>
    <t>16:30 - 16:44</t>
  </si>
  <si>
    <t>16:45 - 16:59</t>
  </si>
  <si>
    <t>17:00 - 17:14</t>
  </si>
  <si>
    <t>17:15 - 17:29</t>
  </si>
  <si>
    <t>17:30 - 17:44</t>
  </si>
  <si>
    <t>17:45 - 17:59</t>
  </si>
  <si>
    <t>18:00 - 18:14</t>
  </si>
  <si>
    <t>18:15 - 18:29</t>
  </si>
  <si>
    <t>18:30 - 18:44</t>
  </si>
  <si>
    <t>18:45 - 18:59</t>
  </si>
  <si>
    <t>19:00 - 19:14</t>
  </si>
  <si>
    <t>19:15 - 19:29</t>
  </si>
  <si>
    <t>19:30 - 19:44</t>
  </si>
  <si>
    <t>19:45 - 19:59</t>
  </si>
  <si>
    <t>20:00 - 20:14</t>
  </si>
  <si>
    <t>20:15 - 20:29</t>
  </si>
  <si>
    <t>20:30 - 20:44</t>
  </si>
  <si>
    <t>20:45 - 20:59</t>
  </si>
  <si>
    <t>21:00 - 21:14</t>
  </si>
  <si>
    <t>21:15 - 21:29</t>
  </si>
  <si>
    <t>21:30 - 21:44</t>
  </si>
  <si>
    <t>21:45 - 21:59</t>
  </si>
  <si>
    <t>22:00 - 22:14</t>
  </si>
  <si>
    <t>22:15 - 22:29</t>
  </si>
  <si>
    <t>22:30 - 22:44</t>
  </si>
  <si>
    <t>22:45 - 22:59</t>
  </si>
  <si>
    <t>23:00 - 23:14</t>
  </si>
  <si>
    <t>23:15 - 23:29</t>
  </si>
  <si>
    <t>23:30 - 23:44</t>
  </si>
  <si>
    <t>23:45 - 23:59</t>
  </si>
  <si>
    <t>00:00 - 00:14</t>
  </si>
  <si>
    <t>00:15 - 00:29</t>
  </si>
  <si>
    <t>00:30 - 00:44</t>
  </si>
  <si>
    <t>00:45 - 00:59</t>
  </si>
  <si>
    <t>01:00 - 01:14</t>
  </si>
  <si>
    <t>01:15 - 01:29</t>
  </si>
  <si>
    <t>01:30 - 01:44</t>
  </si>
  <si>
    <t>01:45 - 01:59</t>
  </si>
  <si>
    <t>02:00 - 02:14</t>
  </si>
  <si>
    <t>02:15 - 02:29</t>
  </si>
  <si>
    <t>02:30 - 02:44</t>
  </si>
  <si>
    <t>02:45 - 02:59</t>
  </si>
  <si>
    <t>03:00 - 03:14</t>
  </si>
  <si>
    <t>03:15 - 03:29</t>
  </si>
  <si>
    <t>03:30 - 03:44</t>
  </si>
  <si>
    <t>03:45 - 03:59</t>
  </si>
  <si>
    <t>04:00 - 04:14</t>
  </si>
  <si>
    <t>04:15 - 04:29</t>
  </si>
  <si>
    <t>04:30 - 04:44</t>
  </si>
  <si>
    <t>04:45 - 04:59</t>
  </si>
  <si>
    <t>05:00 - 05:14</t>
  </si>
  <si>
    <t>05:15 - 05:29</t>
  </si>
  <si>
    <t>05:30 - 05:44</t>
  </si>
  <si>
    <t>Fry</t>
  </si>
  <si>
    <t>BIBITE - DESSERT - GRAB&amp;GO</t>
  </si>
  <si>
    <t>Bib-Des-Grab</t>
  </si>
  <si>
    <t>MARTEDÌ</t>
  </si>
  <si>
    <t>LUNEDÌ</t>
  </si>
  <si>
    <t>MERCOLEDÌ</t>
  </si>
  <si>
    <t>GIOVEDÌ</t>
  </si>
  <si>
    <t>VENERDÌ</t>
  </si>
  <si>
    <t>SABATO</t>
  </si>
  <si>
    <t>DOMENICA</t>
  </si>
  <si>
    <t>Dalle</t>
  </si>
  <si>
    <t>Alle</t>
  </si>
  <si>
    <t>IMPRESA1 PRANZO</t>
  </si>
  <si>
    <t>IMPRESA2 CENA</t>
  </si>
  <si>
    <t>IMPRESA3 DELIVERY</t>
  </si>
  <si>
    <t>IMPRESA NOTTE</t>
  </si>
  <si>
    <t>LUN</t>
  </si>
  <si>
    <t>MAR</t>
  </si>
  <si>
    <t>MER</t>
  </si>
  <si>
    <t>GIO</t>
  </si>
  <si>
    <t>VEN</t>
  </si>
  <si>
    <t>SAB</t>
  </si>
  <si>
    <t>DOM</t>
  </si>
  <si>
    <t>TOT</t>
  </si>
  <si>
    <t>ORE LAVORATE PER GIORNO</t>
  </si>
  <si>
    <t>DELTA ORE</t>
  </si>
  <si>
    <t>CONTRATTO</t>
  </si>
  <si>
    <t>CONCORDATO</t>
  </si>
  <si>
    <t>NOME</t>
  </si>
  <si>
    <t>PERMESSI</t>
  </si>
  <si>
    <t>TOTALONE</t>
  </si>
  <si>
    <t>NUMERO</t>
  </si>
  <si>
    <t>NOME SUL LINEARE</t>
  </si>
  <si>
    <t>NOME E COGNOME</t>
  </si>
  <si>
    <t>GIORNO</t>
  </si>
  <si>
    <t>FRONT</t>
  </si>
  <si>
    <t>ALTRO</t>
  </si>
  <si>
    <t>BIBITE</t>
  </si>
  <si>
    <t>RIFORNIME FRONT</t>
  </si>
  <si>
    <t>CHIUSURA FRONT</t>
  </si>
  <si>
    <t>APERTURA FRONT</t>
  </si>
  <si>
    <t>INSALATE</t>
  </si>
  <si>
    <t>PULIZIA LAVASTOVI</t>
  </si>
  <si>
    <t>SCONGELAMENTO PANE</t>
  </si>
  <si>
    <t>RIFORNIMENTI CUCINA</t>
  </si>
  <si>
    <t>CHIUSURA CUCINA</t>
  </si>
  <si>
    <t>APERTURA CUCINA</t>
  </si>
  <si>
    <t>I</t>
  </si>
  <si>
    <t>F</t>
  </si>
  <si>
    <t>N</t>
  </si>
  <si>
    <t>P</t>
  </si>
  <si>
    <t>RIF</t>
  </si>
  <si>
    <t>CH</t>
  </si>
  <si>
    <t>FORMAZIONE</t>
  </si>
  <si>
    <t>NAC</t>
  </si>
  <si>
    <t>ORE MANAGER</t>
  </si>
  <si>
    <t>PRODUTTIVITA' CREW</t>
  </si>
  <si>
    <t>PRODUTTIVITA' MNG</t>
  </si>
  <si>
    <t>WEEK</t>
  </si>
  <si>
    <t>PRODUTTIVITA' TOTALE</t>
  </si>
  <si>
    <t>PRODUTTIVITA EURO</t>
  </si>
  <si>
    <t>PRODUTTIVITA GCS'C</t>
  </si>
  <si>
    <t>ULTIMO UPDATE DATI</t>
  </si>
  <si>
    <t>ULTIMO UPDATE FILE</t>
  </si>
  <si>
    <t xml:space="preserve"> </t>
  </si>
  <si>
    <t>DOPO LE 02:00, STOP SERVIZIO SAT, DOPO LE 03:00 NO ALCOLICI.</t>
  </si>
  <si>
    <t>ù</t>
  </si>
  <si>
    <t>Fai vedere tutte le linee</t>
  </si>
  <si>
    <t>PRODUTTIVITÀ</t>
  </si>
  <si>
    <t>Questo pulsante blocca tutti i fogli</t>
  </si>
  <si>
    <t>Questo pulsante sblocca tutti i fogli</t>
  </si>
  <si>
    <t>PERCENTUALE ORARIA</t>
  </si>
  <si>
    <t>TOTALE DELTA ORE</t>
  </si>
  <si>
    <t>TOTALE ORE CONTRATTI</t>
  </si>
  <si>
    <t>CORSO</t>
  </si>
  <si>
    <t>Logged=</t>
  </si>
  <si>
    <t>Version=</t>
  </si>
  <si>
    <t>N° DIPENDENTI</t>
  </si>
  <si>
    <t>Nascondi le linee non usate</t>
  </si>
  <si>
    <t>Questo pulsante ottimizza i fogli</t>
  </si>
  <si>
    <t>TEMP</t>
  </si>
  <si>
    <t>RUOLO</t>
  </si>
  <si>
    <t>FERIE</t>
  </si>
  <si>
    <t>MALATTIA</t>
  </si>
  <si>
    <t>No</t>
  </si>
  <si>
    <t>Gel</t>
  </si>
  <si>
    <t>Per usare il file orari, è necessario abilitare le macro e l'uso degli oggetti.</t>
  </si>
  <si>
    <t>Per farlo, andare in File -&gt; Opzioni -&gt; Centro Protezioni -&gt; Impostazioni centro protezione -&gt;  Impostazioni delle macro -&gt; Abilita tutte le macro</t>
  </si>
  <si>
    <t>DIPENDENTI</t>
  </si>
  <si>
    <t>Esegui Update Dipendenti</t>
  </si>
  <si>
    <t>CORSI</t>
  </si>
  <si>
    <t>6 MESI</t>
  </si>
  <si>
    <t>1 ANNO</t>
  </si>
  <si>
    <t>UNICI</t>
  </si>
  <si>
    <t>NOME 5</t>
  </si>
  <si>
    <t>NOME 6</t>
  </si>
  <si>
    <t>NOME 7</t>
  </si>
  <si>
    <t>Stampa Totalone</t>
  </si>
  <si>
    <t>N/A</t>
  </si>
  <si>
    <t>ORE CREW + IMPRESA</t>
  </si>
  <si>
    <t>Type=</t>
  </si>
  <si>
    <t>Inoltre, spuntare la spunta "considera attendibile il modello a oggetti" (Necessaria per ricevere gli aggiornamenti)</t>
  </si>
  <si>
    <t>Orari Manager</t>
  </si>
  <si>
    <t>RESPONSABILITÀ</t>
  </si>
  <si>
    <t xml:space="preserve"> LUNEDÌ</t>
  </si>
  <si>
    <t xml:space="preserve"> MARTEDÌ</t>
  </si>
  <si>
    <t>Elimina tutti i nomi all'interno dei lineari</t>
  </si>
  <si>
    <t>Si</t>
  </si>
  <si>
    <t>V</t>
  </si>
  <si>
    <t>G</t>
  </si>
  <si>
    <t>ORE IMPRESA NOTTE</t>
  </si>
  <si>
    <t>PRODUTTIVITÀ GIORNALIERA</t>
  </si>
  <si>
    <t>Data</t>
  </si>
  <si>
    <t>PROVA1</t>
  </si>
  <si>
    <t>PROVA2</t>
  </si>
  <si>
    <t>PROVA3</t>
  </si>
  <si>
    <t>PROVA4</t>
  </si>
  <si>
    <t>Scontrini</t>
  </si>
  <si>
    <t>Scontrini Drive</t>
  </si>
  <si>
    <t>Scontrini Delivery</t>
  </si>
  <si>
    <t>Prodotti cucina</t>
  </si>
  <si>
    <t>DIPENDENTI CUCINA RICHIESTI</t>
  </si>
  <si>
    <t>DIPENDENTI FRONT RICHIESTI</t>
  </si>
  <si>
    <t>SERVIZIO AL TAVOLO</t>
  </si>
  <si>
    <t>BIB/CAFFE</t>
  </si>
  <si>
    <t>DASHBOARD ORARI DIPENDENTI E MANAGER LOCALE NOME</t>
  </si>
  <si>
    <t>Scontrini Casse</t>
  </si>
  <si>
    <t>PULIZIA1</t>
  </si>
  <si>
    <t>PULIZIA2</t>
  </si>
  <si>
    <t>PULIZIA3</t>
  </si>
  <si>
    <t>PULIZIA4</t>
  </si>
  <si>
    <t>PULIZIA1 PRANZO</t>
  </si>
  <si>
    <t>PULIZIA2 CENA</t>
  </si>
  <si>
    <t>PULIZIA3 DELIVERY</t>
  </si>
  <si>
    <t>PULIZIA NOTTE</t>
  </si>
  <si>
    <t>TOTALE PULIZIA</t>
  </si>
  <si>
    <t>NOME 1</t>
  </si>
  <si>
    <t>NOME 2</t>
  </si>
  <si>
    <t>NOME 3</t>
  </si>
  <si>
    <t>NOME 4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</si>
  <si>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</si>
  <si>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</si>
  <si>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</si>
  <si>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</si>
  <si>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</si>
  <si>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</si>
  <si>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</si>
  <si>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</si>
  <si>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Vendite</t>
  </si>
  <si>
    <t>CUCINA GIORNI</t>
  </si>
  <si>
    <t>FRONT GIORNI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</si>
</sst>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dddd\ dd\ mmmm\ yy"/>
    <numFmt numFmtId="168" formatCode="0.0"/>
    <numFmt numFmtId="169" formatCode="[h]:mm"/>
    <numFmt numFmtId="170" formatCode="hh;mm"/>
    <numFmt numFmtId="171" formatCode="#,##0.00\ &quot;€&quot;"/>
    <numFmt numFmtId="172" formatCode="[$-F800]dddd\,\ mmmm\ dd\,\ yyyy"/>
    <numFmt numFmtId="173" formatCode="#\ &quot;ore&quot;"/>
    <numFmt numFmtId="174" formatCode="[$-410]dddd\ d\ mmm"/>
  </numFmts>
  <fonts count="6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1"/>
      <name val="Verdana"/>
      <family val="2"/>
    </font>
    <font>
      <b/>
      <sz val="26"/>
      <color theme="1"/>
      <name val="Verdana"/>
      <family val="2"/>
    </font>
    <font>
      <b/>
      <sz val="36"/>
      <color theme="1"/>
      <name val="Agency FB"/>
      <family val="2"/>
    </font>
    <font>
      <b/>
      <sz val="16"/>
      <color theme="1"/>
      <name val="Verdana"/>
      <family val="2"/>
    </font>
    <font>
      <b/>
      <u/>
      <sz val="36"/>
      <color theme="1"/>
      <name val="Calibri"/>
      <family val="2"/>
      <scheme val="minor"/>
    </font>
    <font>
      <b/>
      <sz val="26"/>
      <name val="Verdana"/>
      <family val="2"/>
    </font>
    <font>
      <b/>
      <sz val="26"/>
      <color rgb="FFFF0000"/>
      <name val="Verdana"/>
      <family val="2"/>
    </font>
    <font>
      <sz val="20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28"/>
      <color theme="1"/>
      <name val="Arial"/>
      <family val="2"/>
    </font>
    <font>
      <b/>
      <sz val="28"/>
      <color theme="1"/>
      <name val="Verdana"/>
      <family val="2"/>
    </font>
    <font>
      <sz val="2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u/>
      <sz val="26"/>
      <color theme="1"/>
      <name val="Verdana"/>
      <family val="2"/>
    </font>
    <font>
      <sz val="8"/>
      <name val="Tahoma"/>
      <family val="2"/>
    </font>
    <font>
      <sz val="9"/>
      <name val="Tahoma"/>
      <family val="2"/>
    </font>
    <font>
      <sz val="9"/>
      <name val="Times New Roman"/>
      <family val="1"/>
    </font>
    <font>
      <b/>
      <sz val="9"/>
      <name val="Tahoma"/>
      <family val="2"/>
    </font>
    <font>
      <sz val="7"/>
      <name val="Tahoma"/>
      <family val="2"/>
    </font>
    <font>
      <b/>
      <sz val="28"/>
      <color theme="1"/>
      <name val="Agency FB"/>
      <family val="2"/>
    </font>
    <font>
      <b/>
      <sz val="36"/>
      <color theme="0"/>
      <name val="Agency FB"/>
      <family val="2"/>
    </font>
    <font>
      <b/>
      <sz val="36"/>
      <color theme="1"/>
      <name val="Arial"/>
      <family val="2"/>
    </font>
    <font>
      <b/>
      <sz val="30"/>
      <color theme="1"/>
      <name val="Calibri"/>
      <family val="2"/>
      <scheme val="minor"/>
    </font>
    <font>
      <sz val="24"/>
      <color theme="1"/>
      <name val="Verdana"/>
      <family val="2"/>
    </font>
    <font>
      <b/>
      <sz val="24"/>
      <color theme="1"/>
      <name val="Verdana"/>
      <family val="2"/>
    </font>
    <font>
      <b/>
      <sz val="48"/>
      <color theme="1"/>
      <name val="Arial"/>
      <family val="2"/>
    </font>
    <font>
      <b/>
      <sz val="20"/>
      <color theme="1"/>
      <name val="Verdana"/>
      <family val="2"/>
    </font>
    <font>
      <b/>
      <sz val="14"/>
      <color rgb="FF000000"/>
      <name val="Calibri"/>
      <family val="2"/>
    </font>
    <font>
      <b/>
      <sz val="28"/>
      <color rgb="FF000000"/>
      <name val="Calibri"/>
      <family val="2"/>
    </font>
    <font>
      <b/>
      <sz val="72"/>
      <color theme="1"/>
      <name val="Arial"/>
      <family val="2"/>
    </font>
    <font>
      <b/>
      <sz val="24"/>
      <color theme="1"/>
      <name val="Calibri"/>
      <family val="2"/>
      <scheme val="minor"/>
    </font>
    <font>
      <b/>
      <sz val="35"/>
      <color theme="1"/>
      <name val="Agency FB"/>
      <family val="2"/>
    </font>
    <font>
      <b/>
      <sz val="45"/>
      <color theme="1"/>
      <name val="Agency FB"/>
      <family val="2"/>
    </font>
    <font>
      <b/>
      <sz val="24"/>
      <color theme="1"/>
      <name val="Agency FB"/>
      <family val="2"/>
    </font>
    <font>
      <b/>
      <sz val="28"/>
      <color theme="1"/>
      <name val="Calibri"/>
      <family val="2"/>
    </font>
    <font>
      <b/>
      <sz val="36"/>
      <color theme="1"/>
      <name val="Calibri"/>
      <family val="2"/>
    </font>
    <font>
      <b/>
      <u/>
      <sz val="28"/>
      <color theme="1"/>
      <name val="Calibri"/>
      <family val="2"/>
    </font>
    <font>
      <b/>
      <sz val="28"/>
      <color rgb="FFFF0000"/>
      <name val="Agency FB"/>
      <family val="2"/>
    </font>
    <font>
      <b/>
      <sz val="24"/>
      <color rgb="FFFF0000"/>
      <name val="Agency FB"/>
      <family val="2"/>
    </font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b/>
      <u/>
      <sz val="16"/>
      <color theme="1"/>
      <name val="Calibri"/>
      <family val="2"/>
      <scheme val="minor"/>
    </font>
    <font>
      <b/>
      <sz val="36"/>
      <color theme="0"/>
      <name val="Arial"/>
      <family val="2"/>
    </font>
    <font>
      <sz val="12"/>
      <color rgb="FF000000"/>
      <name val="Aptos"/>
      <family val="2"/>
    </font>
    <font>
      <sz val="12"/>
      <color rgb="FF000000"/>
      <name val="Calibri"/>
      <family val="2"/>
      <scheme val="minor"/>
    </font>
    <font>
      <b/>
      <sz val="20"/>
      <color theme="1"/>
      <name val="Arial"/>
      <family val="2"/>
    </font>
    <font>
      <b/>
      <sz val="22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C0C0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rgb="FF000000"/>
      </patternFill>
    </fill>
  </fills>
  <borders count="13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theme="0"/>
      </left>
      <right/>
      <top style="medium">
        <color auto="1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2"/>
      </left>
      <right style="thin">
        <color indexed="62"/>
      </right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 style="mediumDashed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Dashed">
        <color indexed="64"/>
      </bottom>
      <diagonal/>
    </border>
    <border>
      <left/>
      <right style="thin">
        <color auto="1"/>
      </right>
      <top style="mediumDashed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/>
      <bottom style="mediumDashed">
        <color indexed="64"/>
      </bottom>
      <diagonal/>
    </border>
    <border>
      <left/>
      <right style="medium">
        <color auto="1"/>
      </right>
      <top style="medium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rgb="FF333399"/>
      </right>
      <top style="thin">
        <color rgb="FF333399"/>
      </top>
      <bottom style="thin">
        <color rgb="FF333399"/>
      </bottom>
      <diagonal/>
    </border>
    <border>
      <left style="thin">
        <color indexed="62"/>
      </left>
      <right/>
      <top style="thin">
        <color indexed="62"/>
      </top>
      <bottom style="thin">
        <color indexed="62"/>
      </bottom>
      <diagonal/>
    </border>
    <border>
      <left/>
      <right/>
      <top style="thin">
        <color indexed="62"/>
      </top>
      <bottom style="thin">
        <color indexed="62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</borders>
  <cellStyleXfs count="59">
    <xf numFmtId="0" fontId="0" fillId="0" borderId="0"/>
    <xf numFmtId="0" fontId="1" fillId="0" borderId="0"/>
    <xf numFmtId="0" fontId="7" fillId="0" borderId="0"/>
    <xf numFmtId="9" fontId="8" fillId="0" borderId="0" applyFont="0" applyFill="0" applyBorder="0" applyAlignment="0" applyProtection="0"/>
    <xf numFmtId="0" fontId="10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>
      <alignment wrapText="1"/>
    </xf>
    <xf numFmtId="0" fontId="1" fillId="0" borderId="0">
      <alignment wrapText="1"/>
    </xf>
    <xf numFmtId="0" fontId="1" fillId="0" borderId="0">
      <alignment wrapText="1"/>
    </xf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>
      <alignment wrapText="1"/>
    </xf>
    <xf numFmtId="0" fontId="1" fillId="0" borderId="0">
      <alignment wrapText="1"/>
    </xf>
    <xf numFmtId="0" fontId="1" fillId="0" borderId="0">
      <alignment wrapText="1"/>
    </xf>
    <xf numFmtId="0" fontId="8" fillId="0" borderId="0"/>
    <xf numFmtId="0" fontId="8" fillId="0" borderId="0"/>
    <xf numFmtId="166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>
      <alignment wrapText="1"/>
    </xf>
    <xf numFmtId="0" fontId="1" fillId="0" borderId="0">
      <alignment wrapText="1"/>
    </xf>
    <xf numFmtId="0" fontId="1" fillId="0" borderId="0">
      <alignment wrapText="1"/>
    </xf>
    <xf numFmtId="0" fontId="8" fillId="0" borderId="0"/>
    <xf numFmtId="0" fontId="8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4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1" fillId="0" borderId="0">
      <alignment vertical="center"/>
    </xf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8" fillId="0" borderId="0" applyFont="0" applyFill="0" applyBorder="0" applyAlignment="0" applyProtection="0"/>
  </cellStyleXfs>
  <cellXfs count="639">
    <xf numFmtId="0" fontId="0" fillId="0" borderId="0" xfId="0"/>
    <xf numFmtId="0" fontId="0" fillId="0" borderId="9" xfId="0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20" fontId="0" fillId="0" borderId="9" xfId="0" applyNumberFormat="1" applyBorder="1" applyAlignment="1">
      <alignment horizontal="center" vertical="center"/>
    </xf>
    <xf numFmtId="9" fontId="0" fillId="0" borderId="9" xfId="3" applyFon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2" fillId="4" borderId="35" xfId="0" applyFont="1" applyFill="1" applyBorder="1" applyAlignment="1">
      <alignment horizontal="center" vertical="center"/>
    </xf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11" fillId="0" borderId="55" xfId="0" applyFont="1" applyBorder="1"/>
    <xf numFmtId="0" fontId="11" fillId="0" borderId="50" xfId="0" applyFont="1" applyBorder="1"/>
    <xf numFmtId="0" fontId="0" fillId="0" borderId="63" xfId="0" applyBorder="1"/>
    <xf numFmtId="0" fontId="14" fillId="0" borderId="0" xfId="0" applyFont="1"/>
    <xf numFmtId="0" fontId="16" fillId="10" borderId="21" xfId="0" applyFont="1" applyFill="1" applyBorder="1" applyAlignment="1">
      <alignment horizontal="center" vertical="center"/>
    </xf>
    <xf numFmtId="0" fontId="16" fillId="10" borderId="16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168" fontId="16" fillId="0" borderId="30" xfId="0" applyNumberFormat="1" applyFont="1" applyBorder="1" applyAlignment="1">
      <alignment horizontal="center" vertical="center"/>
    </xf>
    <xf numFmtId="0" fontId="17" fillId="0" borderId="54" xfId="0" applyFont="1" applyBorder="1"/>
    <xf numFmtId="169" fontId="23" fillId="10" borderId="17" xfId="0" applyNumberFormat="1" applyFont="1" applyFill="1" applyBorder="1" applyAlignment="1">
      <alignment horizontal="center" vertical="center"/>
    </xf>
    <xf numFmtId="169" fontId="23" fillId="10" borderId="18" xfId="0" applyNumberFormat="1" applyFont="1" applyFill="1" applyBorder="1" applyAlignment="1">
      <alignment horizontal="center" vertical="center"/>
    </xf>
    <xf numFmtId="169" fontId="23" fillId="10" borderId="27" xfId="0" applyNumberFormat="1" applyFont="1" applyFill="1" applyBorder="1" applyAlignment="1">
      <alignment horizontal="center" vertical="center"/>
    </xf>
    <xf numFmtId="169" fontId="23" fillId="10" borderId="2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0" fontId="36" fillId="0" borderId="0" xfId="0" applyFont="1" applyAlignment="1">
      <alignment horizontal="left" vertical="top"/>
    </xf>
    <xf numFmtId="0" fontId="37" fillId="0" borderId="0" xfId="0" applyFont="1" applyAlignment="1">
      <alignment horizontal="left" vertical="top" wrapText="1" shrinkToFit="1"/>
    </xf>
    <xf numFmtId="0" fontId="40" fillId="0" borderId="81" xfId="0" applyFont="1" applyBorder="1" applyAlignment="1">
      <alignment horizontal="right" vertical="center" wrapText="1" shrinkToFit="1"/>
    </xf>
    <xf numFmtId="1" fontId="0" fillId="0" borderId="0" xfId="0" applyNumberFormat="1" applyAlignment="1">
      <alignment horizontal="center" vertical="center"/>
    </xf>
    <xf numFmtId="49" fontId="42" fillId="2" borderId="29" xfId="0" applyNumberFormat="1" applyFont="1" applyFill="1" applyBorder="1" applyAlignment="1">
      <alignment horizontal="center" vertical="center"/>
    </xf>
    <xf numFmtId="0" fontId="0" fillId="6" borderId="41" xfId="0" applyFill="1" applyBorder="1"/>
    <xf numFmtId="1" fontId="20" fillId="3" borderId="9" xfId="0" applyNumberFormat="1" applyFont="1" applyFill="1" applyBorder="1" applyAlignment="1">
      <alignment horizontal="center" vertical="center"/>
    </xf>
    <xf numFmtId="0" fontId="0" fillId="6" borderId="43" xfId="0" applyFill="1" applyBorder="1"/>
    <xf numFmtId="1" fontId="44" fillId="3" borderId="9" xfId="0" applyNumberFormat="1" applyFont="1" applyFill="1" applyBorder="1" applyAlignment="1">
      <alignment horizontal="center" vertical="center"/>
    </xf>
    <xf numFmtId="1" fontId="20" fillId="0" borderId="9" xfId="0" applyNumberFormat="1" applyFont="1" applyBorder="1" applyAlignment="1">
      <alignment horizontal="center" vertical="center"/>
    </xf>
    <xf numFmtId="1" fontId="44" fillId="0" borderId="9" xfId="0" applyNumberFormat="1" applyFont="1" applyBorder="1" applyAlignment="1">
      <alignment horizontal="center" vertical="center"/>
    </xf>
    <xf numFmtId="1" fontId="21" fillId="3" borderId="9" xfId="0" applyNumberFormat="1" applyFont="1" applyFill="1" applyBorder="1" applyAlignment="1">
      <alignment horizontal="center" vertical="center"/>
    </xf>
    <xf numFmtId="1" fontId="25" fillId="3" borderId="9" xfId="0" applyNumberFormat="1" applyFont="1" applyFill="1" applyBorder="1" applyAlignment="1">
      <alignment horizontal="center" vertical="center"/>
    </xf>
    <xf numFmtId="1" fontId="21" fillId="0" borderId="9" xfId="0" applyNumberFormat="1" applyFont="1" applyBorder="1" applyAlignment="1">
      <alignment horizontal="center" vertical="center"/>
    </xf>
    <xf numFmtId="1" fontId="26" fillId="4" borderId="9" xfId="0" applyNumberFormat="1" applyFont="1" applyFill="1" applyBorder="1" applyAlignment="1">
      <alignment horizontal="center" vertical="center"/>
    </xf>
    <xf numFmtId="1" fontId="26" fillId="11" borderId="9" xfId="0" applyNumberFormat="1" applyFont="1" applyFill="1" applyBorder="1" applyAlignment="1">
      <alignment horizontal="center" vertical="center"/>
    </xf>
    <xf numFmtId="0" fontId="45" fillId="0" borderId="17" xfId="0" applyFont="1" applyBorder="1" applyAlignment="1">
      <alignment horizontal="center" vertical="center"/>
    </xf>
    <xf numFmtId="0" fontId="45" fillId="0" borderId="9" xfId="0" applyFont="1" applyBorder="1" applyAlignment="1">
      <alignment horizontal="center" vertical="center"/>
    </xf>
    <xf numFmtId="0" fontId="46" fillId="0" borderId="9" xfId="0" applyFont="1" applyBorder="1" applyAlignment="1">
      <alignment horizontal="center" vertical="center"/>
    </xf>
    <xf numFmtId="0" fontId="31" fillId="0" borderId="0" xfId="0" applyFont="1"/>
    <xf numFmtId="0" fontId="32" fillId="0" borderId="0" xfId="0" applyFont="1" applyAlignment="1">
      <alignment horizontal="center" vertical="center"/>
    </xf>
    <xf numFmtId="0" fontId="33" fillId="3" borderId="0" xfId="0" applyFont="1" applyFill="1"/>
    <xf numFmtId="0" fontId="31" fillId="3" borderId="8" xfId="0" applyFont="1" applyFill="1" applyBorder="1"/>
    <xf numFmtId="0" fontId="31" fillId="0" borderId="8" xfId="0" applyFont="1" applyBorder="1"/>
    <xf numFmtId="0" fontId="32" fillId="0" borderId="8" xfId="0" applyFont="1" applyBorder="1" applyAlignment="1">
      <alignment horizontal="center" vertical="center"/>
    </xf>
    <xf numFmtId="0" fontId="46" fillId="13" borderId="17" xfId="0" applyFont="1" applyFill="1" applyBorder="1" applyAlignment="1">
      <alignment horizontal="center" vertical="center"/>
    </xf>
    <xf numFmtId="0" fontId="46" fillId="3" borderId="9" xfId="0" applyFont="1" applyFill="1" applyBorder="1" applyAlignment="1">
      <alignment horizontal="center" vertical="center"/>
    </xf>
    <xf numFmtId="169" fontId="46" fillId="3" borderId="9" xfId="0" applyNumberFormat="1" applyFont="1" applyFill="1" applyBorder="1" applyAlignment="1">
      <alignment horizontal="center" vertical="center"/>
    </xf>
    <xf numFmtId="0" fontId="31" fillId="3" borderId="0" xfId="0" applyFont="1" applyFill="1"/>
    <xf numFmtId="0" fontId="9" fillId="6" borderId="43" xfId="0" applyFont="1" applyFill="1" applyBorder="1"/>
    <xf numFmtId="0" fontId="9" fillId="0" borderId="0" xfId="0" applyFont="1"/>
    <xf numFmtId="169" fontId="46" fillId="0" borderId="9" xfId="0" applyNumberFormat="1" applyFont="1" applyBorder="1" applyAlignment="1">
      <alignment horizontal="center" vertical="center"/>
    </xf>
    <xf numFmtId="0" fontId="32" fillId="3" borderId="0" xfId="0" applyFont="1" applyFill="1" applyAlignment="1">
      <alignment horizontal="center" vertical="center"/>
    </xf>
    <xf numFmtId="0" fontId="45" fillId="0" borderId="67" xfId="0" applyFont="1" applyBorder="1" applyAlignment="1">
      <alignment horizontal="center" vertical="center"/>
    </xf>
    <xf numFmtId="0" fontId="45" fillId="0" borderId="11" xfId="0" applyFont="1" applyBorder="1" applyAlignment="1">
      <alignment horizontal="center" vertical="center"/>
    </xf>
    <xf numFmtId="169" fontId="46" fillId="0" borderId="11" xfId="0" applyNumberFormat="1" applyFont="1" applyBorder="1" applyAlignment="1">
      <alignment horizontal="center" vertical="center"/>
    </xf>
    <xf numFmtId="0" fontId="45" fillId="0" borderId="68" xfId="0" applyFont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169" fontId="46" fillId="0" borderId="15" xfId="0" applyNumberFormat="1" applyFont="1" applyBorder="1" applyAlignment="1">
      <alignment horizontal="center" vertical="center"/>
    </xf>
    <xf numFmtId="0" fontId="31" fillId="0" borderId="14" xfId="0" applyFont="1" applyBorder="1"/>
    <xf numFmtId="0" fontId="33" fillId="0" borderId="14" xfId="0" applyFont="1" applyBorder="1"/>
    <xf numFmtId="0" fontId="33" fillId="3" borderId="14" xfId="0" applyFont="1" applyFill="1" applyBorder="1"/>
    <xf numFmtId="0" fontId="35" fillId="3" borderId="14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1" fillId="3" borderId="14" xfId="0" applyFont="1" applyFill="1" applyBorder="1"/>
    <xf numFmtId="0" fontId="21" fillId="13" borderId="14" xfId="0" applyFont="1" applyFill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33" fillId="0" borderId="0" xfId="0" applyFont="1"/>
    <xf numFmtId="0" fontId="30" fillId="3" borderId="0" xfId="0" applyFont="1" applyFill="1" applyAlignment="1">
      <alignment vertical="center"/>
    </xf>
    <xf numFmtId="0" fontId="21" fillId="1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34" fillId="3" borderId="0" xfId="0" applyFont="1" applyFill="1" applyAlignment="1">
      <alignment horizontal="center" vertical="center"/>
    </xf>
    <xf numFmtId="0" fontId="32" fillId="12" borderId="0" xfId="0" applyFont="1" applyFill="1" applyAlignment="1">
      <alignment vertical="center"/>
    </xf>
    <xf numFmtId="0" fontId="32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" fillId="13" borderId="0" xfId="0" applyFont="1" applyFill="1" applyAlignment="1">
      <alignment vertical="center"/>
    </xf>
    <xf numFmtId="0" fontId="32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vertical="center"/>
    </xf>
    <xf numFmtId="0" fontId="45" fillId="0" borderId="69" xfId="0" applyFont="1" applyBorder="1" applyAlignment="1">
      <alignment horizontal="center" vertical="center"/>
    </xf>
    <xf numFmtId="0" fontId="45" fillId="0" borderId="12" xfId="0" applyFont="1" applyBorder="1" applyAlignment="1">
      <alignment horizontal="center" vertical="center"/>
    </xf>
    <xf numFmtId="169" fontId="46" fillId="0" borderId="12" xfId="0" applyNumberFormat="1" applyFont="1" applyBorder="1" applyAlignment="1">
      <alignment horizontal="center" vertical="center"/>
    </xf>
    <xf numFmtId="0" fontId="31" fillId="0" borderId="13" xfId="0" applyFont="1" applyBorder="1"/>
    <xf numFmtId="0" fontId="31" fillId="3" borderId="13" xfId="0" applyFont="1" applyFill="1" applyBorder="1"/>
    <xf numFmtId="0" fontId="45" fillId="0" borderId="24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169" fontId="46" fillId="0" borderId="10" xfId="0" applyNumberFormat="1" applyFont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49" fontId="32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46" fillId="3" borderId="17" xfId="0" applyFont="1" applyFill="1" applyBorder="1" applyAlignment="1">
      <alignment horizontal="center" vertical="center"/>
    </xf>
    <xf numFmtId="0" fontId="32" fillId="3" borderId="14" xfId="0" applyFont="1" applyFill="1" applyBorder="1" applyAlignment="1">
      <alignment horizontal="center" vertical="center"/>
    </xf>
    <xf numFmtId="0" fontId="31" fillId="13" borderId="0" xfId="0" applyFont="1" applyFill="1"/>
    <xf numFmtId="0" fontId="19" fillId="13" borderId="13" xfId="0" applyFont="1" applyFill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0" fontId="18" fillId="6" borderId="43" xfId="0" applyFont="1" applyFill="1" applyBorder="1"/>
    <xf numFmtId="0" fontId="18" fillId="0" borderId="0" xfId="0" applyFont="1"/>
    <xf numFmtId="0" fontId="20" fillId="0" borderId="0" xfId="0" applyFont="1" applyAlignment="1">
      <alignment horizontal="center" vertical="center"/>
    </xf>
    <xf numFmtId="0" fontId="32" fillId="12" borderId="0" xfId="0" applyFont="1" applyFill="1" applyAlignment="1">
      <alignment horizontal="left" vertical="center"/>
    </xf>
    <xf numFmtId="0" fontId="20" fillId="3" borderId="0" xfId="0" applyFont="1" applyFill="1" applyAlignment="1">
      <alignment horizontal="center" vertical="center"/>
    </xf>
    <xf numFmtId="0" fontId="0" fillId="13" borderId="0" xfId="0" applyFill="1"/>
    <xf numFmtId="0" fontId="31" fillId="0" borderId="47" xfId="0" applyFont="1" applyBorder="1"/>
    <xf numFmtId="0" fontId="31" fillId="3" borderId="47" xfId="0" applyFont="1" applyFill="1" applyBorder="1"/>
    <xf numFmtId="2" fontId="22" fillId="0" borderId="9" xfId="0" applyNumberFormat="1" applyFont="1" applyBorder="1" applyAlignment="1">
      <alignment horizontal="center" vertical="center"/>
    </xf>
    <xf numFmtId="0" fontId="41" fillId="3" borderId="9" xfId="0" applyFont="1" applyFill="1" applyBorder="1" applyAlignment="1">
      <alignment horizontal="center" vertical="center"/>
    </xf>
    <xf numFmtId="0" fontId="29" fillId="7" borderId="17" xfId="0" applyFont="1" applyFill="1" applyBorder="1" applyAlignment="1">
      <alignment horizontal="center" vertical="center"/>
    </xf>
    <xf numFmtId="1" fontId="21" fillId="0" borderId="27" xfId="0" applyNumberFormat="1" applyFont="1" applyBorder="1" applyAlignment="1">
      <alignment horizontal="center" vertical="center"/>
    </xf>
    <xf numFmtId="0" fontId="0" fillId="6" borderId="46" xfId="0" applyFill="1" applyBorder="1"/>
    <xf numFmtId="0" fontId="0" fillId="0" borderId="0" xfId="0" applyAlignment="1">
      <alignment vertical="center" wrapText="1"/>
    </xf>
    <xf numFmtId="0" fontId="0" fillId="6" borderId="0" xfId="0" applyFill="1"/>
    <xf numFmtId="0" fontId="4" fillId="3" borderId="0" xfId="0" applyFont="1" applyFill="1"/>
    <xf numFmtId="0" fontId="21" fillId="3" borderId="8" xfId="0" applyFont="1" applyFill="1" applyBorder="1" applyAlignment="1">
      <alignment horizontal="center" vertical="center"/>
    </xf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34" fillId="13" borderId="0" xfId="0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0" fillId="0" borderId="14" xfId="0" applyBorder="1"/>
    <xf numFmtId="0" fontId="4" fillId="3" borderId="14" xfId="0" applyFont="1" applyFill="1" applyBorder="1"/>
    <xf numFmtId="0" fontId="0" fillId="3" borderId="14" xfId="0" applyFill="1" applyBorder="1"/>
    <xf numFmtId="0" fontId="3" fillId="0" borderId="14" xfId="0" applyFont="1" applyBorder="1" applyAlignment="1">
      <alignment horizontal="center" vertical="center"/>
    </xf>
    <xf numFmtId="0" fontId="4" fillId="0" borderId="0" xfId="0" applyFont="1"/>
    <xf numFmtId="0" fontId="35" fillId="13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0" fillId="3" borderId="13" xfId="0" applyFill="1" applyBorder="1"/>
    <xf numFmtId="0" fontId="19" fillId="3" borderId="13" xfId="0" applyFont="1" applyFill="1" applyBorder="1" applyAlignment="1">
      <alignment horizontal="center" vertical="center"/>
    </xf>
    <xf numFmtId="0" fontId="32" fillId="0" borderId="14" xfId="0" applyFont="1" applyBorder="1" applyAlignment="1">
      <alignment vertical="center"/>
    </xf>
    <xf numFmtId="0" fontId="18" fillId="6" borderId="0" xfId="0" applyFont="1" applyFill="1"/>
    <xf numFmtId="0" fontId="21" fillId="0" borderId="0" xfId="0" applyFont="1" applyAlignment="1">
      <alignment horizontal="left" vertical="center"/>
    </xf>
    <xf numFmtId="0" fontId="45" fillId="10" borderId="17" xfId="0" applyFont="1" applyFill="1" applyBorder="1" applyAlignment="1">
      <alignment horizontal="center" vertical="center"/>
    </xf>
    <xf numFmtId="0" fontId="46" fillId="13" borderId="9" xfId="0" applyFont="1" applyFill="1" applyBorder="1" applyAlignment="1">
      <alignment horizontal="center" vertical="center"/>
    </xf>
    <xf numFmtId="0" fontId="45" fillId="0" borderId="84" xfId="0" applyFont="1" applyBorder="1"/>
    <xf numFmtId="0" fontId="46" fillId="10" borderId="17" xfId="0" applyFont="1" applyFill="1" applyBorder="1" applyAlignment="1">
      <alignment horizontal="center" vertical="center"/>
    </xf>
    <xf numFmtId="0" fontId="45" fillId="10" borderId="68" xfId="0" applyFont="1" applyFill="1" applyBorder="1" applyAlignment="1">
      <alignment horizontal="center" vertical="center"/>
    </xf>
    <xf numFmtId="0" fontId="45" fillId="10" borderId="67" xfId="0" applyFont="1" applyFill="1" applyBorder="1" applyAlignment="1">
      <alignment horizontal="center" vertical="center"/>
    </xf>
    <xf numFmtId="0" fontId="45" fillId="0" borderId="0" xfId="0" applyFont="1"/>
    <xf numFmtId="168" fontId="16" fillId="0" borderId="35" xfId="0" applyNumberFormat="1" applyFont="1" applyBorder="1" applyAlignment="1">
      <alignment horizontal="center" vertical="center"/>
    </xf>
    <xf numFmtId="168" fontId="16" fillId="0" borderId="94" xfId="0" applyNumberFormat="1" applyFont="1" applyBorder="1" applyAlignment="1">
      <alignment horizontal="center" vertical="center"/>
    </xf>
    <xf numFmtId="0" fontId="2" fillId="4" borderId="92" xfId="0" applyFont="1" applyFill="1" applyBorder="1" applyAlignment="1">
      <alignment horizontal="center" vertical="center"/>
    </xf>
    <xf numFmtId="0" fontId="2" fillId="4" borderId="93" xfId="0" applyFont="1" applyFill="1" applyBorder="1" applyAlignment="1">
      <alignment horizontal="center" vertical="center"/>
    </xf>
    <xf numFmtId="0" fontId="0" fillId="4" borderId="84" xfId="0" applyFill="1" applyBorder="1" applyAlignment="1">
      <alignment horizontal="center" vertical="center"/>
    </xf>
    <xf numFmtId="0" fontId="0" fillId="4" borderId="87" xfId="0" applyFill="1" applyBorder="1" applyAlignment="1">
      <alignment horizontal="center" vertical="center"/>
    </xf>
    <xf numFmtId="0" fontId="0" fillId="0" borderId="0" xfId="0" applyProtection="1">
      <protection hidden="1"/>
    </xf>
    <xf numFmtId="0" fontId="16" fillId="14" borderId="9" xfId="0" applyFont="1" applyFill="1" applyBorder="1" applyAlignment="1">
      <alignment horizontal="center" vertical="center"/>
    </xf>
    <xf numFmtId="0" fontId="45" fillId="13" borderId="17" xfId="0" applyFont="1" applyFill="1" applyBorder="1" applyAlignment="1">
      <alignment horizontal="center" vertical="center"/>
    </xf>
    <xf numFmtId="21" fontId="46" fillId="13" borderId="17" xfId="0" applyNumberFormat="1" applyFont="1" applyFill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40" fillId="9" borderId="97" xfId="0" applyFont="1" applyFill="1" applyBorder="1" applyAlignment="1">
      <alignment horizontal="right" vertical="center" wrapText="1" shrinkToFit="1"/>
    </xf>
    <xf numFmtId="0" fontId="0" fillId="0" borderId="48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0" xfId="0" applyAlignment="1">
      <alignment horizontal="center"/>
    </xf>
    <xf numFmtId="0" fontId="45" fillId="13" borderId="0" xfId="0" applyFont="1" applyFill="1"/>
    <xf numFmtId="2" fontId="53" fillId="0" borderId="9" xfId="0" applyNumberFormat="1" applyFont="1" applyBorder="1" applyAlignment="1">
      <alignment horizontal="center" vertical="center"/>
    </xf>
    <xf numFmtId="1" fontId="54" fillId="0" borderId="9" xfId="0" applyNumberFormat="1" applyFont="1" applyBorder="1" applyAlignment="1">
      <alignment horizontal="center" vertical="center"/>
    </xf>
    <xf numFmtId="168" fontId="55" fillId="3" borderId="9" xfId="0" applyNumberFormat="1" applyFont="1" applyFill="1" applyBorder="1" applyAlignment="1">
      <alignment horizontal="center" vertical="center"/>
    </xf>
    <xf numFmtId="49" fontId="40" fillId="0" borderId="80" xfId="0" applyNumberFormat="1" applyFont="1" applyBorder="1" applyAlignment="1">
      <alignment horizontal="right" vertical="center" wrapText="1" shrinkToFit="1"/>
    </xf>
    <xf numFmtId="0" fontId="37" fillId="0" borderId="0" xfId="0" applyFont="1" applyAlignment="1">
      <alignment horizontal="center" vertical="top" wrapText="1" shrinkToFit="1"/>
    </xf>
    <xf numFmtId="0" fontId="37" fillId="0" borderId="0" xfId="0" applyFont="1" applyAlignment="1">
      <alignment horizontal="right" vertical="top" wrapText="1" shrinkToFit="1"/>
    </xf>
    <xf numFmtId="0" fontId="38" fillId="0" borderId="0" xfId="0" applyFont="1" applyAlignment="1">
      <alignment horizontal="center" vertical="center" wrapText="1" shrinkToFit="1"/>
    </xf>
    <xf numFmtId="49" fontId="37" fillId="0" borderId="0" xfId="0" applyNumberFormat="1" applyFont="1" applyAlignment="1">
      <alignment horizontal="right" vertical="top" wrapText="1" shrinkToFit="1"/>
    </xf>
    <xf numFmtId="0" fontId="39" fillId="0" borderId="0" xfId="0" applyFont="1" applyAlignment="1">
      <alignment horizontal="center" vertical="top" wrapText="1" shrinkToFit="1"/>
    </xf>
    <xf numFmtId="0" fontId="40" fillId="9" borderId="96" xfId="0" applyFont="1" applyFill="1" applyBorder="1" applyAlignment="1">
      <alignment horizontal="right" vertical="center" wrapText="1" shrinkToFit="1"/>
    </xf>
    <xf numFmtId="0" fontId="57" fillId="13" borderId="0" xfId="0" applyFont="1" applyFill="1" applyAlignment="1">
      <alignment horizontal="center" vertical="center"/>
    </xf>
    <xf numFmtId="0" fontId="56" fillId="13" borderId="14" xfId="0" applyFont="1" applyFill="1" applyBorder="1" applyAlignment="1">
      <alignment horizontal="center" vertical="center"/>
    </xf>
    <xf numFmtId="0" fontId="32" fillId="0" borderId="13" xfId="0" applyFont="1" applyBorder="1" applyAlignment="1">
      <alignment horizontal="left" vertical="center"/>
    </xf>
    <xf numFmtId="0" fontId="45" fillId="10" borderId="69" xfId="0" applyFont="1" applyFill="1" applyBorder="1" applyAlignment="1">
      <alignment horizontal="center" vertical="center"/>
    </xf>
    <xf numFmtId="0" fontId="56" fillId="13" borderId="0" xfId="0" applyFont="1" applyFill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4" fillId="13" borderId="0" xfId="0" applyFont="1" applyFill="1" applyAlignment="1">
      <alignment horizontal="left" vertical="center"/>
    </xf>
    <xf numFmtId="0" fontId="34" fillId="13" borderId="14" xfId="0" applyFont="1" applyFill="1" applyBorder="1" applyAlignment="1">
      <alignment horizontal="left" vertical="center"/>
    </xf>
    <xf numFmtId="0" fontId="58" fillId="13" borderId="14" xfId="0" applyFont="1" applyFill="1" applyBorder="1" applyAlignment="1">
      <alignment horizontal="left" vertical="center"/>
    </xf>
    <xf numFmtId="0" fontId="32" fillId="13" borderId="0" xfId="0" applyFont="1" applyFill="1" applyAlignment="1">
      <alignment horizontal="left" vertical="center"/>
    </xf>
    <xf numFmtId="0" fontId="57" fillId="0" borderId="0" xfId="0" applyFont="1" applyAlignment="1">
      <alignment horizontal="center" vertical="center"/>
    </xf>
    <xf numFmtId="0" fontId="59" fillId="14" borderId="9" xfId="0" applyFont="1" applyFill="1" applyBorder="1" applyAlignment="1">
      <alignment horizontal="center" vertical="center"/>
    </xf>
    <xf numFmtId="0" fontId="60" fillId="14" borderId="9" xfId="0" applyFont="1" applyFill="1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169" fontId="21" fillId="0" borderId="15" xfId="0" applyNumberFormat="1" applyFont="1" applyBorder="1" applyAlignment="1">
      <alignment horizontal="center" vertical="center"/>
    </xf>
    <xf numFmtId="0" fontId="12" fillId="4" borderId="84" xfId="0" applyFont="1" applyFill="1" applyBorder="1" applyAlignment="1">
      <alignment horizontal="center" vertical="center" wrapText="1"/>
    </xf>
    <xf numFmtId="0" fontId="16" fillId="15" borderId="94" xfId="0" applyFont="1" applyFill="1" applyBorder="1" applyAlignment="1">
      <alignment horizontal="center" vertical="center"/>
    </xf>
    <xf numFmtId="169" fontId="23" fillId="15" borderId="92" xfId="0" applyNumberFormat="1" applyFont="1" applyFill="1" applyBorder="1" applyAlignment="1">
      <alignment horizontal="center" vertical="center"/>
    </xf>
    <xf numFmtId="169" fontId="23" fillId="15" borderId="93" xfId="0" applyNumberFormat="1" applyFont="1" applyFill="1" applyBorder="1" applyAlignment="1">
      <alignment horizontal="center" vertical="center"/>
    </xf>
    <xf numFmtId="9" fontId="16" fillId="15" borderId="94" xfId="3" applyFont="1" applyFill="1" applyBorder="1" applyAlignment="1">
      <alignment horizontal="center" vertical="center"/>
    </xf>
    <xf numFmtId="169" fontId="23" fillId="16" borderId="92" xfId="0" applyNumberFormat="1" applyFont="1" applyFill="1" applyBorder="1" applyAlignment="1">
      <alignment horizontal="center" vertical="center"/>
    </xf>
    <xf numFmtId="169" fontId="23" fillId="16" borderId="93" xfId="0" applyNumberFormat="1" applyFont="1" applyFill="1" applyBorder="1" applyAlignment="1">
      <alignment horizontal="center" vertical="center"/>
    </xf>
    <xf numFmtId="0" fontId="0" fillId="0" borderId="99" xfId="0" applyBorder="1"/>
    <xf numFmtId="0" fontId="0" fillId="0" borderId="98" xfId="0" applyBorder="1"/>
    <xf numFmtId="170" fontId="11" fillId="15" borderId="84" xfId="0" applyNumberFormat="1" applyFont="1" applyFill="1" applyBorder="1" applyAlignment="1">
      <alignment horizontal="center" vertical="center"/>
    </xf>
    <xf numFmtId="0" fontId="11" fillId="15" borderId="87" xfId="0" applyFont="1" applyFill="1" applyBorder="1" applyAlignment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28" xfId="0" applyFont="1" applyFill="1" applyBorder="1" applyAlignment="1">
      <alignment horizontal="center" vertical="center"/>
    </xf>
    <xf numFmtId="170" fontId="11" fillId="10" borderId="84" xfId="0" applyNumberFormat="1" applyFont="1" applyFill="1" applyBorder="1" applyAlignment="1">
      <alignment horizontal="center" vertical="center"/>
    </xf>
    <xf numFmtId="0" fontId="11" fillId="0" borderId="49" xfId="0" applyFont="1" applyBorder="1"/>
    <xf numFmtId="0" fontId="52" fillId="4" borderId="35" xfId="0" applyFont="1" applyFill="1" applyBorder="1" applyAlignment="1">
      <alignment horizontal="center" vertical="center"/>
    </xf>
    <xf numFmtId="168" fontId="16" fillId="10" borderId="94" xfId="0" applyNumberFormat="1" applyFont="1" applyFill="1" applyBorder="1" applyAlignment="1">
      <alignment horizontal="center" vertical="center"/>
    </xf>
    <xf numFmtId="0" fontId="16" fillId="16" borderId="21" xfId="0" applyFont="1" applyFill="1" applyBorder="1" applyAlignment="1">
      <alignment horizontal="center" vertical="center"/>
    </xf>
    <xf numFmtId="0" fontId="0" fillId="0" borderId="101" xfId="0" applyBorder="1"/>
    <xf numFmtId="0" fontId="0" fillId="0" borderId="49" xfId="0" applyBorder="1" applyAlignment="1">
      <alignment horizontal="center"/>
    </xf>
    <xf numFmtId="0" fontId="0" fillId="0" borderId="58" xfId="0" applyBorder="1" applyAlignment="1">
      <alignment horizontal="center"/>
    </xf>
    <xf numFmtId="0" fontId="27" fillId="0" borderId="59" xfId="0" applyFont="1" applyBorder="1" applyAlignment="1">
      <alignment horizontal="center"/>
    </xf>
    <xf numFmtId="0" fontId="21" fillId="0" borderId="9" xfId="0" applyFont="1" applyBorder="1" applyAlignment="1">
      <alignment horizontal="center" vertical="center"/>
    </xf>
    <xf numFmtId="169" fontId="15" fillId="10" borderId="92" xfId="0" applyNumberFormat="1" applyFont="1" applyFill="1" applyBorder="1" applyAlignment="1">
      <alignment horizontal="center" vertical="center"/>
    </xf>
    <xf numFmtId="169" fontId="15" fillId="10" borderId="84" xfId="0" applyNumberFormat="1" applyFont="1" applyFill="1" applyBorder="1" applyAlignment="1">
      <alignment horizontal="center" vertical="center"/>
    </xf>
    <xf numFmtId="169" fontId="15" fillId="10" borderId="87" xfId="0" applyNumberFormat="1" applyFont="1" applyFill="1" applyBorder="1" applyAlignment="1">
      <alignment horizontal="center" vertical="center"/>
    </xf>
    <xf numFmtId="169" fontId="15" fillId="10" borderId="93" xfId="0" applyNumberFormat="1" applyFont="1" applyFill="1" applyBorder="1" applyAlignment="1">
      <alignment horizontal="center" vertical="center"/>
    </xf>
    <xf numFmtId="169" fontId="15" fillId="10" borderId="89" xfId="0" applyNumberFormat="1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63" fillId="10" borderId="16" xfId="0" applyFont="1" applyFill="1" applyBorder="1" applyAlignment="1">
      <alignment horizontal="center" vertical="center"/>
    </xf>
    <xf numFmtId="0" fontId="16" fillId="10" borderId="94" xfId="0" applyFont="1" applyFill="1" applyBorder="1" applyAlignment="1">
      <alignment horizontal="center" vertical="center"/>
    </xf>
    <xf numFmtId="9" fontId="16" fillId="10" borderId="94" xfId="3" applyFont="1" applyFill="1" applyBorder="1" applyAlignment="1">
      <alignment horizontal="center" vertical="center"/>
    </xf>
    <xf numFmtId="0" fontId="11" fillId="10" borderId="87" xfId="0" applyFont="1" applyFill="1" applyBorder="1" applyAlignment="1">
      <alignment horizontal="center" vertical="center"/>
    </xf>
    <xf numFmtId="169" fontId="23" fillId="10" borderId="92" xfId="0" applyNumberFormat="1" applyFont="1" applyFill="1" applyBorder="1" applyAlignment="1">
      <alignment horizontal="center" vertical="center"/>
    </xf>
    <xf numFmtId="169" fontId="23" fillId="10" borderId="93" xfId="0" applyNumberFormat="1" applyFont="1" applyFill="1" applyBorder="1" applyAlignment="1">
      <alignment horizontal="center" vertical="center"/>
    </xf>
    <xf numFmtId="0" fontId="0" fillId="0" borderId="79" xfId="0" applyBorder="1"/>
    <xf numFmtId="0" fontId="0" fillId="3" borderId="79" xfId="0" applyFill="1" applyBorder="1"/>
    <xf numFmtId="0" fontId="45" fillId="0" borderId="105" xfId="0" applyFont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169" fontId="46" fillId="0" borderId="106" xfId="0" applyNumberFormat="1" applyFont="1" applyBorder="1" applyAlignment="1">
      <alignment horizontal="center" vertical="center"/>
    </xf>
    <xf numFmtId="0" fontId="46" fillId="0" borderId="10" xfId="0" applyFont="1" applyBorder="1" applyAlignment="1">
      <alignment horizontal="center" vertical="center"/>
    </xf>
    <xf numFmtId="0" fontId="46" fillId="13" borderId="107" xfId="0" applyFont="1" applyFill="1" applyBorder="1" applyAlignment="1">
      <alignment horizontal="center" vertical="center"/>
    </xf>
    <xf numFmtId="0" fontId="46" fillId="3" borderId="109" xfId="0" applyFont="1" applyFill="1" applyBorder="1" applyAlignment="1">
      <alignment horizontal="center" vertical="center"/>
    </xf>
    <xf numFmtId="169" fontId="46" fillId="3" borderId="109" xfId="0" applyNumberFormat="1" applyFont="1" applyFill="1" applyBorder="1" applyAlignment="1">
      <alignment horizontal="center" vertical="center"/>
    </xf>
    <xf numFmtId="0" fontId="45" fillId="0" borderId="107" xfId="0" applyFont="1" applyBorder="1" applyAlignment="1">
      <alignment horizontal="center" vertical="center"/>
    </xf>
    <xf numFmtId="0" fontId="45" fillId="0" borderId="109" xfId="0" applyFont="1" applyBorder="1" applyAlignment="1">
      <alignment horizontal="center" vertical="center"/>
    </xf>
    <xf numFmtId="169" fontId="46" fillId="0" borderId="109" xfId="0" applyNumberFormat="1" applyFont="1" applyBorder="1" applyAlignment="1">
      <alignment horizontal="center" vertical="center"/>
    </xf>
    <xf numFmtId="0" fontId="45" fillId="10" borderId="107" xfId="0" applyFont="1" applyFill="1" applyBorder="1" applyAlignment="1">
      <alignment horizontal="center" vertical="center"/>
    </xf>
    <xf numFmtId="0" fontId="46" fillId="0" borderId="109" xfId="0" applyFont="1" applyBorder="1" applyAlignment="1">
      <alignment horizontal="center" vertical="center"/>
    </xf>
    <xf numFmtId="0" fontId="0" fillId="3" borderId="110" xfId="0" applyFill="1" applyBorder="1"/>
    <xf numFmtId="0" fontId="21" fillId="3" borderId="110" xfId="0" applyFont="1" applyFill="1" applyBorder="1" applyAlignment="1">
      <alignment horizontal="center" vertical="center"/>
    </xf>
    <xf numFmtId="0" fontId="12" fillId="3" borderId="110" xfId="0" applyFont="1" applyFill="1" applyBorder="1" applyAlignment="1">
      <alignment horizontal="center" vertical="center"/>
    </xf>
    <xf numFmtId="0" fontId="0" fillId="0" borderId="110" xfId="0" applyBorder="1"/>
    <xf numFmtId="0" fontId="12" fillId="0" borderId="110" xfId="0" applyFont="1" applyBorder="1" applyAlignment="1">
      <alignment horizontal="center" vertical="center"/>
    </xf>
    <xf numFmtId="0" fontId="3" fillId="0" borderId="110" xfId="0" applyFont="1" applyBorder="1" applyAlignment="1">
      <alignment horizontal="center" vertical="center"/>
    </xf>
    <xf numFmtId="0" fontId="21" fillId="0" borderId="110" xfId="0" applyFont="1" applyBorder="1" applyAlignment="1">
      <alignment horizontal="center" vertical="center"/>
    </xf>
    <xf numFmtId="0" fontId="19" fillId="0" borderId="110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12" fillId="3" borderId="14" xfId="0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69" fontId="45" fillId="0" borderId="109" xfId="0" applyNumberFormat="1" applyFont="1" applyBorder="1" applyAlignment="1">
      <alignment horizontal="center" vertical="center"/>
    </xf>
    <xf numFmtId="0" fontId="17" fillId="0" borderId="99" xfId="0" applyFont="1" applyBorder="1"/>
    <xf numFmtId="0" fontId="46" fillId="12" borderId="17" xfId="0" applyFont="1" applyFill="1" applyBorder="1" applyAlignment="1">
      <alignment horizontal="center" vertical="center"/>
    </xf>
    <xf numFmtId="0" fontId="46" fillId="12" borderId="0" xfId="0" applyFont="1" applyFill="1" applyAlignment="1">
      <alignment horizontal="center"/>
    </xf>
    <xf numFmtId="0" fontId="45" fillId="12" borderId="17" xfId="0" applyFont="1" applyFill="1" applyBorder="1" applyAlignment="1">
      <alignment horizontal="center" vertical="center"/>
    </xf>
    <xf numFmtId="0" fontId="45" fillId="12" borderId="84" xfId="0" applyFont="1" applyFill="1" applyBorder="1"/>
    <xf numFmtId="20" fontId="46" fillId="12" borderId="17" xfId="0" applyNumberFormat="1" applyFont="1" applyFill="1" applyBorder="1" applyAlignment="1">
      <alignment horizontal="center" vertical="center"/>
    </xf>
    <xf numFmtId="0" fontId="46" fillId="12" borderId="0" xfId="0" applyFont="1" applyFill="1" applyAlignment="1">
      <alignment horizontal="center" vertical="center"/>
    </xf>
    <xf numFmtId="0" fontId="46" fillId="12" borderId="9" xfId="0" applyFont="1" applyFill="1" applyBorder="1" applyAlignment="1">
      <alignment horizontal="center" vertical="center"/>
    </xf>
    <xf numFmtId="169" fontId="21" fillId="0" borderId="109" xfId="0" applyNumberFormat="1" applyFont="1" applyBorder="1" applyAlignment="1">
      <alignment horizontal="center" vertical="center"/>
    </xf>
    <xf numFmtId="0" fontId="0" fillId="8" borderId="9" xfId="0" applyFill="1" applyBorder="1" applyAlignment="1" applyProtection="1">
      <alignment horizontal="center" vertical="center"/>
      <protection hidden="1"/>
    </xf>
    <xf numFmtId="0" fontId="0" fillId="0" borderId="84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109" xfId="0" applyBorder="1" applyAlignment="1">
      <alignment horizontal="center" vertical="center"/>
    </xf>
    <xf numFmtId="169" fontId="15" fillId="15" borderId="92" xfId="0" applyNumberFormat="1" applyFont="1" applyFill="1" applyBorder="1" applyAlignment="1">
      <alignment horizontal="center" vertical="center"/>
    </xf>
    <xf numFmtId="169" fontId="15" fillId="15" borderId="84" xfId="0" applyNumberFormat="1" applyFont="1" applyFill="1" applyBorder="1" applyAlignment="1">
      <alignment horizontal="center" vertical="center"/>
    </xf>
    <xf numFmtId="169" fontId="15" fillId="15" borderId="87" xfId="0" applyNumberFormat="1" applyFont="1" applyFill="1" applyBorder="1" applyAlignment="1">
      <alignment horizontal="center" vertical="center"/>
    </xf>
    <xf numFmtId="169" fontId="15" fillId="15" borderId="93" xfId="0" applyNumberFormat="1" applyFont="1" applyFill="1" applyBorder="1" applyAlignment="1">
      <alignment horizontal="center" vertical="center"/>
    </xf>
    <xf numFmtId="169" fontId="15" fillId="15" borderId="89" xfId="0" applyNumberFormat="1" applyFont="1" applyFill="1" applyBorder="1" applyAlignment="1">
      <alignment horizontal="center" vertical="center"/>
    </xf>
    <xf numFmtId="169" fontId="21" fillId="0" borderId="106" xfId="0" applyNumberFormat="1" applyFont="1" applyBorder="1" applyAlignment="1">
      <alignment horizontal="center" vertical="center"/>
    </xf>
    <xf numFmtId="0" fontId="67" fillId="0" borderId="13" xfId="0" applyFont="1" applyBorder="1" applyAlignment="1">
      <alignment vertical="center" wrapText="1"/>
    </xf>
    <xf numFmtId="0" fontId="67" fillId="0" borderId="88" xfId="0" applyFont="1" applyBorder="1" applyAlignment="1">
      <alignment vertical="center" wrapText="1"/>
    </xf>
    <xf numFmtId="0" fontId="27" fillId="0" borderId="0" xfId="0" applyFont="1"/>
    <xf numFmtId="0" fontId="0" fillId="0" borderId="42" xfId="0" applyBorder="1"/>
    <xf numFmtId="0" fontId="0" fillId="0" borderId="23" xfId="0" applyBorder="1"/>
    <xf numFmtId="0" fontId="0" fillId="0" borderId="82" xfId="0" applyBorder="1"/>
    <xf numFmtId="0" fontId="4" fillId="3" borderId="82" xfId="0" applyFont="1" applyFill="1" applyBorder="1"/>
    <xf numFmtId="0" fontId="34" fillId="13" borderId="82" xfId="0" applyFont="1" applyFill="1" applyBorder="1" applyAlignment="1">
      <alignment vertical="center"/>
    </xf>
    <xf numFmtId="0" fontId="0" fillId="3" borderId="82" xfId="0" applyFill="1" applyBorder="1"/>
    <xf numFmtId="0" fontId="19" fillId="0" borderId="82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32" fillId="13" borderId="82" xfId="0" applyFont="1" applyFill="1" applyBorder="1" applyAlignment="1">
      <alignment vertical="center"/>
    </xf>
    <xf numFmtId="0" fontId="32" fillId="12" borderId="82" xfId="0" applyFont="1" applyFill="1" applyBorder="1" applyAlignment="1">
      <alignment horizontal="left" vertical="center"/>
    </xf>
    <xf numFmtId="0" fontId="32" fillId="0" borderId="82" xfId="0" applyFont="1" applyBorder="1" applyAlignment="1">
      <alignment horizontal="left" vertical="center"/>
    </xf>
    <xf numFmtId="0" fontId="4" fillId="0" borderId="82" xfId="0" applyFont="1" applyBorder="1"/>
    <xf numFmtId="0" fontId="35" fillId="13" borderId="82" xfId="0" applyFont="1" applyFill="1" applyBorder="1" applyAlignment="1">
      <alignment horizontal="center" vertical="center"/>
    </xf>
    <xf numFmtId="0" fontId="35" fillId="3" borderId="82" xfId="0" applyFont="1" applyFill="1" applyBorder="1" applyAlignment="1">
      <alignment horizontal="center" vertical="center"/>
    </xf>
    <xf numFmtId="0" fontId="21" fillId="3" borderId="82" xfId="0" applyFont="1" applyFill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19" fillId="13" borderId="82" xfId="0" applyFont="1" applyFill="1" applyBorder="1" applyAlignment="1">
      <alignment horizontal="center" vertical="center"/>
    </xf>
    <xf numFmtId="0" fontId="32" fillId="0" borderId="82" xfId="0" applyFont="1" applyBorder="1" applyAlignment="1">
      <alignment vertical="center"/>
    </xf>
    <xf numFmtId="0" fontId="21" fillId="0" borderId="82" xfId="0" applyFont="1" applyBorder="1" applyAlignment="1">
      <alignment horizontal="center" vertical="center"/>
    </xf>
    <xf numFmtId="0" fontId="19" fillId="3" borderId="82" xfId="0" applyFont="1" applyFill="1" applyBorder="1" applyAlignment="1">
      <alignment horizontal="center" vertical="center"/>
    </xf>
    <xf numFmtId="0" fontId="3" fillId="3" borderId="82" xfId="0" applyFont="1" applyFill="1" applyBorder="1" applyAlignment="1">
      <alignment horizontal="center" vertical="center"/>
    </xf>
    <xf numFmtId="49" fontId="42" fillId="2" borderId="26" xfId="0" applyNumberFormat="1" applyFont="1" applyFill="1" applyBorder="1" applyAlignment="1">
      <alignment horizontal="center" vertical="center"/>
    </xf>
    <xf numFmtId="0" fontId="0" fillId="0" borderId="43" xfId="0" applyBorder="1"/>
    <xf numFmtId="0" fontId="0" fillId="0" borderId="61" xfId="0" applyBorder="1"/>
    <xf numFmtId="0" fontId="0" fillId="0" borderId="126" xfId="0" applyBorder="1"/>
    <xf numFmtId="0" fontId="12" fillId="3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2" fillId="12" borderId="61" xfId="0" applyFont="1" applyFill="1" applyBorder="1" applyAlignment="1">
      <alignment horizontal="left" vertical="center"/>
    </xf>
    <xf numFmtId="0" fontId="32" fillId="12" borderId="43" xfId="0" applyFont="1" applyFill="1" applyBorder="1" applyAlignment="1">
      <alignment horizontal="left" vertical="center"/>
    </xf>
    <xf numFmtId="0" fontId="0" fillId="0" borderId="127" xfId="0" applyBorder="1"/>
    <xf numFmtId="0" fontId="56" fillId="12" borderId="0" xfId="0" applyFont="1" applyFill="1" applyAlignment="1">
      <alignment horizontal="left" vertical="center"/>
    </xf>
    <xf numFmtId="2" fontId="21" fillId="0" borderId="118" xfId="0" applyNumberFormat="1" applyFont="1" applyBorder="1" applyAlignment="1">
      <alignment horizontal="center" vertical="center"/>
    </xf>
    <xf numFmtId="2" fontId="22" fillId="0" borderId="109" xfId="0" applyNumberFormat="1" applyFont="1" applyBorder="1" applyAlignment="1">
      <alignment horizontal="center" vertical="center"/>
    </xf>
    <xf numFmtId="0" fontId="41" fillId="3" borderId="109" xfId="0" applyFont="1" applyFill="1" applyBorder="1" applyAlignment="1">
      <alignment horizontal="center" vertical="center"/>
    </xf>
    <xf numFmtId="0" fontId="66" fillId="0" borderId="84" xfId="0" applyFont="1" applyBorder="1"/>
    <xf numFmtId="0" fontId="65" fillId="0" borderId="84" xfId="0" applyFont="1" applyBorder="1"/>
    <xf numFmtId="0" fontId="46" fillId="12" borderId="107" xfId="0" applyFont="1" applyFill="1" applyBorder="1" applyAlignment="1">
      <alignment horizontal="center" vertical="center"/>
    </xf>
    <xf numFmtId="0" fontId="37" fillId="0" borderId="0" xfId="0" applyFont="1" applyAlignment="1">
      <alignment wrapText="1" shrinkToFit="1"/>
    </xf>
    <xf numFmtId="0" fontId="40" fillId="0" borderId="81" xfId="0" applyFont="1" applyBorder="1" applyAlignment="1">
      <alignment vertical="center" wrapText="1" shrinkToFit="1"/>
    </xf>
    <xf numFmtId="49" fontId="40" fillId="0" borderId="80" xfId="0" applyNumberFormat="1" applyFont="1" applyBorder="1" applyAlignment="1">
      <alignment vertical="center" wrapText="1" shrinkToFit="1"/>
    </xf>
    <xf numFmtId="0" fontId="40" fillId="17" borderId="133" xfId="0" applyFont="1" applyFill="1" applyBorder="1" applyAlignment="1">
      <alignment horizontal="right" vertical="center" wrapText="1" shrinkToFit="1"/>
    </xf>
    <xf numFmtId="0" fontId="40" fillId="0" borderId="134" xfId="0" applyFont="1" applyBorder="1" applyAlignment="1">
      <alignment vertical="center" wrapText="1" shrinkToFit="1"/>
    </xf>
    <xf numFmtId="0" fontId="40" fillId="0" borderId="135" xfId="0" applyFont="1" applyBorder="1" applyAlignment="1">
      <alignment vertical="center" wrapText="1" shrinkToFit="1"/>
    </xf>
    <xf numFmtId="0" fontId="40" fillId="0" borderId="136" xfId="0" applyFont="1" applyBorder="1" applyAlignment="1">
      <alignment vertical="center" wrapText="1" shrinkToFit="1"/>
    </xf>
    <xf numFmtId="0" fontId="16" fillId="0" borderId="11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8" fillId="0" borderId="85" xfId="0" applyFont="1" applyBorder="1" applyAlignment="1">
      <alignment horizontal="center" vertical="center" wrapText="1"/>
    </xf>
    <xf numFmtId="0" fontId="28" fillId="0" borderId="86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8" fillId="0" borderId="83" xfId="0" applyFont="1" applyBorder="1" applyAlignment="1">
      <alignment horizontal="center" vertical="center" wrapText="1"/>
    </xf>
    <xf numFmtId="0" fontId="16" fillId="0" borderId="106" xfId="0" applyFont="1" applyBorder="1" applyAlignment="1">
      <alignment horizontal="center" vertical="center"/>
    </xf>
    <xf numFmtId="172" fontId="16" fillId="0" borderId="125" xfId="45" applyNumberFormat="1" applyFont="1" applyBorder="1" applyAlignment="1">
      <alignment horizontal="center" vertical="center"/>
    </xf>
    <xf numFmtId="172" fontId="16" fillId="0" borderId="110" xfId="45" applyNumberFormat="1" applyFont="1" applyBorder="1" applyAlignment="1">
      <alignment horizontal="center" vertical="center"/>
    </xf>
    <xf numFmtId="172" fontId="16" fillId="0" borderId="4" xfId="45" applyNumberFormat="1" applyFont="1" applyBorder="1" applyAlignment="1">
      <alignment horizontal="center" vertical="center"/>
    </xf>
    <xf numFmtId="172" fontId="16" fillId="0" borderId="82" xfId="45" applyNumberFormat="1" applyFont="1" applyBorder="1" applyAlignment="1">
      <alignment horizontal="center" vertical="center"/>
    </xf>
    <xf numFmtId="168" fontId="16" fillId="0" borderId="125" xfId="0" applyNumberFormat="1" applyFont="1" applyBorder="1" applyAlignment="1">
      <alignment horizontal="center" vertical="center"/>
    </xf>
    <xf numFmtId="168" fontId="16" fillId="0" borderId="110" xfId="0" applyNumberFormat="1" applyFont="1" applyBorder="1" applyAlignment="1">
      <alignment horizontal="center" vertical="center"/>
    </xf>
    <xf numFmtId="168" fontId="16" fillId="0" borderId="119" xfId="0" applyNumberFormat="1" applyFont="1" applyBorder="1" applyAlignment="1">
      <alignment horizontal="center" vertical="center"/>
    </xf>
    <xf numFmtId="168" fontId="16" fillId="0" borderId="4" xfId="0" applyNumberFormat="1" applyFont="1" applyBorder="1" applyAlignment="1">
      <alignment horizontal="center" vertical="center"/>
    </xf>
    <xf numFmtId="168" fontId="16" fillId="0" borderId="82" xfId="0" applyNumberFormat="1" applyFont="1" applyBorder="1" applyAlignment="1">
      <alignment horizontal="center" vertical="center"/>
    </xf>
    <xf numFmtId="168" fontId="16" fillId="0" borderId="83" xfId="0" applyNumberFormat="1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 wrapText="1"/>
    </xf>
    <xf numFmtId="0" fontId="28" fillId="0" borderId="74" xfId="0" applyFont="1" applyBorder="1" applyAlignment="1">
      <alignment horizontal="center" vertical="center" wrapText="1"/>
    </xf>
    <xf numFmtId="0" fontId="28" fillId="0" borderId="77" xfId="0" applyFont="1" applyBorder="1" applyAlignment="1">
      <alignment horizontal="center" vertical="center" wrapText="1"/>
    </xf>
    <xf numFmtId="171" fontId="16" fillId="0" borderId="2" xfId="45" applyNumberFormat="1" applyFont="1" applyBorder="1" applyAlignment="1">
      <alignment horizontal="center" vertical="center"/>
    </xf>
    <xf numFmtId="171" fontId="16" fillId="0" borderId="74" xfId="45" applyNumberFormat="1" applyFont="1" applyBorder="1" applyAlignment="1">
      <alignment horizontal="center" vertical="center"/>
    </xf>
    <xf numFmtId="171" fontId="16" fillId="0" borderId="4" xfId="45" applyNumberFormat="1" applyFont="1" applyBorder="1" applyAlignment="1">
      <alignment horizontal="center" vertical="center"/>
    </xf>
    <xf numFmtId="171" fontId="16" fillId="0" borderId="79" xfId="45" applyNumberFormat="1" applyFont="1" applyBorder="1" applyAlignment="1">
      <alignment horizontal="center" vertical="center"/>
    </xf>
    <xf numFmtId="168" fontId="16" fillId="0" borderId="2" xfId="0" applyNumberFormat="1" applyFont="1" applyBorder="1" applyAlignment="1">
      <alignment horizontal="center" vertical="center"/>
    </xf>
    <xf numFmtId="168" fontId="16" fillId="0" borderId="74" xfId="0" applyNumberFormat="1" applyFont="1" applyBorder="1" applyAlignment="1">
      <alignment horizontal="center" vertical="center"/>
    </xf>
    <xf numFmtId="168" fontId="16" fillId="0" borderId="77" xfId="0" applyNumberFormat="1" applyFont="1" applyBorder="1" applyAlignment="1">
      <alignment horizontal="center" vertical="center"/>
    </xf>
    <xf numFmtId="168" fontId="16" fillId="0" borderId="79" xfId="0" applyNumberFormat="1" applyFont="1" applyBorder="1" applyAlignment="1">
      <alignment horizontal="center" vertical="center"/>
    </xf>
    <xf numFmtId="168" fontId="16" fillId="0" borderId="5" xfId="0" applyNumberFormat="1" applyFont="1" applyBorder="1" applyAlignment="1">
      <alignment horizontal="center" vertical="center"/>
    </xf>
    <xf numFmtId="0" fontId="16" fillId="0" borderId="125" xfId="45" applyNumberFormat="1" applyFont="1" applyBorder="1" applyAlignment="1">
      <alignment horizontal="center" vertical="center"/>
    </xf>
    <xf numFmtId="0" fontId="16" fillId="0" borderId="110" xfId="45" applyNumberFormat="1" applyFont="1" applyBorder="1" applyAlignment="1">
      <alignment horizontal="center" vertical="center"/>
    </xf>
    <xf numFmtId="0" fontId="16" fillId="0" borderId="119" xfId="45" applyNumberFormat="1" applyFont="1" applyBorder="1" applyAlignment="1">
      <alignment horizontal="center" vertical="center"/>
    </xf>
    <xf numFmtId="0" fontId="16" fillId="0" borderId="4" xfId="45" applyNumberFormat="1" applyFont="1" applyBorder="1" applyAlignment="1">
      <alignment horizontal="center" vertical="center"/>
    </xf>
    <xf numFmtId="0" fontId="16" fillId="0" borderId="82" xfId="45" applyNumberFormat="1" applyFont="1" applyBorder="1" applyAlignment="1">
      <alignment horizontal="center" vertical="center"/>
    </xf>
    <xf numFmtId="0" fontId="16" fillId="0" borderId="83" xfId="45" applyNumberFormat="1" applyFont="1" applyBorder="1" applyAlignment="1">
      <alignment horizontal="center" vertical="center"/>
    </xf>
    <xf numFmtId="172" fontId="16" fillId="0" borderId="119" xfId="45" applyNumberFormat="1" applyFont="1" applyBorder="1" applyAlignment="1">
      <alignment horizontal="center" vertical="center"/>
    </xf>
    <xf numFmtId="172" fontId="16" fillId="0" borderId="83" xfId="45" applyNumberFormat="1" applyFont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0" fontId="16" fillId="14" borderId="10" xfId="0" applyFont="1" applyFill="1" applyBorder="1" applyAlignment="1">
      <alignment horizontal="center" vertical="center"/>
    </xf>
    <xf numFmtId="171" fontId="16" fillId="0" borderId="125" xfId="0" applyNumberFormat="1" applyFont="1" applyBorder="1" applyAlignment="1">
      <alignment horizontal="center" vertical="center"/>
    </xf>
    <xf numFmtId="171" fontId="16" fillId="0" borderId="110" xfId="0" applyNumberFormat="1" applyFont="1" applyBorder="1" applyAlignment="1">
      <alignment horizontal="center" vertical="center"/>
    </xf>
    <xf numFmtId="171" fontId="16" fillId="0" borderId="119" xfId="0" applyNumberFormat="1" applyFont="1" applyBorder="1" applyAlignment="1">
      <alignment horizontal="center" vertical="center"/>
    </xf>
    <xf numFmtId="171" fontId="16" fillId="0" borderId="4" xfId="0" applyNumberFormat="1" applyFont="1" applyBorder="1" applyAlignment="1">
      <alignment horizontal="center" vertical="center"/>
    </xf>
    <xf numFmtId="171" fontId="16" fillId="0" borderId="82" xfId="0" applyNumberFormat="1" applyFont="1" applyBorder="1" applyAlignment="1">
      <alignment horizontal="center" vertical="center"/>
    </xf>
    <xf numFmtId="171" fontId="16" fillId="0" borderId="83" xfId="0" applyNumberFormat="1" applyFont="1" applyBorder="1" applyAlignment="1">
      <alignment horizontal="center" vertical="center"/>
    </xf>
    <xf numFmtId="171" fontId="16" fillId="14" borderId="2" xfId="0" applyNumberFormat="1" applyFont="1" applyFill="1" applyBorder="1" applyAlignment="1">
      <alignment horizontal="center" vertical="center"/>
    </xf>
    <xf numFmtId="171" fontId="16" fillId="14" borderId="74" xfId="0" applyNumberFormat="1" applyFont="1" applyFill="1" applyBorder="1" applyAlignment="1">
      <alignment horizontal="center" vertical="center"/>
    </xf>
    <xf numFmtId="171" fontId="16" fillId="14" borderId="4" xfId="0" applyNumberFormat="1" applyFont="1" applyFill="1" applyBorder="1" applyAlignment="1">
      <alignment horizontal="center" vertical="center"/>
    </xf>
    <xf numFmtId="171" fontId="16" fillId="14" borderId="79" xfId="0" applyNumberFormat="1" applyFont="1" applyFill="1" applyBorder="1" applyAlignment="1">
      <alignment horizontal="center" vertical="center"/>
    </xf>
    <xf numFmtId="171" fontId="16" fillId="14" borderId="77" xfId="0" applyNumberFormat="1" applyFont="1" applyFill="1" applyBorder="1" applyAlignment="1">
      <alignment horizontal="center" vertical="center"/>
    </xf>
    <xf numFmtId="171" fontId="16" fillId="14" borderId="5" xfId="0" applyNumberFormat="1" applyFont="1" applyFill="1" applyBorder="1" applyAlignment="1">
      <alignment horizontal="center" vertical="center"/>
    </xf>
    <xf numFmtId="171" fontId="16" fillId="0" borderId="2" xfId="0" applyNumberFormat="1" applyFont="1" applyBorder="1" applyAlignment="1">
      <alignment horizontal="center" vertical="center"/>
    </xf>
    <xf numFmtId="171" fontId="16" fillId="0" borderId="74" xfId="0" applyNumberFormat="1" applyFont="1" applyBorder="1" applyAlignment="1">
      <alignment horizontal="center" vertical="center"/>
    </xf>
    <xf numFmtId="171" fontId="16" fillId="0" borderId="79" xfId="0" applyNumberFormat="1" applyFont="1" applyBorder="1" applyAlignment="1">
      <alignment horizontal="center" vertical="center"/>
    </xf>
    <xf numFmtId="0" fontId="16" fillId="14" borderId="6" xfId="0" applyFont="1" applyFill="1" applyBorder="1" applyAlignment="1">
      <alignment horizontal="center" vertical="center"/>
    </xf>
    <xf numFmtId="0" fontId="16" fillId="14" borderId="75" xfId="0" applyFont="1" applyFill="1" applyBorder="1" applyAlignment="1">
      <alignment horizontal="center" vertical="center"/>
    </xf>
    <xf numFmtId="0" fontId="16" fillId="14" borderId="76" xfId="0" applyFont="1" applyFill="1" applyBorder="1" applyAlignment="1">
      <alignment horizontal="center" vertical="center"/>
    </xf>
    <xf numFmtId="1" fontId="16" fillId="0" borderId="125" xfId="0" applyNumberFormat="1" applyFont="1" applyBorder="1" applyAlignment="1">
      <alignment horizontal="center" vertical="center"/>
    </xf>
    <xf numFmtId="1" fontId="16" fillId="0" borderId="110" xfId="0" applyNumberFormat="1" applyFont="1" applyBorder="1" applyAlignment="1">
      <alignment horizontal="center" vertical="center"/>
    </xf>
    <xf numFmtId="1" fontId="16" fillId="0" borderId="119" xfId="0" applyNumberFormat="1" applyFont="1" applyBorder="1" applyAlignment="1">
      <alignment horizontal="center" vertical="center"/>
    </xf>
    <xf numFmtId="1" fontId="16" fillId="0" borderId="4" xfId="0" applyNumberFormat="1" applyFont="1" applyBorder="1" applyAlignment="1">
      <alignment horizontal="center" vertical="center"/>
    </xf>
    <xf numFmtId="1" fontId="16" fillId="0" borderId="82" xfId="0" applyNumberFormat="1" applyFont="1" applyBorder="1" applyAlignment="1">
      <alignment horizontal="center" vertical="center"/>
    </xf>
    <xf numFmtId="1" fontId="16" fillId="0" borderId="83" xfId="0" applyNumberFormat="1" applyFont="1" applyBorder="1" applyAlignment="1">
      <alignment horizontal="center" vertical="center"/>
    </xf>
    <xf numFmtId="0" fontId="16" fillId="0" borderId="125" xfId="0" applyFont="1" applyBorder="1" applyAlignment="1">
      <alignment horizontal="center" vertical="center"/>
    </xf>
    <xf numFmtId="0" fontId="16" fillId="0" borderId="110" xfId="0" applyFont="1" applyBorder="1" applyAlignment="1">
      <alignment horizontal="center" vertical="center"/>
    </xf>
    <xf numFmtId="0" fontId="16" fillId="0" borderId="119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82" xfId="0" applyFont="1" applyBorder="1" applyAlignment="1">
      <alignment horizontal="center" vertical="center"/>
    </xf>
    <xf numFmtId="0" fontId="16" fillId="0" borderId="83" xfId="0" applyFont="1" applyBorder="1" applyAlignment="1">
      <alignment horizontal="center" vertical="center"/>
    </xf>
    <xf numFmtId="1" fontId="53" fillId="0" borderId="9" xfId="0" applyNumberFormat="1" applyFont="1" applyBorder="1" applyAlignment="1">
      <alignment horizontal="center" vertical="center"/>
    </xf>
    <xf numFmtId="1" fontId="21" fillId="0" borderId="32" xfId="0" applyNumberFormat="1" applyFont="1" applyBorder="1" applyAlignment="1">
      <alignment horizontal="center" vertical="center"/>
    </xf>
    <xf numFmtId="1" fontId="21" fillId="0" borderId="91" xfId="0" applyNumberFormat="1" applyFont="1" applyBorder="1" applyAlignment="1">
      <alignment horizontal="center" vertical="center"/>
    </xf>
    <xf numFmtId="1" fontId="21" fillId="0" borderId="33" xfId="0" applyNumberFormat="1" applyFont="1" applyBorder="1" applyAlignment="1">
      <alignment horizontal="center" vertical="center"/>
    </xf>
    <xf numFmtId="0" fontId="29" fillId="7" borderId="87" xfId="0" applyFont="1" applyFill="1" applyBorder="1" applyAlignment="1">
      <alignment horizontal="center" vertical="center"/>
    </xf>
    <xf numFmtId="0" fontId="29" fillId="7" borderId="88" xfId="0" applyFont="1" applyFill="1" applyBorder="1" applyAlignment="1">
      <alignment horizontal="center" vertical="center"/>
    </xf>
    <xf numFmtId="0" fontId="29" fillId="7" borderId="89" xfId="0" applyFont="1" applyFill="1" applyBorder="1" applyAlignment="1">
      <alignment horizontal="center" vertical="center"/>
    </xf>
    <xf numFmtId="1" fontId="53" fillId="0" borderId="87" xfId="0" applyNumberFormat="1" applyFont="1" applyBorder="1" applyAlignment="1">
      <alignment horizontal="center" vertical="center"/>
    </xf>
    <xf numFmtId="1" fontId="53" fillId="0" borderId="89" xfId="0" applyNumberFormat="1" applyFont="1" applyBorder="1" applyAlignment="1">
      <alignment horizontal="center" vertical="center"/>
    </xf>
    <xf numFmtId="0" fontId="43" fillId="0" borderId="125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0" fontId="29" fillId="0" borderId="100" xfId="0" applyFont="1" applyBorder="1" applyAlignment="1">
      <alignment horizontal="center" vertical="center"/>
    </xf>
    <xf numFmtId="0" fontId="29" fillId="0" borderId="45" xfId="0" applyFont="1" applyBorder="1" applyAlignment="1">
      <alignment horizontal="center" vertical="center"/>
    </xf>
    <xf numFmtId="1" fontId="21" fillId="0" borderId="87" xfId="0" applyNumberFormat="1" applyFont="1" applyBorder="1" applyAlignment="1">
      <alignment horizontal="center" vertical="center"/>
    </xf>
    <xf numFmtId="1" fontId="21" fillId="0" borderId="88" xfId="0" applyNumberFormat="1" applyFont="1" applyBorder="1" applyAlignment="1">
      <alignment horizontal="center" vertical="center"/>
    </xf>
    <xf numFmtId="1" fontId="21" fillId="0" borderId="89" xfId="0" applyNumberFormat="1" applyFont="1" applyBorder="1" applyAlignment="1">
      <alignment horizontal="center" vertical="center"/>
    </xf>
    <xf numFmtId="1" fontId="21" fillId="3" borderId="87" xfId="0" applyNumberFormat="1" applyFont="1" applyFill="1" applyBorder="1" applyAlignment="1">
      <alignment horizontal="center" vertical="center"/>
    </xf>
    <xf numFmtId="1" fontId="21" fillId="3" borderId="88" xfId="0" applyNumberFormat="1" applyFont="1" applyFill="1" applyBorder="1" applyAlignment="1">
      <alignment horizontal="center" vertical="center"/>
    </xf>
    <xf numFmtId="1" fontId="21" fillId="3" borderId="89" xfId="0" applyNumberFormat="1" applyFont="1" applyFill="1" applyBorder="1" applyAlignment="1">
      <alignment horizontal="center" vertical="center"/>
    </xf>
    <xf numFmtId="2" fontId="53" fillId="0" borderId="9" xfId="0" applyNumberFormat="1" applyFont="1" applyBorder="1" applyAlignment="1">
      <alignment horizontal="center" vertical="center"/>
    </xf>
    <xf numFmtId="2" fontId="22" fillId="0" borderId="9" xfId="0" applyNumberFormat="1" applyFont="1" applyBorder="1" applyAlignment="1">
      <alignment horizontal="center" vertical="center"/>
    </xf>
    <xf numFmtId="0" fontId="32" fillId="5" borderId="15" xfId="0" applyFont="1" applyFill="1" applyBorder="1" applyAlignment="1">
      <alignment horizontal="center" vertical="center" textRotation="90"/>
    </xf>
    <xf numFmtId="0" fontId="32" fillId="5" borderId="9" xfId="0" applyFont="1" applyFill="1" applyBorder="1" applyAlignment="1">
      <alignment horizontal="center" vertical="center" textRotation="90"/>
    </xf>
    <xf numFmtId="0" fontId="29" fillId="3" borderId="17" xfId="0" applyFont="1" applyFill="1" applyBorder="1" applyAlignment="1">
      <alignment horizontal="center" vertical="center"/>
    </xf>
    <xf numFmtId="0" fontId="29" fillId="3" borderId="9" xfId="0" applyFont="1" applyFill="1" applyBorder="1" applyAlignment="1">
      <alignment horizontal="center" vertical="center"/>
    </xf>
    <xf numFmtId="167" fontId="29" fillId="3" borderId="66" xfId="0" applyNumberFormat="1" applyFont="1" applyFill="1" applyBorder="1" applyAlignment="1">
      <alignment horizontal="center" vertical="center"/>
    </xf>
    <xf numFmtId="167" fontId="29" fillId="3" borderId="1" xfId="0" applyNumberFormat="1" applyFont="1" applyFill="1" applyBorder="1" applyAlignment="1">
      <alignment horizontal="center" vertical="center"/>
    </xf>
    <xf numFmtId="167" fontId="29" fillId="3" borderId="7" xfId="0" applyNumberFormat="1" applyFont="1" applyFill="1" applyBorder="1" applyAlignment="1">
      <alignment horizontal="center" vertical="center"/>
    </xf>
    <xf numFmtId="0" fontId="29" fillId="7" borderId="9" xfId="0" applyFont="1" applyFill="1" applyBorder="1" applyAlignment="1">
      <alignment horizontal="center" vertical="center"/>
    </xf>
    <xf numFmtId="1" fontId="21" fillId="0" borderId="31" xfId="0" applyNumberFormat="1" applyFont="1" applyBorder="1" applyAlignment="1">
      <alignment horizontal="center" vertical="center"/>
    </xf>
    <xf numFmtId="2" fontId="22" fillId="0" borderId="87" xfId="0" applyNumberFormat="1" applyFont="1" applyBorder="1" applyAlignment="1">
      <alignment horizontal="center" vertical="center"/>
    </xf>
    <xf numFmtId="2" fontId="22" fillId="0" borderId="88" xfId="0" applyNumberFormat="1" applyFont="1" applyBorder="1" applyAlignment="1">
      <alignment horizontal="center" vertical="center"/>
    </xf>
    <xf numFmtId="2" fontId="22" fillId="0" borderId="89" xfId="0" applyNumberFormat="1" applyFont="1" applyBorder="1" applyAlignment="1">
      <alignment horizontal="center" vertical="center"/>
    </xf>
    <xf numFmtId="0" fontId="29" fillId="7" borderId="6" xfId="0" applyFont="1" applyFill="1" applyBorder="1" applyAlignment="1">
      <alignment horizontal="center" vertical="center"/>
    </xf>
    <xf numFmtId="0" fontId="29" fillId="7" borderId="75" xfId="0" applyFont="1" applyFill="1" applyBorder="1" applyAlignment="1">
      <alignment horizontal="center" vertical="center"/>
    </xf>
    <xf numFmtId="0" fontId="29" fillId="7" borderId="76" xfId="0" applyFont="1" applyFill="1" applyBorder="1" applyAlignment="1">
      <alignment horizontal="center" vertical="center"/>
    </xf>
    <xf numFmtId="1" fontId="21" fillId="0" borderId="70" xfId="0" applyNumberFormat="1" applyFont="1" applyBorder="1" applyAlignment="1">
      <alignment horizontal="center" vertical="center"/>
    </xf>
    <xf numFmtId="0" fontId="32" fillId="5" borderId="10" xfId="0" applyFont="1" applyFill="1" applyBorder="1" applyAlignment="1">
      <alignment horizontal="center" vertical="center" textRotation="90"/>
    </xf>
    <xf numFmtId="0" fontId="32" fillId="5" borderId="11" xfId="0" applyFont="1" applyFill="1" applyBorder="1" applyAlignment="1">
      <alignment horizontal="center" vertical="center" textRotation="90"/>
    </xf>
    <xf numFmtId="0" fontId="32" fillId="5" borderId="12" xfId="0" applyFont="1" applyFill="1" applyBorder="1" applyAlignment="1">
      <alignment horizontal="center" vertical="center" textRotation="90"/>
    </xf>
    <xf numFmtId="1" fontId="20" fillId="3" borderId="9" xfId="0" applyNumberFormat="1" applyFont="1" applyFill="1" applyBorder="1" applyAlignment="1">
      <alignment horizontal="center" vertical="center"/>
    </xf>
    <xf numFmtId="1" fontId="20" fillId="0" borderId="6" xfId="0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center"/>
    </xf>
    <xf numFmtId="1" fontId="20" fillId="0" borderId="7" xfId="0" applyNumberFormat="1" applyFont="1" applyBorder="1" applyAlignment="1">
      <alignment horizontal="center" vertical="center"/>
    </xf>
    <xf numFmtId="1" fontId="20" fillId="0" borderId="9" xfId="0" applyNumberFormat="1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0" fontId="47" fillId="0" borderId="47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29" fillId="3" borderId="66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" xfId="0" applyFont="1" applyFill="1" applyBorder="1" applyAlignment="1">
      <alignment horizontal="center" vertical="center"/>
    </xf>
    <xf numFmtId="0" fontId="29" fillId="0" borderId="66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1" fontId="20" fillId="3" borderId="6" xfId="0" applyNumberFormat="1" applyFont="1" applyFill="1" applyBorder="1" applyAlignment="1">
      <alignment horizontal="center" vertical="center"/>
    </xf>
    <xf numFmtId="1" fontId="20" fillId="3" borderId="1" xfId="0" applyNumberFormat="1" applyFont="1" applyFill="1" applyBorder="1" applyAlignment="1">
      <alignment horizontal="center" vertical="center"/>
    </xf>
    <xf numFmtId="1" fontId="20" fillId="3" borderId="7" xfId="0" applyNumberFormat="1" applyFont="1" applyFill="1" applyBorder="1" applyAlignment="1">
      <alignment horizontal="center" vertical="center"/>
    </xf>
    <xf numFmtId="167" fontId="43" fillId="0" borderId="64" xfId="0" applyNumberFormat="1" applyFont="1" applyBorder="1" applyAlignment="1">
      <alignment horizontal="center" vertical="center"/>
    </xf>
    <xf numFmtId="167" fontId="43" fillId="0" borderId="65" xfId="0" applyNumberFormat="1" applyFont="1" applyBorder="1" applyAlignment="1">
      <alignment horizontal="center" vertical="center"/>
    </xf>
    <xf numFmtId="167" fontId="43" fillId="0" borderId="62" xfId="0" applyNumberFormat="1" applyFont="1" applyBorder="1" applyAlignment="1">
      <alignment horizontal="center" vertical="center"/>
    </xf>
    <xf numFmtId="0" fontId="43" fillId="3" borderId="22" xfId="0" applyFont="1" applyFill="1" applyBorder="1" applyAlignment="1">
      <alignment horizontal="center" vertical="center"/>
    </xf>
    <xf numFmtId="0" fontId="43" fillId="3" borderId="8" xfId="0" applyFont="1" applyFill="1" applyBorder="1" applyAlignment="1">
      <alignment horizontal="center" vertical="center"/>
    </xf>
    <xf numFmtId="0" fontId="43" fillId="3" borderId="3" xfId="0" applyFont="1" applyFill="1" applyBorder="1" applyAlignment="1">
      <alignment horizontal="center" vertical="center"/>
    </xf>
    <xf numFmtId="0" fontId="43" fillId="3" borderId="23" xfId="0" applyFont="1" applyFill="1" applyBorder="1" applyAlignment="1">
      <alignment horizontal="center" vertical="center"/>
    </xf>
    <xf numFmtId="0" fontId="43" fillId="3" borderId="47" xfId="0" applyFont="1" applyFill="1" applyBorder="1" applyAlignment="1">
      <alignment horizontal="center" vertical="center"/>
    </xf>
    <xf numFmtId="0" fontId="43" fillId="3" borderId="5" xfId="0" applyFont="1" applyFill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/>
    </xf>
    <xf numFmtId="0" fontId="43" fillId="0" borderId="47" xfId="0" applyFont="1" applyBorder="1" applyAlignment="1">
      <alignment horizontal="center" vertical="center"/>
    </xf>
    <xf numFmtId="0" fontId="43" fillId="0" borderId="5" xfId="0" applyFont="1" applyBorder="1" applyAlignment="1">
      <alignment horizontal="center" vertical="center"/>
    </xf>
    <xf numFmtId="0" fontId="29" fillId="3" borderId="90" xfId="0" applyFont="1" applyFill="1" applyBorder="1" applyAlignment="1">
      <alignment horizontal="center" vertical="center"/>
    </xf>
    <xf numFmtId="0" fontId="29" fillId="3" borderId="88" xfId="0" applyFont="1" applyFill="1" applyBorder="1" applyAlignment="1">
      <alignment horizontal="center" vertical="center"/>
    </xf>
    <xf numFmtId="0" fontId="29" fillId="3" borderId="89" xfId="0" applyFont="1" applyFill="1" applyBorder="1" applyAlignment="1">
      <alignment horizontal="center" vertical="center"/>
    </xf>
    <xf numFmtId="0" fontId="43" fillId="0" borderId="2" xfId="0" applyFont="1" applyBorder="1" applyAlignment="1">
      <alignment horizontal="center" vertical="center"/>
    </xf>
    <xf numFmtId="0" fontId="51" fillId="0" borderId="85" xfId="0" applyFont="1" applyBorder="1" applyAlignment="1">
      <alignment horizontal="center" vertical="center"/>
    </xf>
    <xf numFmtId="0" fontId="51" fillId="0" borderId="100" xfId="0" applyFont="1" applyBorder="1" applyAlignment="1">
      <alignment horizontal="center" vertical="center"/>
    </xf>
    <xf numFmtId="0" fontId="51" fillId="0" borderId="45" xfId="0" applyFont="1" applyBorder="1" applyAlignment="1">
      <alignment horizontal="center" vertical="center"/>
    </xf>
    <xf numFmtId="1" fontId="54" fillId="0" borderId="9" xfId="0" applyNumberFormat="1" applyFont="1" applyBorder="1" applyAlignment="1">
      <alignment horizontal="center" vertical="center"/>
    </xf>
    <xf numFmtId="0" fontId="32" fillId="5" borderId="72" xfId="0" applyFont="1" applyFill="1" applyBorder="1" applyAlignment="1">
      <alignment horizontal="center" vertical="center" textRotation="90"/>
    </xf>
    <xf numFmtId="0" fontId="32" fillId="5" borderId="73" xfId="0" applyFont="1" applyFill="1" applyBorder="1" applyAlignment="1">
      <alignment horizontal="center" vertical="center" textRotation="90"/>
    </xf>
    <xf numFmtId="0" fontId="32" fillId="5" borderId="71" xfId="0" applyFont="1" applyFill="1" applyBorder="1" applyAlignment="1">
      <alignment horizontal="center" vertical="center" textRotation="90"/>
    </xf>
    <xf numFmtId="0" fontId="29" fillId="0" borderId="85" xfId="0" applyFont="1" applyBorder="1" applyAlignment="1">
      <alignment horizontal="center" vertical="center"/>
    </xf>
    <xf numFmtId="0" fontId="29" fillId="0" borderId="74" xfId="0" applyFont="1" applyBorder="1" applyAlignment="1">
      <alignment horizontal="center" vertical="center"/>
    </xf>
    <xf numFmtId="0" fontId="43" fillId="0" borderId="85" xfId="0" applyFont="1" applyBorder="1" applyAlignment="1">
      <alignment horizontal="center" vertical="center"/>
    </xf>
    <xf numFmtId="0" fontId="43" fillId="0" borderId="100" xfId="0" applyFont="1" applyBorder="1" applyAlignment="1">
      <alignment horizontal="center" vertical="center"/>
    </xf>
    <xf numFmtId="0" fontId="43" fillId="0" borderId="45" xfId="0" applyFont="1" applyBorder="1" applyAlignment="1">
      <alignment horizontal="center" vertical="center"/>
    </xf>
    <xf numFmtId="1" fontId="54" fillId="0" borderId="87" xfId="0" applyNumberFormat="1" applyFont="1" applyBorder="1" applyAlignment="1">
      <alignment horizontal="center" vertical="center"/>
    </xf>
    <xf numFmtId="1" fontId="54" fillId="0" borderId="89" xfId="0" applyNumberFormat="1" applyFont="1" applyBorder="1" applyAlignment="1">
      <alignment horizontal="center" vertical="center"/>
    </xf>
    <xf numFmtId="0" fontId="2" fillId="4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14" fontId="2" fillId="4" borderId="24" xfId="0" applyNumberFormat="1" applyFont="1" applyFill="1" applyBorder="1" applyAlignment="1">
      <alignment horizontal="center" vertical="center"/>
    </xf>
    <xf numFmtId="14" fontId="2" fillId="4" borderId="20" xfId="0" applyNumberFormat="1" applyFont="1" applyFill="1" applyBorder="1" applyAlignment="1">
      <alignment horizontal="center" vertical="center"/>
    </xf>
    <xf numFmtId="0" fontId="2" fillId="4" borderId="35" xfId="0" applyFont="1" applyFill="1" applyBorder="1" applyAlignment="1">
      <alignment horizontal="center" vertical="center"/>
    </xf>
    <xf numFmtId="0" fontId="2" fillId="4" borderId="94" xfId="0" applyFont="1" applyFill="1" applyBorder="1" applyAlignment="1">
      <alignment horizontal="center" vertical="center" wrapText="1"/>
    </xf>
    <xf numFmtId="0" fontId="2" fillId="4" borderId="94" xfId="0" applyFon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34" xfId="0" applyFont="1" applyFill="1" applyBorder="1" applyAlignment="1">
      <alignment horizontal="center" vertical="center"/>
    </xf>
    <xf numFmtId="0" fontId="2" fillId="4" borderId="84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36" xfId="0" applyFont="1" applyFill="1" applyBorder="1" applyAlignment="1">
      <alignment horizontal="center" vertical="center"/>
    </xf>
    <xf numFmtId="0" fontId="2" fillId="4" borderId="37" xfId="0" applyFont="1" applyFill="1" applyBorder="1" applyAlignment="1">
      <alignment horizontal="center" vertical="center"/>
    </xf>
    <xf numFmtId="0" fontId="2" fillId="4" borderId="21" xfId="0" applyFont="1" applyFill="1" applyBorder="1" applyAlignment="1">
      <alignment horizontal="center" vertical="center"/>
    </xf>
    <xf numFmtId="0" fontId="2" fillId="0" borderId="39" xfId="0" applyFont="1" applyBorder="1" applyAlignment="1" applyProtection="1">
      <alignment horizontal="center" vertical="center" wrapText="1"/>
      <protection locked="0"/>
    </xf>
    <xf numFmtId="0" fontId="2" fillId="0" borderId="40" xfId="0" applyFont="1" applyBorder="1" applyAlignment="1" applyProtection="1">
      <alignment horizontal="center" vertical="center" wrapText="1"/>
      <protection locked="0"/>
    </xf>
    <xf numFmtId="0" fontId="2" fillId="0" borderId="41" xfId="0" applyFont="1" applyBorder="1" applyAlignment="1" applyProtection="1">
      <alignment horizontal="center" vertical="center" wrapText="1"/>
      <protection locked="0"/>
    </xf>
    <xf numFmtId="0" fontId="2" fillId="0" borderId="42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43" xfId="0" applyFont="1" applyBorder="1" applyAlignment="1" applyProtection="1">
      <alignment horizontal="center" vertical="center" wrapText="1"/>
      <protection locked="0"/>
    </xf>
    <xf numFmtId="0" fontId="2" fillId="0" borderId="44" xfId="0" applyFont="1" applyBorder="1" applyAlignment="1" applyProtection="1">
      <alignment horizontal="center" vertical="center" wrapText="1"/>
      <protection locked="0"/>
    </xf>
    <xf numFmtId="0" fontId="2" fillId="0" borderId="45" xfId="0" applyFont="1" applyBorder="1" applyAlignment="1" applyProtection="1">
      <alignment horizontal="center" vertical="center" wrapText="1"/>
      <protection locked="0"/>
    </xf>
    <xf numFmtId="0" fontId="2" fillId="0" borderId="46" xfId="0" applyFont="1" applyBorder="1" applyAlignment="1" applyProtection="1">
      <alignment horizontal="center" vertical="center" wrapText="1"/>
      <protection locked="0"/>
    </xf>
    <xf numFmtId="0" fontId="16" fillId="0" borderId="27" xfId="0" applyFont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16" fillId="10" borderId="47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5" fillId="0" borderId="94" xfId="0" applyFont="1" applyBorder="1" applyAlignment="1" applyProtection="1">
      <alignment horizontal="center" vertical="center" wrapText="1"/>
      <protection locked="0"/>
    </xf>
    <xf numFmtId="14" fontId="2" fillId="4" borderId="38" xfId="0" applyNumberFormat="1" applyFont="1" applyFill="1" applyBorder="1" applyAlignment="1">
      <alignment horizontal="center" vertical="center"/>
    </xf>
    <xf numFmtId="14" fontId="2" fillId="4" borderId="35" xfId="0" applyNumberFormat="1" applyFont="1" applyFill="1" applyBorder="1" applyAlignment="1">
      <alignment horizontal="center" vertical="center"/>
    </xf>
    <xf numFmtId="0" fontId="48" fillId="0" borderId="84" xfId="0" applyFont="1" applyBorder="1" applyAlignment="1">
      <alignment horizontal="center" vertical="center" wrapText="1"/>
    </xf>
    <xf numFmtId="0" fontId="15" fillId="0" borderId="30" xfId="0" applyFont="1" applyBorder="1" applyAlignment="1" applyProtection="1">
      <alignment horizontal="center" vertical="center" wrapText="1"/>
      <protection locked="0"/>
    </xf>
    <xf numFmtId="0" fontId="16" fillId="0" borderId="92" xfId="0" applyFont="1" applyBorder="1" applyAlignment="1">
      <alignment horizontal="center" vertical="center"/>
    </xf>
    <xf numFmtId="0" fontId="16" fillId="0" borderId="87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10" borderId="85" xfId="0" applyFont="1" applyFill="1" applyBorder="1" applyAlignment="1">
      <alignment horizontal="center" vertical="center"/>
    </xf>
    <xf numFmtId="0" fontId="16" fillId="10" borderId="95" xfId="0" applyFont="1" applyFill="1" applyBorder="1" applyAlignment="1">
      <alignment horizontal="center" vertical="center"/>
    </xf>
    <xf numFmtId="0" fontId="15" fillId="15" borderId="90" xfId="0" applyFont="1" applyFill="1" applyBorder="1" applyAlignment="1">
      <alignment horizontal="center" vertical="center" wrapText="1"/>
    </xf>
    <xf numFmtId="0" fontId="15" fillId="15" borderId="19" xfId="0" applyFont="1" applyFill="1" applyBorder="1" applyAlignment="1">
      <alignment horizontal="center" vertical="center" wrapText="1"/>
    </xf>
    <xf numFmtId="0" fontId="15" fillId="15" borderId="94" xfId="0" applyFont="1" applyFill="1" applyBorder="1" applyAlignment="1">
      <alignment horizontal="center" vertical="center" wrapText="1"/>
    </xf>
    <xf numFmtId="0" fontId="52" fillId="4" borderId="38" xfId="0" applyFont="1" applyFill="1" applyBorder="1" applyAlignment="1">
      <alignment horizontal="center" vertical="center" wrapText="1"/>
    </xf>
    <xf numFmtId="0" fontId="52" fillId="4" borderId="35" xfId="0" applyFont="1" applyFill="1" applyBorder="1" applyAlignment="1">
      <alignment horizontal="center" vertical="center" wrapText="1"/>
    </xf>
    <xf numFmtId="0" fontId="2" fillId="4" borderId="29" xfId="0" applyFont="1" applyFill="1" applyBorder="1" applyAlignment="1">
      <alignment horizontal="center" vertical="center" textRotation="90"/>
    </xf>
    <xf numFmtId="0" fontId="2" fillId="4" borderId="9" xfId="0" applyFont="1" applyFill="1" applyBorder="1" applyAlignment="1">
      <alignment horizontal="center" vertical="center" textRotation="90"/>
    </xf>
    <xf numFmtId="0" fontId="2" fillId="4" borderId="17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 textRotation="90" wrapText="1"/>
    </xf>
    <xf numFmtId="0" fontId="2" fillId="4" borderId="9" xfId="0" applyFont="1" applyFill="1" applyBorder="1" applyAlignment="1">
      <alignment horizontal="center" vertical="center" textRotation="90" wrapText="1"/>
    </xf>
    <xf numFmtId="0" fontId="2" fillId="4" borderId="34" xfId="0" applyFont="1" applyFill="1" applyBorder="1" applyAlignment="1">
      <alignment horizontal="center" vertical="center" textRotation="90" wrapText="1"/>
    </xf>
    <xf numFmtId="0" fontId="2" fillId="4" borderId="6" xfId="0" applyFont="1" applyFill="1" applyBorder="1" applyAlignment="1">
      <alignment horizontal="center" vertical="center" textRotation="90" wrapText="1"/>
    </xf>
    <xf numFmtId="0" fontId="2" fillId="4" borderId="25" xfId="0" applyFont="1" applyFill="1" applyBorder="1" applyAlignment="1">
      <alignment horizontal="center" vertical="center" textRotation="90" wrapText="1"/>
    </xf>
    <xf numFmtId="0" fontId="2" fillId="4" borderId="17" xfId="0" applyFont="1" applyFill="1" applyBorder="1" applyAlignment="1">
      <alignment horizontal="center" vertical="center" textRotation="90" wrapText="1"/>
    </xf>
    <xf numFmtId="0" fontId="52" fillId="4" borderId="36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textRotation="90" wrapText="1"/>
    </xf>
    <xf numFmtId="0" fontId="2" fillId="4" borderId="18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4" borderId="62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textRotation="90" wrapText="1"/>
    </xf>
    <xf numFmtId="0" fontId="2" fillId="14" borderId="64" xfId="0" applyFont="1" applyFill="1" applyBorder="1" applyAlignment="1">
      <alignment horizontal="center" vertical="center"/>
    </xf>
    <xf numFmtId="0" fontId="2" fillId="14" borderId="65" xfId="0" applyFont="1" applyFill="1" applyBorder="1" applyAlignment="1">
      <alignment horizontal="center" vertical="center"/>
    </xf>
    <xf numFmtId="0" fontId="2" fillId="14" borderId="102" xfId="0" applyFont="1" applyFill="1" applyBorder="1" applyAlignment="1">
      <alignment horizontal="center" vertical="center"/>
    </xf>
    <xf numFmtId="0" fontId="2" fillId="14" borderId="42" xfId="0" applyFont="1" applyFill="1" applyBorder="1" applyAlignment="1">
      <alignment horizontal="center" vertical="center" wrapText="1"/>
    </xf>
    <xf numFmtId="0" fontId="2" fillId="14" borderId="43" xfId="0" applyFont="1" applyFill="1" applyBorder="1" applyAlignment="1">
      <alignment horizontal="center" vertical="center" wrapText="1"/>
    </xf>
    <xf numFmtId="0" fontId="16" fillId="15" borderId="90" xfId="0" applyFont="1" applyFill="1" applyBorder="1" applyAlignment="1">
      <alignment horizontal="center" vertical="center"/>
    </xf>
    <xf numFmtId="0" fontId="16" fillId="15" borderId="19" xfId="0" applyFont="1" applyFill="1" applyBorder="1" applyAlignment="1">
      <alignment horizontal="center" vertical="center"/>
    </xf>
    <xf numFmtId="14" fontId="13" fillId="15" borderId="90" xfId="0" applyNumberFormat="1" applyFont="1" applyFill="1" applyBorder="1" applyAlignment="1">
      <alignment horizontal="center" vertical="center"/>
    </xf>
    <xf numFmtId="14" fontId="13" fillId="15" borderId="19" xfId="0" applyNumberFormat="1" applyFont="1" applyFill="1" applyBorder="1" applyAlignment="1">
      <alignment horizontal="center" vertical="center"/>
    </xf>
    <xf numFmtId="0" fontId="12" fillId="4" borderId="84" xfId="0" applyFont="1" applyFill="1" applyBorder="1" applyAlignment="1">
      <alignment horizontal="center" vertical="center" wrapText="1"/>
    </xf>
    <xf numFmtId="0" fontId="12" fillId="4" borderId="93" xfId="0" applyFont="1" applyFill="1" applyBorder="1" applyAlignment="1">
      <alignment horizontal="center" vertical="center" wrapText="1"/>
    </xf>
    <xf numFmtId="0" fontId="12" fillId="4" borderId="94" xfId="0" applyFont="1" applyFill="1" applyBorder="1" applyAlignment="1">
      <alignment horizontal="center" vertical="center" wrapText="1"/>
    </xf>
    <xf numFmtId="0" fontId="12" fillId="4" borderId="92" xfId="0" applyFont="1" applyFill="1" applyBorder="1" applyAlignment="1">
      <alignment horizontal="center" vertical="center" wrapText="1"/>
    </xf>
    <xf numFmtId="0" fontId="0" fillId="0" borderId="84" xfId="0" applyBorder="1" applyAlignment="1">
      <alignment horizontal="center" vertical="center"/>
    </xf>
    <xf numFmtId="0" fontId="67" fillId="0" borderId="88" xfId="0" applyFont="1" applyBorder="1" applyAlignment="1">
      <alignment horizontal="center" vertical="center" wrapText="1"/>
    </xf>
    <xf numFmtId="173" fontId="21" fillId="0" borderId="118" xfId="0" applyNumberFormat="1" applyFont="1" applyBorder="1" applyAlignment="1">
      <alignment horizontal="center" vertical="center"/>
    </xf>
    <xf numFmtId="2" fontId="21" fillId="0" borderId="130" xfId="0" applyNumberFormat="1" applyFont="1" applyBorder="1" applyAlignment="1">
      <alignment horizontal="center" vertical="center"/>
    </xf>
    <xf numFmtId="2" fontId="21" fillId="0" borderId="132" xfId="0" applyNumberFormat="1" applyFont="1" applyBorder="1" applyAlignment="1">
      <alignment horizontal="center" vertical="center"/>
    </xf>
    <xf numFmtId="2" fontId="21" fillId="0" borderId="131" xfId="0" applyNumberFormat="1" applyFont="1" applyBorder="1" applyAlignment="1">
      <alignment horizontal="center" vertical="center"/>
    </xf>
    <xf numFmtId="2" fontId="22" fillId="0" borderId="109" xfId="0" applyNumberFormat="1" applyFont="1" applyBorder="1" applyAlignment="1">
      <alignment horizontal="center" vertical="center"/>
    </xf>
    <xf numFmtId="2" fontId="21" fillId="0" borderId="103" xfId="0" applyNumberFormat="1" applyFont="1" applyBorder="1" applyAlignment="1">
      <alignment horizontal="center" vertical="center"/>
    </xf>
    <xf numFmtId="0" fontId="29" fillId="7" borderId="114" xfId="0" applyFont="1" applyFill="1" applyBorder="1" applyAlignment="1">
      <alignment horizontal="center" vertical="center"/>
    </xf>
    <xf numFmtId="0" fontId="29" fillId="7" borderId="116" xfId="0" applyFont="1" applyFill="1" applyBorder="1" applyAlignment="1">
      <alignment horizontal="center" vertical="center"/>
    </xf>
    <xf numFmtId="174" fontId="32" fillId="5" borderId="2" xfId="0" applyNumberFormat="1" applyFont="1" applyFill="1" applyBorder="1" applyAlignment="1">
      <alignment horizontal="center" vertical="center" textRotation="90"/>
    </xf>
    <xf numFmtId="174" fontId="32" fillId="5" borderId="108" xfId="0" applyNumberFormat="1" applyFont="1" applyFill="1" applyBorder="1" applyAlignment="1">
      <alignment horizontal="center" vertical="center" textRotation="90"/>
    </xf>
    <xf numFmtId="174" fontId="32" fillId="5" borderId="111" xfId="0" applyNumberFormat="1" applyFont="1" applyFill="1" applyBorder="1" applyAlignment="1">
      <alignment horizontal="center" vertical="center" textRotation="90"/>
    </xf>
    <xf numFmtId="174" fontId="32" fillId="5" borderId="125" xfId="0" applyNumberFormat="1" applyFont="1" applyFill="1" applyBorder="1" applyAlignment="1">
      <alignment horizontal="center" vertical="center" textRotation="90"/>
    </xf>
    <xf numFmtId="173" fontId="21" fillId="0" borderId="130" xfId="0" applyNumberFormat="1" applyFont="1" applyBorder="1" applyAlignment="1">
      <alignment horizontal="center" vertical="center"/>
    </xf>
    <xf numFmtId="173" fontId="21" fillId="0" borderId="131" xfId="0" applyNumberFormat="1" applyFont="1" applyBorder="1" applyAlignment="1">
      <alignment horizontal="center" vertical="center"/>
    </xf>
    <xf numFmtId="0" fontId="67" fillId="0" borderId="123" xfId="0" applyFont="1" applyBorder="1" applyAlignment="1">
      <alignment horizontal="center" vertical="center" wrapText="1"/>
    </xf>
    <xf numFmtId="0" fontId="67" fillId="0" borderId="5" xfId="0" applyFont="1" applyBorder="1" applyAlignment="1">
      <alignment horizontal="center" vertical="center" wrapText="1"/>
    </xf>
    <xf numFmtId="0" fontId="67" fillId="0" borderId="119" xfId="0" applyFont="1" applyBorder="1" applyAlignment="1">
      <alignment horizontal="center" vertical="center" wrapText="1"/>
    </xf>
    <xf numFmtId="0" fontId="67" fillId="0" borderId="83" xfId="0" applyFont="1" applyBorder="1" applyAlignment="1">
      <alignment horizontal="center" vertical="center" wrapText="1"/>
    </xf>
    <xf numFmtId="0" fontId="29" fillId="7" borderId="117" xfId="0" applyFont="1" applyFill="1" applyBorder="1" applyAlignment="1">
      <alignment horizontal="center" vertical="center"/>
    </xf>
    <xf numFmtId="0" fontId="43" fillId="0" borderId="119" xfId="0" applyFont="1" applyBorder="1" applyAlignment="1">
      <alignment horizontal="center" vertical="center" wrapText="1"/>
    </xf>
    <xf numFmtId="49" fontId="64" fillId="2" borderId="108" xfId="0" applyNumberFormat="1" applyFont="1" applyFill="1" applyBorder="1" applyAlignment="1">
      <alignment horizontal="center" vertical="center"/>
    </xf>
    <xf numFmtId="49" fontId="64" fillId="2" borderId="78" xfId="0" applyNumberFormat="1" applyFont="1" applyFill="1" applyBorder="1" applyAlignment="1">
      <alignment horizontal="center" vertical="center"/>
    </xf>
    <xf numFmtId="0" fontId="43" fillId="0" borderId="112" xfId="0" applyFont="1" applyBorder="1" applyAlignment="1">
      <alignment horizontal="center" vertical="center" wrapText="1"/>
    </xf>
    <xf numFmtId="0" fontId="43" fillId="0" borderId="113" xfId="0" applyFont="1" applyBorder="1" applyAlignment="1">
      <alignment horizontal="center" vertical="center" wrapText="1"/>
    </xf>
    <xf numFmtId="0" fontId="43" fillId="0" borderId="120" xfId="0" applyFont="1" applyBorder="1" applyAlignment="1">
      <alignment horizontal="center" vertical="center" wrapText="1"/>
    </xf>
    <xf numFmtId="0" fontId="43" fillId="0" borderId="121" xfId="0" applyFont="1" applyBorder="1" applyAlignment="1">
      <alignment horizontal="center" vertical="center" wrapText="1"/>
    </xf>
    <xf numFmtId="0" fontId="43" fillId="0" borderId="122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110" xfId="0" applyFont="1" applyBorder="1" applyAlignment="1">
      <alignment horizontal="center" vertical="center"/>
    </xf>
    <xf numFmtId="0" fontId="29" fillId="7" borderId="115" xfId="0" applyFont="1" applyFill="1" applyBorder="1" applyAlignment="1">
      <alignment horizontal="center" vertical="center"/>
    </xf>
    <xf numFmtId="0" fontId="68" fillId="0" borderId="119" xfId="0" applyFont="1" applyBorder="1" applyAlignment="1">
      <alignment horizontal="center" vertical="center" wrapText="1"/>
    </xf>
    <xf numFmtId="0" fontId="68" fillId="0" borderId="83" xfId="0" applyFont="1" applyBorder="1" applyAlignment="1">
      <alignment horizontal="center" vertical="center" wrapText="1"/>
    </xf>
    <xf numFmtId="0" fontId="29" fillId="3" borderId="128" xfId="0" applyFont="1" applyFill="1" applyBorder="1" applyAlignment="1">
      <alignment horizontal="center" vertical="center"/>
    </xf>
    <xf numFmtId="0" fontId="29" fillId="3" borderId="110" xfId="0" applyFont="1" applyFill="1" applyBorder="1" applyAlignment="1">
      <alignment horizontal="center" vertical="center"/>
    </xf>
    <xf numFmtId="0" fontId="29" fillId="3" borderId="129" xfId="0" applyFont="1" applyFill="1" applyBorder="1" applyAlignment="1">
      <alignment horizontal="center" vertical="center"/>
    </xf>
    <xf numFmtId="0" fontId="29" fillId="3" borderId="23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61" xfId="0" applyFont="1" applyFill="1" applyBorder="1" applyAlignment="1">
      <alignment horizontal="center" vertical="center"/>
    </xf>
    <xf numFmtId="0" fontId="29" fillId="3" borderId="42" xfId="0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16" fillId="0" borderId="90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103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5" fillId="10" borderId="90" xfId="0" applyFont="1" applyFill="1" applyBorder="1" applyAlignment="1">
      <alignment horizontal="center" vertical="center" wrapText="1"/>
    </xf>
    <xf numFmtId="0" fontId="15" fillId="10" borderId="19" xfId="0" applyFont="1" applyFill="1" applyBorder="1" applyAlignment="1">
      <alignment horizontal="center" vertical="center" wrapText="1"/>
    </xf>
    <xf numFmtId="169" fontId="23" fillId="16" borderId="114" xfId="0" applyNumberFormat="1" applyFont="1" applyFill="1" applyBorder="1" applyAlignment="1">
      <alignment horizontal="center" vertical="center"/>
    </xf>
    <xf numFmtId="169" fontId="23" fillId="16" borderId="124" xfId="0" applyNumberFormat="1" applyFont="1" applyFill="1" applyBorder="1" applyAlignment="1">
      <alignment horizontal="center" vertical="center"/>
    </xf>
    <xf numFmtId="0" fontId="16" fillId="10" borderId="90" xfId="0" applyFont="1" applyFill="1" applyBorder="1" applyAlignment="1">
      <alignment horizontal="center" vertical="center"/>
    </xf>
    <xf numFmtId="0" fontId="16" fillId="10" borderId="19" xfId="0" applyFont="1" applyFill="1" applyBorder="1" applyAlignment="1">
      <alignment horizontal="center" vertical="center"/>
    </xf>
    <xf numFmtId="14" fontId="13" fillId="10" borderId="90" xfId="0" applyNumberFormat="1" applyFont="1" applyFill="1" applyBorder="1" applyAlignment="1">
      <alignment horizontal="center" vertical="center"/>
    </xf>
    <xf numFmtId="14" fontId="13" fillId="10" borderId="19" xfId="0" applyNumberFormat="1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5" xfId="0" applyFill="1" applyBorder="1" applyAlignment="1">
      <alignment horizontal="center" vertical="center"/>
    </xf>
    <xf numFmtId="0" fontId="0" fillId="8" borderId="76" xfId="0" applyFill="1" applyBorder="1" applyAlignment="1">
      <alignment horizontal="center" vertical="center"/>
    </xf>
    <xf numFmtId="0" fontId="40" fillId="9" borderId="96" xfId="0" applyFont="1" applyFill="1" applyBorder="1" applyAlignment="1">
      <alignment horizontal="right" vertical="center" wrapText="1" shrinkToFit="1"/>
    </xf>
    <xf numFmtId="0" fontId="40" fillId="9" borderId="97" xfId="0" applyFont="1" applyFill="1" applyBorder="1" applyAlignment="1">
      <alignment horizontal="right" vertical="center" wrapText="1" shrinkToFit="1"/>
    </xf>
    <xf numFmtId="49" fontId="40" fillId="0" borderId="80" xfId="0" applyNumberFormat="1" applyFont="1" applyBorder="1" applyAlignment="1">
      <alignment horizontal="right" vertical="center" wrapText="1" shrinkToFit="1"/>
    </xf>
    <xf numFmtId="0" fontId="40" fillId="0" borderId="81" xfId="0" applyFont="1" applyBorder="1" applyAlignment="1">
      <alignment horizontal="right" vertical="center" wrapText="1" shrinkToFit="1"/>
    </xf>
    <xf numFmtId="0" fontId="37" fillId="0" borderId="0" xfId="0" applyFont="1" applyAlignment="1">
      <alignment horizontal="left" vertical="top" wrapText="1" shrinkToFit="1"/>
    </xf>
    <xf numFmtId="0" fontId="37" fillId="0" borderId="0" xfId="0" applyFont="1" applyAlignment="1">
      <alignment horizontal="center" vertical="top" wrapText="1" shrinkToFit="1"/>
    </xf>
    <xf numFmtId="0" fontId="37" fillId="0" borderId="0" xfId="0" applyFont="1" applyAlignment="1">
      <alignment horizontal="right" vertical="top" wrapText="1" shrinkToFit="1"/>
    </xf>
    <xf numFmtId="49" fontId="37" fillId="0" borderId="0" xfId="0" applyNumberFormat="1" applyFont="1" applyAlignment="1">
      <alignment horizontal="right" vertical="top" wrapText="1" shrinkToFit="1"/>
    </xf>
    <xf numFmtId="0" fontId="38" fillId="0" borderId="0" xfId="0" applyFont="1" applyAlignment="1">
      <alignment horizontal="center" vertical="center" wrapText="1" shrinkToFit="1"/>
    </xf>
    <xf numFmtId="0" fontId="39" fillId="0" borderId="0" xfId="0" applyFont="1" applyAlignment="1">
      <alignment horizontal="center" vertical="top" wrapText="1" shrinkToFit="1"/>
    </xf>
    <xf numFmtId="0" fontId="37" fillId="0" borderId="0" xfId="0" applyFont="1" applyAlignment="1">
      <alignment horizontal="center" wrapText="1" shrinkToFit="1"/>
    </xf>
    <xf numFmtId="0" fontId="37" fillId="0" borderId="0" xfId="0" applyFont="1" applyAlignment="1">
      <alignment horizontal="right" wrapText="1" shrinkToFit="1"/>
    </xf>
    <xf numFmtId="0" fontId="0" fillId="8" borderId="9" xfId="0" applyFill="1" applyBorder="1" applyAlignment="1">
      <alignment horizontal="center"/>
    </xf>
  </cellXfs>
  <cellStyles count="59">
    <cellStyle name="Migliaia [0] 2" xfId="41" xr:uid="{00000000-0005-0000-0000-000001000000}"/>
    <cellStyle name="Migliaia [0] 2 2" xfId="51" xr:uid="{00000000-0005-0000-0000-000002000000}"/>
    <cellStyle name="Migliaia [0] 2 2 2" xfId="56" xr:uid="{00000000-0005-0000-0000-000003000000}"/>
    <cellStyle name="Migliaia 2" xfId="44" xr:uid="{00000000-0005-0000-0000-000004000000}"/>
    <cellStyle name="Migliaia 2 2" xfId="52" xr:uid="{00000000-0005-0000-0000-000005000000}"/>
    <cellStyle name="Migliaia 2 2 2" xfId="57" xr:uid="{00000000-0005-0000-0000-000006000000}"/>
    <cellStyle name="Normal 2" xfId="12" xr:uid="{00000000-0005-0000-0000-000008000000}"/>
    <cellStyle name="Normal 2 2" xfId="35" xr:uid="{00000000-0005-0000-0000-000009000000}"/>
    <cellStyle name="Normal 2 3" xfId="24" xr:uid="{00000000-0005-0000-0000-00000A000000}"/>
    <cellStyle name="Normal 2 4" xfId="47" xr:uid="{00000000-0005-0000-0000-00000B000000}"/>
    <cellStyle name="Normal 3" xfId="13" xr:uid="{00000000-0005-0000-0000-00000C000000}"/>
    <cellStyle name="Normal 3 2" xfId="36" xr:uid="{00000000-0005-0000-0000-00000D000000}"/>
    <cellStyle name="Normal 3 3" xfId="25" xr:uid="{00000000-0005-0000-0000-00000E000000}"/>
    <cellStyle name="Normal 4" xfId="14" xr:uid="{00000000-0005-0000-0000-00000F000000}"/>
    <cellStyle name="Normal 4 2" xfId="37" xr:uid="{00000000-0005-0000-0000-000010000000}"/>
    <cellStyle name="Normal 4 3" xfId="17" xr:uid="{00000000-0005-0000-0000-000011000000}"/>
    <cellStyle name="Normal 4 3 2" xfId="39" xr:uid="{00000000-0005-0000-0000-000012000000}"/>
    <cellStyle name="Normal 4 3 3" xfId="28" xr:uid="{00000000-0005-0000-0000-000013000000}"/>
    <cellStyle name="Normal 4 4" xfId="26" xr:uid="{00000000-0005-0000-0000-000014000000}"/>
    <cellStyle name="Normale" xfId="0" builtinId="0"/>
    <cellStyle name="Normale 2" xfId="1" xr:uid="{00000000-0005-0000-0000-000017000000}"/>
    <cellStyle name="Normale 2 2" xfId="6" xr:uid="{00000000-0005-0000-0000-000018000000}"/>
    <cellStyle name="Normale 2 2 2" xfId="30" xr:uid="{00000000-0005-0000-0000-000019000000}"/>
    <cellStyle name="Normale 2 2 3" xfId="19" xr:uid="{00000000-0005-0000-0000-00001A000000}"/>
    <cellStyle name="Normale 2 3" xfId="7" xr:uid="{00000000-0005-0000-0000-00001B000000}"/>
    <cellStyle name="Normale 2 3 2" xfId="31" xr:uid="{00000000-0005-0000-0000-00001C000000}"/>
    <cellStyle name="Normale 2 3 3" xfId="20" xr:uid="{00000000-0005-0000-0000-00001D000000}"/>
    <cellStyle name="Normale 2 4" xfId="8" xr:uid="{00000000-0005-0000-0000-00001E000000}"/>
    <cellStyle name="Normale 2 4 2" xfId="32" xr:uid="{00000000-0005-0000-0000-00001F000000}"/>
    <cellStyle name="Normale 2 4 3" xfId="21" xr:uid="{00000000-0005-0000-0000-000020000000}"/>
    <cellStyle name="Normale 2 5" xfId="9" xr:uid="{00000000-0005-0000-0000-000021000000}"/>
    <cellStyle name="Normale 2 5 2" xfId="33" xr:uid="{00000000-0005-0000-0000-000022000000}"/>
    <cellStyle name="Normale 2 5 3" xfId="22" xr:uid="{00000000-0005-0000-0000-000023000000}"/>
    <cellStyle name="Normale 3" xfId="2" xr:uid="{00000000-0005-0000-0000-000024000000}"/>
    <cellStyle name="Normale 4" xfId="4" xr:uid="{00000000-0005-0000-0000-000025000000}"/>
    <cellStyle name="Normale 4 2" xfId="43" xr:uid="{00000000-0005-0000-0000-000026000000}"/>
    <cellStyle name="Normale 4 3" xfId="48" xr:uid="{00000000-0005-0000-0000-000027000000}"/>
    <cellStyle name="Normale 5" xfId="10" xr:uid="{00000000-0005-0000-0000-000028000000}"/>
    <cellStyle name="Normale 5 2" xfId="11" xr:uid="{00000000-0005-0000-0000-000029000000}"/>
    <cellStyle name="Normale 5 2 2" xfId="34" xr:uid="{00000000-0005-0000-0000-00002A000000}"/>
    <cellStyle name="Normale 5 2 3" xfId="23" xr:uid="{00000000-0005-0000-0000-00002B000000}"/>
    <cellStyle name="Normale 5 3" xfId="5" xr:uid="{00000000-0005-0000-0000-00002C000000}"/>
    <cellStyle name="Normale 5 3 2" xfId="18" xr:uid="{00000000-0005-0000-0000-00002D000000}"/>
    <cellStyle name="Normale 6" xfId="46" xr:uid="{00000000-0005-0000-0000-00002E000000}"/>
    <cellStyle name="Normale 8" xfId="15" xr:uid="{00000000-0005-0000-0000-00002F000000}"/>
    <cellStyle name="Normale 8 2" xfId="38" xr:uid="{00000000-0005-0000-0000-000030000000}"/>
    <cellStyle name="Normale 8 3" xfId="27" xr:uid="{00000000-0005-0000-0000-000031000000}"/>
    <cellStyle name="Normale 9" xfId="16" xr:uid="{00000000-0005-0000-0000-000032000000}"/>
    <cellStyle name="Percentuale" xfId="3" builtinId="5"/>
    <cellStyle name="Percentuale 2" xfId="42" xr:uid="{00000000-0005-0000-0000-000034000000}"/>
    <cellStyle name="Valuta" xfId="45" builtinId="4"/>
    <cellStyle name="Valuta 2" xfId="40" xr:uid="{00000000-0005-0000-0000-000036000000}"/>
    <cellStyle name="Valuta 2 2" xfId="50" xr:uid="{00000000-0005-0000-0000-000037000000}"/>
    <cellStyle name="Valuta 2 2 2" xfId="55" xr:uid="{00000000-0005-0000-0000-000038000000}"/>
    <cellStyle name="Valuta 3" xfId="29" xr:uid="{00000000-0005-0000-0000-000039000000}"/>
    <cellStyle name="Valuta 3 2" xfId="49" xr:uid="{00000000-0005-0000-0000-00003A000000}"/>
    <cellStyle name="Valuta 3 2 2" xfId="54" xr:uid="{00000000-0005-0000-0000-00003B000000}"/>
    <cellStyle name="Valuta 4" xfId="53" xr:uid="{00000000-0005-0000-0000-00003C000000}"/>
    <cellStyle name="Valuta 4 2" xfId="58" xr:uid="{00000000-0005-0000-0000-00003D000000}"/>
  </cellStyles>
  <dxfs count="267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rgb="FF3333FF"/>
      </font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rgb="FF3333FF"/>
      </font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colors>
    <mruColors>
      <color rgb="FF3333FF"/>
      <color rgb="FFF1AA83"/>
      <color rgb="FFFCE4D6"/>
      <color rgb="FFDDEBF7"/>
      <color rgb="FFC6E0B4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5</xdr:row>
          <xdr:rowOff>9525</xdr:rowOff>
        </xdr:from>
        <xdr:to>
          <xdr:col>14</xdr:col>
          <xdr:colOff>571500</xdr:colOff>
          <xdr:row>7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Sblocca i fogli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22</xdr:row>
          <xdr:rowOff>228600</xdr:rowOff>
        </xdr:from>
        <xdr:to>
          <xdr:col>14</xdr:col>
          <xdr:colOff>571500</xdr:colOff>
          <xdr:row>25</xdr:row>
          <xdr:rowOff>57150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Ottimizza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26</xdr:row>
          <xdr:rowOff>180975</xdr:rowOff>
        </xdr:from>
        <xdr:to>
          <xdr:col>15</xdr:col>
          <xdr:colOff>0</xdr:colOff>
          <xdr:row>29</xdr:row>
          <xdr:rowOff>38100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 nomi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9525</xdr:rowOff>
        </xdr:from>
        <xdr:to>
          <xdr:col>15</xdr:col>
          <xdr:colOff>9525</xdr:colOff>
          <xdr:row>33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 Linee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</xdr:row>
          <xdr:rowOff>476250</xdr:rowOff>
        </xdr:from>
        <xdr:to>
          <xdr:col>14</xdr:col>
          <xdr:colOff>571500</xdr:colOff>
          <xdr:row>3</xdr:row>
          <xdr:rowOff>228600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Blocca i fogli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34</xdr:row>
          <xdr:rowOff>180975</xdr:rowOff>
        </xdr:from>
        <xdr:to>
          <xdr:col>14</xdr:col>
          <xdr:colOff>581025</xdr:colOff>
          <xdr:row>36</xdr:row>
          <xdr:rowOff>171450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Riduci Linee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2181225</xdr:colOff>
          <xdr:row>21</xdr:row>
          <xdr:rowOff>95250</xdr:rowOff>
        </xdr:from>
        <xdr:to>
          <xdr:col>3</xdr:col>
          <xdr:colOff>1009650</xdr:colOff>
          <xdr:row>23</xdr:row>
          <xdr:rowOff>47625</xdr:rowOff>
        </xdr:to>
        <xdr:sp macro="" textlink="">
          <xdr:nvSpPr>
            <xdr:cNvPr id="19532" name="Button 76" hidden="1">
              <a:extLst>
                <a:ext uri="{63B3BB69-23CF-44E3-9099-C40C66FF867C}">
                  <a14:compatExt spid="_x0000_s19532"/>
                </a:ext>
                <a:ext uri="{FF2B5EF4-FFF2-40B4-BE49-F238E27FC236}">
                  <a16:creationId xmlns:a16="http://schemas.microsoft.com/office/drawing/2014/main" id="{00000000-0008-0000-0800-00004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it-IT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Stampa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723900</xdr:colOff>
          <xdr:row>7</xdr:row>
          <xdr:rowOff>0</xdr:rowOff>
        </xdr:from>
        <xdr:to>
          <xdr:col>62</xdr:col>
          <xdr:colOff>38100</xdr:colOff>
          <xdr:row>7</xdr:row>
          <xdr:rowOff>19050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7</xdr:row>
          <xdr:rowOff>180975</xdr:rowOff>
        </xdr:from>
        <xdr:to>
          <xdr:col>39</xdr:col>
          <xdr:colOff>19050</xdr:colOff>
          <xdr:row>10</xdr:row>
          <xdr:rowOff>0</xdr:rowOff>
        </xdr:to>
        <xdr:sp macro="" textlink="">
          <xdr:nvSpPr>
            <xdr:cNvPr id="20492" name="Button 12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00000000-0008-0000-0A00-00000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 dipendeti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2181225</xdr:colOff>
          <xdr:row>21</xdr:row>
          <xdr:rowOff>95250</xdr:rowOff>
        </xdr:from>
        <xdr:to>
          <xdr:col>3</xdr:col>
          <xdr:colOff>1009650</xdr:colOff>
          <xdr:row>23</xdr:row>
          <xdr:rowOff>47625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C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it-IT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Stampa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180975</xdr:rowOff>
        </xdr:from>
        <xdr:to>
          <xdr:col>38</xdr:col>
          <xdr:colOff>19050</xdr:colOff>
          <xdr:row>10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E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 dipendeti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>
    <tabColor rgb="FF002060"/>
  </sheetPr>
  <dimension ref="B1:AB42"/>
  <sheetViews>
    <sheetView topLeftCell="A2" zoomScale="85" zoomScaleNormal="85" zoomScaleSheetLayoutView="70" workbookViewId="0">
      <selection activeCell="H27" sqref="H27"/>
    </sheetView>
  </sheetViews>
  <sheetFormatPr defaultColWidth="8.7109375" defaultRowHeight="15" x14ac:dyDescent="0.25"/>
  <cols>
    <col min="1" max="1" width="6.7109375" style="33" customWidth="1"/>
    <col min="2" max="2" width="33.7109375" style="33" customWidth="1"/>
    <col min="3" max="10" width="11.42578125" style="33" customWidth="1"/>
    <col min="11" max="16384" width="8.7109375" style="33"/>
  </cols>
  <sheetData>
    <row r="1" spans="2:21" ht="21" customHeight="1" x14ac:dyDescent="0.25"/>
    <row r="2" spans="2:21" ht="38.65" customHeight="1" x14ac:dyDescent="0.25">
      <c r="B2" s="387" t="s">
        <v>307</v>
      </c>
      <c r="C2" s="388"/>
      <c r="D2" s="388"/>
      <c r="E2" s="388"/>
      <c r="F2" s="388"/>
      <c r="G2" s="389"/>
      <c r="H2" s="168" t="s">
        <v>240</v>
      </c>
      <c r="I2" s="387">
        <f>WEEKNUM(LUN!A1)</f>
        <v>34</v>
      </c>
      <c r="J2" s="389"/>
    </row>
    <row r="3" spans="2:21" ht="20.100000000000001" customHeight="1" x14ac:dyDescent="0.25">
      <c r="B3" s="339" t="s">
        <v>44</v>
      </c>
      <c r="C3" s="372">
        <f>LUN!F171+MAR!F171+MER!F171+GIO!F171+VEN!F171+SAB!F171+DOM!F171</f>
        <v>0</v>
      </c>
      <c r="D3" s="373"/>
      <c r="E3" s="373"/>
      <c r="F3" s="373"/>
      <c r="G3" s="373"/>
      <c r="H3" s="373"/>
      <c r="I3" s="373"/>
      <c r="J3" s="374"/>
      <c r="P3" s="351" t="s">
        <v>251</v>
      </c>
      <c r="Q3" s="351"/>
      <c r="R3" s="351"/>
      <c r="S3" s="351"/>
      <c r="T3" s="351"/>
      <c r="U3" s="352"/>
    </row>
    <row r="4" spans="2:21" ht="20.100000000000001" customHeight="1" x14ac:dyDescent="0.25">
      <c r="B4" s="334"/>
      <c r="C4" s="375"/>
      <c r="D4" s="376"/>
      <c r="E4" s="376"/>
      <c r="F4" s="376"/>
      <c r="G4" s="376"/>
      <c r="H4" s="376"/>
      <c r="I4" s="376"/>
      <c r="J4" s="377"/>
      <c r="P4" s="337"/>
      <c r="Q4" s="337"/>
      <c r="R4" s="337"/>
      <c r="S4" s="337"/>
      <c r="T4" s="337"/>
      <c r="U4" s="338"/>
    </row>
    <row r="5" spans="2:21" ht="20.100000000000001" customHeight="1" x14ac:dyDescent="0.25">
      <c r="B5" s="339" t="s">
        <v>43</v>
      </c>
      <c r="C5" s="390">
        <f>LUN!J171+MAR!J171+MER!J171+GIO!J171+VEN!J171+SAB!J171+DOM!J171</f>
        <v>0</v>
      </c>
      <c r="D5" s="391"/>
      <c r="E5" s="391"/>
      <c r="F5" s="391"/>
      <c r="G5" s="391"/>
      <c r="H5" s="391"/>
      <c r="I5" s="391"/>
      <c r="J5" s="392"/>
    </row>
    <row r="6" spans="2:21" ht="20.100000000000001" customHeight="1" x14ac:dyDescent="0.25">
      <c r="B6" s="334"/>
      <c r="C6" s="393"/>
      <c r="D6" s="394"/>
      <c r="E6" s="394"/>
      <c r="F6" s="394"/>
      <c r="G6" s="394"/>
      <c r="H6" s="394"/>
      <c r="I6" s="394"/>
      <c r="J6" s="395"/>
      <c r="P6" s="351" t="s">
        <v>252</v>
      </c>
      <c r="Q6" s="351"/>
      <c r="R6" s="351"/>
      <c r="S6" s="351"/>
      <c r="T6" s="351"/>
      <c r="U6" s="352"/>
    </row>
    <row r="7" spans="2:21" ht="20.100000000000001" customHeight="1" x14ac:dyDescent="0.25">
      <c r="B7" s="339" t="s">
        <v>236</v>
      </c>
      <c r="C7" s="372" t="e">
        <f>C3/C5</f>
        <v>#DIV/0!</v>
      </c>
      <c r="D7" s="373"/>
      <c r="E7" s="373"/>
      <c r="F7" s="373"/>
      <c r="G7" s="373"/>
      <c r="H7" s="373"/>
      <c r="I7" s="373"/>
      <c r="J7" s="374"/>
      <c r="P7" s="337"/>
      <c r="Q7" s="337"/>
      <c r="R7" s="337"/>
      <c r="S7" s="337"/>
      <c r="T7" s="337"/>
      <c r="U7" s="338"/>
    </row>
    <row r="8" spans="2:21" ht="20.100000000000001" customHeight="1" x14ac:dyDescent="0.25">
      <c r="B8" s="334"/>
      <c r="C8" s="375"/>
      <c r="D8" s="376"/>
      <c r="E8" s="376"/>
      <c r="F8" s="376"/>
      <c r="G8" s="376"/>
      <c r="H8" s="376"/>
      <c r="I8" s="376"/>
      <c r="J8" s="377"/>
    </row>
    <row r="9" spans="2:21" ht="20.100000000000001" customHeight="1" x14ac:dyDescent="0.25">
      <c r="B9" s="339" t="s">
        <v>281</v>
      </c>
      <c r="C9" s="390">
        <f>LUN!D171+MAR!D171+MER!D171+GIO!D171+VEN!D171+SAB!D171+DOM!D171</f>
        <v>124.25</v>
      </c>
      <c r="D9" s="391"/>
      <c r="E9" s="391"/>
      <c r="F9" s="391"/>
      <c r="G9" s="391"/>
      <c r="H9" s="391"/>
      <c r="I9" s="391"/>
      <c r="J9" s="392"/>
      <c r="M9" s="350" t="s">
        <v>268</v>
      </c>
      <c r="N9" s="350"/>
      <c r="O9" s="350"/>
      <c r="P9" s="350"/>
      <c r="Q9" s="350"/>
      <c r="R9" s="350"/>
      <c r="S9" s="350"/>
      <c r="T9" s="350"/>
      <c r="U9" s="350"/>
    </row>
    <row r="10" spans="2:21" ht="20.100000000000001" customHeight="1" x14ac:dyDescent="0.25">
      <c r="B10" s="334"/>
      <c r="C10" s="393"/>
      <c r="D10" s="394"/>
      <c r="E10" s="394"/>
      <c r="F10" s="394"/>
      <c r="G10" s="394"/>
      <c r="H10" s="394"/>
      <c r="I10" s="394"/>
      <c r="J10" s="395"/>
      <c r="M10" s="350"/>
      <c r="N10" s="350"/>
      <c r="O10" s="350"/>
      <c r="P10" s="350"/>
      <c r="Q10" s="350"/>
      <c r="R10" s="350"/>
      <c r="S10" s="350"/>
      <c r="T10" s="350"/>
      <c r="U10" s="350"/>
    </row>
    <row r="11" spans="2:21" ht="20.100000000000001" customHeight="1" x14ac:dyDescent="0.25">
      <c r="B11" s="339" t="s">
        <v>237</v>
      </c>
      <c r="C11" s="396">
        <f>MANAGER!C154+MANAGER!G154+MANAGER!L154+MANAGER!S154+MANAGER!Z154+MANAGER!AG154+MANAGER!AN154</f>
        <v>0</v>
      </c>
      <c r="D11" s="397"/>
      <c r="E11" s="397"/>
      <c r="F11" s="397"/>
      <c r="G11" s="397"/>
      <c r="H11" s="397"/>
      <c r="I11" s="397"/>
      <c r="J11" s="398"/>
      <c r="M11" s="350"/>
      <c r="N11" s="350"/>
      <c r="O11" s="350"/>
      <c r="P11" s="350"/>
      <c r="Q11" s="350"/>
      <c r="R11" s="350"/>
      <c r="S11" s="350"/>
      <c r="T11" s="350"/>
      <c r="U11" s="350"/>
    </row>
    <row r="12" spans="2:21" ht="20.100000000000001" customHeight="1" x14ac:dyDescent="0.25">
      <c r="B12" s="334"/>
      <c r="C12" s="399"/>
      <c r="D12" s="400"/>
      <c r="E12" s="400"/>
      <c r="F12" s="400"/>
      <c r="G12" s="400"/>
      <c r="H12" s="400"/>
      <c r="I12" s="400"/>
      <c r="J12" s="401"/>
      <c r="M12" s="350"/>
      <c r="N12" s="350"/>
      <c r="O12" s="350"/>
      <c r="P12" s="350"/>
      <c r="Q12" s="350"/>
      <c r="R12" s="350"/>
      <c r="S12" s="350"/>
      <c r="T12" s="350"/>
      <c r="U12" s="350"/>
    </row>
    <row r="13" spans="2:21" ht="20.100000000000001" customHeight="1" x14ac:dyDescent="0.25">
      <c r="B13" s="370"/>
      <c r="C13" s="378" t="s">
        <v>242</v>
      </c>
      <c r="D13" s="379"/>
      <c r="E13" s="379"/>
      <c r="F13" s="379"/>
      <c r="G13" s="378" t="s">
        <v>243</v>
      </c>
      <c r="H13" s="379"/>
      <c r="I13" s="379"/>
      <c r="J13" s="382"/>
    </row>
    <row r="14" spans="2:21" ht="20.100000000000001" customHeight="1" x14ac:dyDescent="0.25">
      <c r="B14" s="371"/>
      <c r="C14" s="380"/>
      <c r="D14" s="381"/>
      <c r="E14" s="381"/>
      <c r="F14" s="381"/>
      <c r="G14" s="380"/>
      <c r="H14" s="381"/>
      <c r="I14" s="381"/>
      <c r="J14" s="383"/>
      <c r="M14" s="350" t="s">
        <v>269</v>
      </c>
      <c r="N14" s="350"/>
      <c r="O14" s="350"/>
      <c r="P14" s="350"/>
      <c r="Q14" s="350"/>
      <c r="R14" s="350"/>
      <c r="S14" s="350"/>
      <c r="T14" s="350"/>
      <c r="U14" s="350"/>
    </row>
    <row r="15" spans="2:21" ht="20.100000000000001" customHeight="1" x14ac:dyDescent="0.25">
      <c r="B15" s="333" t="s">
        <v>238</v>
      </c>
      <c r="C15" s="384">
        <f>C3/C9</f>
        <v>0</v>
      </c>
      <c r="D15" s="385"/>
      <c r="E15" s="385"/>
      <c r="F15" s="385"/>
      <c r="G15" s="357">
        <f>C5/C9</f>
        <v>0</v>
      </c>
      <c r="H15" s="358"/>
      <c r="I15" s="358"/>
      <c r="J15" s="359"/>
      <c r="M15" s="350"/>
      <c r="N15" s="350"/>
      <c r="O15" s="350"/>
      <c r="P15" s="350"/>
      <c r="Q15" s="350"/>
      <c r="R15" s="350"/>
      <c r="S15" s="350"/>
      <c r="T15" s="350"/>
      <c r="U15" s="350"/>
    </row>
    <row r="16" spans="2:21" ht="20.100000000000001" customHeight="1" x14ac:dyDescent="0.25">
      <c r="B16" s="334"/>
      <c r="C16" s="375"/>
      <c r="D16" s="386"/>
      <c r="E16" s="386"/>
      <c r="F16" s="386"/>
      <c r="G16" s="347"/>
      <c r="H16" s="360"/>
      <c r="I16" s="360"/>
      <c r="J16" s="361"/>
      <c r="M16" s="350"/>
      <c r="N16" s="350"/>
      <c r="O16" s="350"/>
      <c r="P16" s="350"/>
      <c r="Q16" s="350"/>
      <c r="R16" s="350"/>
      <c r="S16" s="350"/>
      <c r="T16" s="350"/>
      <c r="U16" s="350"/>
    </row>
    <row r="17" spans="2:21" ht="20.100000000000001" customHeight="1" x14ac:dyDescent="0.25">
      <c r="B17" s="333" t="s">
        <v>239</v>
      </c>
      <c r="C17" s="353" t="e">
        <f>C3/C11</f>
        <v>#DIV/0!</v>
      </c>
      <c r="D17" s="354"/>
      <c r="E17" s="354"/>
      <c r="F17" s="354"/>
      <c r="G17" s="357" t="e">
        <f>C5/C11</f>
        <v>#DIV/0!</v>
      </c>
      <c r="H17" s="358"/>
      <c r="I17" s="358"/>
      <c r="J17" s="359"/>
      <c r="M17" s="350"/>
      <c r="N17" s="350"/>
      <c r="O17" s="350"/>
      <c r="P17" s="350"/>
      <c r="Q17" s="350"/>
      <c r="R17" s="350"/>
      <c r="S17" s="350"/>
      <c r="T17" s="350"/>
      <c r="U17" s="350"/>
    </row>
    <row r="18" spans="2:21" ht="20.100000000000001" customHeight="1" x14ac:dyDescent="0.25">
      <c r="B18" s="334"/>
      <c r="C18" s="355"/>
      <c r="D18" s="356"/>
      <c r="E18" s="356"/>
      <c r="F18" s="356"/>
      <c r="G18" s="347"/>
      <c r="H18" s="360"/>
      <c r="I18" s="360"/>
      <c r="J18" s="361"/>
    </row>
    <row r="19" spans="2:21" ht="20.100000000000001" customHeight="1" x14ac:dyDescent="0.25">
      <c r="B19" s="333" t="s">
        <v>241</v>
      </c>
      <c r="C19" s="353">
        <f>C3/(C9+C11)</f>
        <v>0</v>
      </c>
      <c r="D19" s="354"/>
      <c r="E19" s="354"/>
      <c r="F19" s="354"/>
      <c r="G19" s="357">
        <f>C5/(C9+C11)</f>
        <v>0</v>
      </c>
      <c r="H19" s="358"/>
      <c r="I19" s="358"/>
      <c r="J19" s="359"/>
      <c r="M19" s="350" t="s">
        <v>283</v>
      </c>
      <c r="N19" s="350"/>
      <c r="O19" s="350"/>
      <c r="P19" s="350"/>
      <c r="Q19" s="350"/>
      <c r="R19" s="350"/>
      <c r="S19" s="350"/>
      <c r="T19" s="350"/>
      <c r="U19" s="350"/>
    </row>
    <row r="20" spans="2:21" ht="20.100000000000001" customHeight="1" x14ac:dyDescent="0.25">
      <c r="B20" s="334"/>
      <c r="C20" s="355"/>
      <c r="D20" s="356"/>
      <c r="E20" s="356"/>
      <c r="F20" s="356"/>
      <c r="G20" s="347"/>
      <c r="H20" s="360"/>
      <c r="I20" s="360"/>
      <c r="J20" s="361"/>
      <c r="M20" s="350"/>
      <c r="N20" s="350"/>
      <c r="O20" s="350"/>
      <c r="P20" s="350"/>
      <c r="Q20" s="350"/>
      <c r="R20" s="350"/>
      <c r="S20" s="350"/>
      <c r="T20" s="350"/>
      <c r="U20" s="350"/>
    </row>
    <row r="21" spans="2:21" ht="20.100000000000001" customHeight="1" x14ac:dyDescent="0.25">
      <c r="B21" s="339" t="s">
        <v>292</v>
      </c>
      <c r="C21" s="362">
        <v>12</v>
      </c>
      <c r="D21" s="363"/>
      <c r="E21" s="363"/>
      <c r="F21" s="363"/>
      <c r="G21" s="363"/>
      <c r="H21" s="363"/>
      <c r="I21" s="363"/>
      <c r="J21" s="364"/>
      <c r="M21" s="350"/>
      <c r="N21" s="350"/>
      <c r="O21" s="350"/>
      <c r="P21" s="350"/>
      <c r="Q21" s="350"/>
      <c r="R21" s="350"/>
      <c r="S21" s="350"/>
      <c r="T21" s="350"/>
      <c r="U21" s="350"/>
    </row>
    <row r="22" spans="2:21" ht="20.100000000000001" customHeight="1" x14ac:dyDescent="0.25">
      <c r="B22" s="334"/>
      <c r="C22" s="365"/>
      <c r="D22" s="366"/>
      <c r="E22" s="366"/>
      <c r="F22" s="366"/>
      <c r="G22" s="366"/>
      <c r="H22" s="366"/>
      <c r="I22" s="366"/>
      <c r="J22" s="367"/>
      <c r="M22" s="350"/>
      <c r="N22" s="350"/>
      <c r="O22" s="350"/>
      <c r="P22" s="350"/>
      <c r="Q22" s="350"/>
      <c r="R22" s="350"/>
      <c r="S22" s="350"/>
      <c r="T22" s="350"/>
      <c r="U22" s="350"/>
    </row>
    <row r="23" spans="2:21" ht="20.100000000000001" customHeight="1" x14ac:dyDescent="0.25">
      <c r="B23" s="339" t="s">
        <v>244</v>
      </c>
      <c r="C23" s="340" t="s">
        <v>294</v>
      </c>
      <c r="D23" s="341"/>
      <c r="E23" s="341"/>
      <c r="F23" s="341"/>
      <c r="G23" s="344" t="s">
        <v>210</v>
      </c>
      <c r="H23" s="345"/>
      <c r="I23" s="345"/>
      <c r="J23" s="346"/>
    </row>
    <row r="24" spans="2:21" ht="20.100000000000001" customHeight="1" x14ac:dyDescent="0.25">
      <c r="B24" s="334"/>
      <c r="C24" s="342"/>
      <c r="D24" s="343"/>
      <c r="E24" s="343"/>
      <c r="F24" s="343"/>
      <c r="G24" s="347"/>
      <c r="H24" s="348"/>
      <c r="I24" s="348"/>
      <c r="J24" s="349"/>
      <c r="P24" s="351" t="s">
        <v>261</v>
      </c>
      <c r="Q24" s="351"/>
      <c r="R24" s="351"/>
      <c r="S24" s="351"/>
      <c r="T24" s="351"/>
      <c r="U24" s="352"/>
    </row>
    <row r="25" spans="2:21" ht="15" customHeight="1" x14ac:dyDescent="0.25">
      <c r="B25" s="339" t="s">
        <v>245</v>
      </c>
      <c r="C25" s="340" t="s">
        <v>294</v>
      </c>
      <c r="D25" s="341"/>
      <c r="E25" s="341"/>
      <c r="F25" s="368"/>
      <c r="G25" s="344" t="s">
        <v>210</v>
      </c>
      <c r="H25" s="345"/>
      <c r="I25" s="345"/>
      <c r="J25" s="346"/>
      <c r="P25" s="337"/>
      <c r="Q25" s="337"/>
      <c r="R25" s="337"/>
      <c r="S25" s="337"/>
      <c r="T25" s="337"/>
      <c r="U25" s="338"/>
    </row>
    <row r="26" spans="2:21" ht="15" customHeight="1" x14ac:dyDescent="0.25">
      <c r="B26" s="334"/>
      <c r="C26" s="342"/>
      <c r="D26" s="343"/>
      <c r="E26" s="343"/>
      <c r="F26" s="369"/>
      <c r="G26" s="347"/>
      <c r="H26" s="348"/>
      <c r="I26" s="348"/>
      <c r="J26" s="349"/>
    </row>
    <row r="28" spans="2:21" x14ac:dyDescent="0.25">
      <c r="P28" s="351" t="s">
        <v>288</v>
      </c>
      <c r="Q28" s="351"/>
      <c r="R28" s="351"/>
      <c r="S28" s="351"/>
      <c r="T28" s="351"/>
      <c r="U28" s="352"/>
    </row>
    <row r="29" spans="2:21" x14ac:dyDescent="0.25">
      <c r="P29" s="337"/>
      <c r="Q29" s="337"/>
      <c r="R29" s="337"/>
      <c r="S29" s="337"/>
      <c r="T29" s="337"/>
      <c r="U29" s="338"/>
    </row>
    <row r="32" spans="2:21" x14ac:dyDescent="0.25">
      <c r="P32" s="335" t="s">
        <v>249</v>
      </c>
      <c r="Q32" s="335"/>
      <c r="R32" s="335"/>
      <c r="S32" s="335"/>
      <c r="T32" s="335"/>
      <c r="U32" s="336"/>
    </row>
    <row r="33" spans="16:28" x14ac:dyDescent="0.25">
      <c r="P33" s="337"/>
      <c r="Q33" s="337"/>
      <c r="R33" s="337"/>
      <c r="S33" s="337"/>
      <c r="T33" s="337"/>
      <c r="U33" s="338"/>
    </row>
    <row r="36" spans="16:28" x14ac:dyDescent="0.25">
      <c r="P36" s="335" t="s">
        <v>260</v>
      </c>
      <c r="Q36" s="335"/>
      <c r="R36" s="335"/>
      <c r="S36" s="335"/>
      <c r="T36" s="335"/>
      <c r="U36" s="336"/>
    </row>
    <row r="37" spans="16:28" x14ac:dyDescent="0.25">
      <c r="P37" s="337"/>
      <c r="Q37" s="337"/>
      <c r="R37" s="337"/>
      <c r="S37" s="337"/>
      <c r="T37" s="337"/>
      <c r="U37" s="338"/>
    </row>
    <row r="42" spans="16:28" x14ac:dyDescent="0.25">
      <c r="AB42" s="33" t="s">
        <v>246</v>
      </c>
    </row>
  </sheetData>
  <sheetProtection algorithmName="SHA-512" hashValue="EzJHOHjHqieamhBBzz2aiTulcvEYc9ee9x5wgjLEDu1uctkasX1EHV7rcIZfD82dQ7gTaTfr7inQDqC5XHABeg==" saltValue="KEqCan9gwlgHWIZGJ060Cg==" spinCount="100000" sheet="1" objects="1" scenarios="1"/>
  <mergeCells count="41">
    <mergeCell ref="P36:U37"/>
    <mergeCell ref="M14:U17"/>
    <mergeCell ref="M9:U12"/>
    <mergeCell ref="B2:G2"/>
    <mergeCell ref="C9:J10"/>
    <mergeCell ref="C11:J12"/>
    <mergeCell ref="B5:B6"/>
    <mergeCell ref="P3:U4"/>
    <mergeCell ref="C3:J4"/>
    <mergeCell ref="B3:B4"/>
    <mergeCell ref="P6:U7"/>
    <mergeCell ref="I2:J2"/>
    <mergeCell ref="C5:J6"/>
    <mergeCell ref="B15:B16"/>
    <mergeCell ref="B7:B8"/>
    <mergeCell ref="B9:B10"/>
    <mergeCell ref="B17:B18"/>
    <mergeCell ref="B11:B12"/>
    <mergeCell ref="B13:B14"/>
    <mergeCell ref="C7:J8"/>
    <mergeCell ref="G15:J16"/>
    <mergeCell ref="G17:J18"/>
    <mergeCell ref="C13:F14"/>
    <mergeCell ref="G13:J14"/>
    <mergeCell ref="C15:F16"/>
    <mergeCell ref="C17:F18"/>
    <mergeCell ref="B19:B20"/>
    <mergeCell ref="P32:U33"/>
    <mergeCell ref="B23:B24"/>
    <mergeCell ref="C23:F24"/>
    <mergeCell ref="G23:J24"/>
    <mergeCell ref="B21:B22"/>
    <mergeCell ref="M19:U22"/>
    <mergeCell ref="P28:U29"/>
    <mergeCell ref="P24:U25"/>
    <mergeCell ref="C19:F20"/>
    <mergeCell ref="G19:J20"/>
    <mergeCell ref="C21:J22"/>
    <mergeCell ref="B25:B26"/>
    <mergeCell ref="C25:F26"/>
    <mergeCell ref="G25:J26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owSheets">
                <anchor moveWithCells="1" sizeWithCells="1">
                  <from>
                    <xdr:col>11</xdr:col>
                    <xdr:colOff>571500</xdr:colOff>
                    <xdr:row>5</xdr:row>
                    <xdr:rowOff>9525</xdr:rowOff>
                  </from>
                  <to>
                    <xdr:col>14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images">
                <anchor moveWithCells="1" sizeWithCells="1">
                  <from>
                    <xdr:col>12</xdr:col>
                    <xdr:colOff>19050</xdr:colOff>
                    <xdr:row>22</xdr:row>
                    <xdr:rowOff>228600</xdr:rowOff>
                  </from>
                  <to>
                    <xdr:col>14</xdr:col>
                    <xdr:colOff>571500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Delete_names">
                <anchor moveWithCells="1" sizeWithCells="1">
                  <from>
                    <xdr:col>11</xdr:col>
                    <xdr:colOff>561975</xdr:colOff>
                    <xdr:row>26</xdr:row>
                    <xdr:rowOff>180975</xdr:rowOff>
                  </from>
                  <to>
                    <xdr:col>15</xdr:col>
                    <xdr:colOff>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HideSheets">
                <anchor moveWithCells="1" sizeWithCells="1">
                  <from>
                    <xdr:col>11</xdr:col>
                    <xdr:colOff>571500</xdr:colOff>
                    <xdr:row>1</xdr:row>
                    <xdr:rowOff>476250</xdr:rowOff>
                  </from>
                  <to>
                    <xdr:col>14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Show_Lines">
                <anchor moveWithCells="1" sizeWithCells="1">
                  <from>
                    <xdr:col>12</xdr:col>
                    <xdr:colOff>0</xdr:colOff>
                    <xdr:row>31</xdr:row>
                    <xdr:rowOff>9525</xdr:rowOff>
                  </from>
                  <to>
                    <xdr:col>15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6">
              <controlPr defaultSize="0" print="0" autoFill="0" autoPict="0" macro="[0]!Hide_Lines">
                <anchor moveWithCells="1" sizeWithCells="1">
                  <from>
                    <xdr:col>11</xdr:col>
                    <xdr:colOff>571500</xdr:colOff>
                    <xdr:row>34</xdr:row>
                    <xdr:rowOff>180975</xdr:rowOff>
                  </from>
                  <to>
                    <xdr:col>14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neareLUN">
    <tabColor rgb="FF00B050"/>
    <pageSetUpPr fitToPage="1"/>
  </sheetPr>
  <dimension ref="A1:BS284"/>
  <sheetViews>
    <sheetView zoomScale="40" zoomScaleNormal="40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62">
        <v>45887</v>
      </c>
      <c r="B1" s="463"/>
      <c r="C1" s="463"/>
      <c r="D1" s="463"/>
      <c r="E1" s="464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65" t="s">
        <v>35</v>
      </c>
      <c r="B2" s="466"/>
      <c r="C2" s="466"/>
      <c r="D2" s="466"/>
      <c r="E2" s="467"/>
      <c r="F2" s="41">
        <f>F3</f>
        <v>0</v>
      </c>
      <c r="G2" s="442">
        <f>SUM(G3:J3)</f>
        <v>0</v>
      </c>
      <c r="H2" s="442"/>
      <c r="I2" s="442"/>
      <c r="J2" s="442"/>
      <c r="K2" s="442">
        <f>SUM(K3:L3)</f>
        <v>0</v>
      </c>
      <c r="L2" s="442"/>
      <c r="M2" s="442">
        <f>SUM(M3:N3)</f>
        <v>0</v>
      </c>
      <c r="N2" s="442"/>
      <c r="O2" s="442">
        <f>SUM(O3:P3)</f>
        <v>0</v>
      </c>
      <c r="P2" s="442"/>
      <c r="Q2" s="442">
        <f>SUM(Q3:R3)</f>
        <v>0</v>
      </c>
      <c r="R2" s="442"/>
      <c r="S2" s="442">
        <f>SUM(S3:U3)</f>
        <v>0</v>
      </c>
      <c r="T2" s="442"/>
      <c r="U2" s="442"/>
      <c r="V2" s="442">
        <f>SUM(V3:Y3)</f>
        <v>0</v>
      </c>
      <c r="W2" s="442"/>
      <c r="X2" s="442"/>
      <c r="Y2" s="442"/>
      <c r="Z2" s="442">
        <f>SUM(Z3:AC3)</f>
        <v>0</v>
      </c>
      <c r="AA2" s="442"/>
      <c r="AB2" s="442"/>
      <c r="AC2" s="442"/>
      <c r="AD2" s="442">
        <f>SUM(AD3:AE3)</f>
        <v>0</v>
      </c>
      <c r="AE2" s="442"/>
      <c r="AF2" s="442">
        <f>SUM(AF3:AG3)</f>
        <v>0</v>
      </c>
      <c r="AG2" s="442"/>
      <c r="AH2" s="442">
        <f>SUM(AH3:AI3)</f>
        <v>0</v>
      </c>
      <c r="AI2" s="442"/>
      <c r="AJ2" s="442">
        <f>SUM(AJ3:AK3)</f>
        <v>0</v>
      </c>
      <c r="AK2" s="442"/>
      <c r="AL2" s="442">
        <f>SUM(AL3:AN3)</f>
        <v>0</v>
      </c>
      <c r="AM2" s="442"/>
      <c r="AN2" s="442"/>
      <c r="AO2" s="442">
        <f>SUM(AO3:AR3)</f>
        <v>0</v>
      </c>
      <c r="AP2" s="442"/>
      <c r="AQ2" s="442"/>
      <c r="AR2" s="442"/>
      <c r="AS2" s="442">
        <f>SUM(AS3:AV3)</f>
        <v>0</v>
      </c>
      <c r="AT2" s="442"/>
      <c r="AU2" s="442"/>
      <c r="AV2" s="442"/>
      <c r="AW2" s="442">
        <f>SUM(AW3:AY3)</f>
        <v>0</v>
      </c>
      <c r="AX2" s="442"/>
      <c r="AY2" s="442"/>
      <c r="AZ2" s="442">
        <f>SUM(AZ3:BA3)</f>
        <v>0</v>
      </c>
      <c r="BA2" s="442"/>
      <c r="BB2" s="442">
        <f>SUM(BB3:BC3)</f>
        <v>0</v>
      </c>
      <c r="BC2" s="442"/>
      <c r="BD2" s="442">
        <f>SUM(BD3:BF3)</f>
        <v>0</v>
      </c>
      <c r="BE2" s="442"/>
      <c r="BF2" s="442"/>
      <c r="BG2" s="442">
        <f>SUM(BG3:BH3)</f>
        <v>0</v>
      </c>
      <c r="BH2" s="442"/>
      <c r="BI2" s="442">
        <f>SUM(BI3:BJ3)</f>
        <v>0</v>
      </c>
      <c r="BJ2" s="442"/>
      <c r="BK2" s="442">
        <f>SUM(BK3:BL3)</f>
        <v>0</v>
      </c>
      <c r="BL2" s="442"/>
      <c r="BM2" s="442">
        <f>SUM(BM3:BN3)</f>
        <v>0</v>
      </c>
      <c r="BN2" s="442"/>
      <c r="BO2" s="442">
        <f t="shared" ref="BO2:BQ4" si="0">SUM(BO3:BP3)</f>
        <v>0</v>
      </c>
      <c r="BP2" s="442"/>
      <c r="BQ2" s="442">
        <f t="shared" si="0"/>
        <v>0</v>
      </c>
      <c r="BR2" s="442"/>
      <c r="BS2" s="42"/>
    </row>
    <row r="3" spans="1:71" ht="35.1" customHeight="1" x14ac:dyDescent="0.25">
      <c r="A3" s="468"/>
      <c r="B3" s="469"/>
      <c r="C3" s="469"/>
      <c r="D3" s="469"/>
      <c r="E3" s="470"/>
      <c r="F3" s="43">
        <f>Fasce_Tot!C4</f>
        <v>0</v>
      </c>
      <c r="G3" s="43">
        <f>Fasce_Tot!C5</f>
        <v>0</v>
      </c>
      <c r="H3" s="43">
        <f>Fasce_Tot!C6</f>
        <v>0</v>
      </c>
      <c r="I3" s="43">
        <f>Fasce_Tot!C7</f>
        <v>0</v>
      </c>
      <c r="J3" s="43">
        <f>Fasce_Tot!C8</f>
        <v>0</v>
      </c>
      <c r="K3" s="43">
        <f>Fasce_Tot!C9</f>
        <v>0</v>
      </c>
      <c r="L3" s="43">
        <f>Fasce_Tot!C10</f>
        <v>0</v>
      </c>
      <c r="M3" s="43">
        <f>Fasce_Tot!C11</f>
        <v>0</v>
      </c>
      <c r="N3" s="43">
        <f>Fasce_Tot!C12</f>
        <v>0</v>
      </c>
      <c r="O3" s="43">
        <f>Fasce_Tot!C13</f>
        <v>0</v>
      </c>
      <c r="P3" s="43">
        <f>Fasce_Tot!C14</f>
        <v>0</v>
      </c>
      <c r="Q3" s="43">
        <f>Fasce_Tot!C15</f>
        <v>0</v>
      </c>
      <c r="R3" s="43">
        <f>Fasce_Tot!C16</f>
        <v>0</v>
      </c>
      <c r="S3" s="43">
        <f>Fasce_Tot!C17</f>
        <v>0</v>
      </c>
      <c r="T3" s="43">
        <f>Fasce_Tot!C18</f>
        <v>0</v>
      </c>
      <c r="U3" s="43">
        <f>Fasce_Tot!C19</f>
        <v>0</v>
      </c>
      <c r="V3" s="43">
        <f>Fasce_Tot!C20</f>
        <v>0</v>
      </c>
      <c r="W3" s="43">
        <f>Fasce_Tot!C21</f>
        <v>0</v>
      </c>
      <c r="X3" s="43">
        <f>Fasce_Tot!C22</f>
        <v>0</v>
      </c>
      <c r="Y3" s="43">
        <f>Fasce_Tot!C23</f>
        <v>0</v>
      </c>
      <c r="Z3" s="43">
        <f>Fasce_Tot!C24</f>
        <v>0</v>
      </c>
      <c r="AA3" s="43">
        <f>Fasce_Tot!C25</f>
        <v>0</v>
      </c>
      <c r="AB3" s="43">
        <f>Fasce_Tot!C26</f>
        <v>0</v>
      </c>
      <c r="AC3" s="43">
        <f>Fasce_Tot!C27</f>
        <v>0</v>
      </c>
      <c r="AD3" s="43">
        <f>Fasce_Tot!C28</f>
        <v>0</v>
      </c>
      <c r="AE3" s="43">
        <f>Fasce_Tot!C29</f>
        <v>0</v>
      </c>
      <c r="AF3" s="43">
        <f>Fasce_Tot!C30</f>
        <v>0</v>
      </c>
      <c r="AG3" s="43">
        <f>Fasce_Tot!C31</f>
        <v>0</v>
      </c>
      <c r="AH3" s="43">
        <f>Fasce_Tot!C32</f>
        <v>0</v>
      </c>
      <c r="AI3" s="43">
        <f>Fasce_Tot!C33</f>
        <v>0</v>
      </c>
      <c r="AJ3" s="43">
        <f>Fasce_Tot!C34</f>
        <v>0</v>
      </c>
      <c r="AK3" s="43">
        <f>Fasce_Tot!C35</f>
        <v>0</v>
      </c>
      <c r="AL3" s="43">
        <f>Fasce_Tot!C36</f>
        <v>0</v>
      </c>
      <c r="AM3" s="43">
        <f>Fasce_Tot!C37</f>
        <v>0</v>
      </c>
      <c r="AN3" s="43">
        <f>Fasce_Tot!C38</f>
        <v>0</v>
      </c>
      <c r="AO3" s="43">
        <f>Fasce_Tot!C39</f>
        <v>0</v>
      </c>
      <c r="AP3" s="43">
        <f>Fasce_Tot!C40</f>
        <v>0</v>
      </c>
      <c r="AQ3" s="43">
        <f>Fasce_Tot!C41</f>
        <v>0</v>
      </c>
      <c r="AR3" s="43">
        <f>Fasce_Tot!C42</f>
        <v>0</v>
      </c>
      <c r="AS3" s="43">
        <f>Fasce_Tot!C43</f>
        <v>0</v>
      </c>
      <c r="AT3" s="43">
        <f>Fasce_Tot!C44</f>
        <v>0</v>
      </c>
      <c r="AU3" s="43">
        <f>Fasce_Tot!C45</f>
        <v>0</v>
      </c>
      <c r="AV3" s="43">
        <f>Fasce_Tot!C46</f>
        <v>0</v>
      </c>
      <c r="AW3" s="43">
        <f>Fasce_Tot!C47</f>
        <v>0</v>
      </c>
      <c r="AX3" s="43">
        <f>Fasce_Tot!C48</f>
        <v>0</v>
      </c>
      <c r="AY3" s="43">
        <f>Fasce_Tot!C49</f>
        <v>0</v>
      </c>
      <c r="AZ3" s="43">
        <f>Fasce_Tot!C50</f>
        <v>0</v>
      </c>
      <c r="BA3" s="43">
        <f>Fasce_Tot!C51</f>
        <v>0</v>
      </c>
      <c r="BB3" s="43">
        <f>Fasce_Tot!C52</f>
        <v>0</v>
      </c>
      <c r="BC3" s="43">
        <f>Fasce_Tot!C53</f>
        <v>0</v>
      </c>
      <c r="BD3" s="43">
        <f>Fasce_Tot!C54</f>
        <v>0</v>
      </c>
      <c r="BE3" s="43">
        <f>Fasce_Tot!C55</f>
        <v>0</v>
      </c>
      <c r="BF3" s="43">
        <f>Fasce_Tot!C56</f>
        <v>0</v>
      </c>
      <c r="BG3" s="43">
        <f>Fasce_Tot!C57</f>
        <v>0</v>
      </c>
      <c r="BH3" s="43">
        <f>Fasce_Tot!C58</f>
        <v>0</v>
      </c>
      <c r="BI3" s="43">
        <f>Fasce_Tot!C59</f>
        <v>0</v>
      </c>
      <c r="BJ3" s="43">
        <f>Fasce_Tot!C60</f>
        <v>0</v>
      </c>
      <c r="BK3" s="43">
        <f>Fasce_Tot!C61</f>
        <v>0</v>
      </c>
      <c r="BL3" s="43">
        <f>Fasce_Tot!C62</f>
        <v>0</v>
      </c>
      <c r="BM3" s="43">
        <f>Fasce_Tot!C63</f>
        <v>0</v>
      </c>
      <c r="BN3" s="43">
        <f>Fasce_Tot!C64</f>
        <v>0</v>
      </c>
      <c r="BO3" s="43">
        <f>Fasce_Tot!C65</f>
        <v>0</v>
      </c>
      <c r="BP3" s="43">
        <f>Fasce_Tot!C66</f>
        <v>0</v>
      </c>
      <c r="BQ3" s="43">
        <f>SUM(Fasce_Tot!I5:'Fasce_Tot'!I6)</f>
        <v>0</v>
      </c>
      <c r="BR3" s="43">
        <f>SUM(Fasce_Tot!I7:'Fasce_Tot'!I8)</f>
        <v>0</v>
      </c>
      <c r="BS3" s="42"/>
    </row>
    <row r="4" spans="1:71" ht="45" customHeight="1" x14ac:dyDescent="0.25">
      <c r="A4" s="471" t="s">
        <v>299</v>
      </c>
      <c r="B4" s="472"/>
      <c r="C4" s="472"/>
      <c r="D4" s="472"/>
      <c r="E4" s="473"/>
      <c r="F4" s="44">
        <f>F5</f>
        <v>0</v>
      </c>
      <c r="G4" s="443">
        <f>SUM(G5:J5)</f>
        <v>0</v>
      </c>
      <c r="H4" s="444"/>
      <c r="I4" s="444"/>
      <c r="J4" s="445"/>
      <c r="K4" s="446">
        <f>SUM(K5:L5)</f>
        <v>0</v>
      </c>
      <c r="L4" s="446"/>
      <c r="M4" s="446">
        <f>SUM(M5:N5)</f>
        <v>0</v>
      </c>
      <c r="N4" s="446"/>
      <c r="O4" s="446">
        <f>SUM(O5:P5)</f>
        <v>0</v>
      </c>
      <c r="P4" s="446"/>
      <c r="Q4" s="446">
        <f>SUM(Q5:R5)</f>
        <v>0</v>
      </c>
      <c r="R4" s="446"/>
      <c r="S4" s="446">
        <f>SUM(S5:U5)</f>
        <v>0</v>
      </c>
      <c r="T4" s="446"/>
      <c r="U4" s="446"/>
      <c r="V4" s="446">
        <f>SUM(V5:Y5)</f>
        <v>0</v>
      </c>
      <c r="W4" s="446"/>
      <c r="X4" s="446"/>
      <c r="Y4" s="446"/>
      <c r="Z4" s="446">
        <f>SUM(Z5:AC5)</f>
        <v>0</v>
      </c>
      <c r="AA4" s="446"/>
      <c r="AB4" s="446"/>
      <c r="AC4" s="446"/>
      <c r="AD4" s="446">
        <f>SUM(AD5:AE5)</f>
        <v>0</v>
      </c>
      <c r="AE4" s="446"/>
      <c r="AF4" s="446">
        <f>SUM(AF5:AG5)</f>
        <v>0</v>
      </c>
      <c r="AG4" s="446"/>
      <c r="AH4" s="446">
        <f>SUM(AH5:AI5)</f>
        <v>0</v>
      </c>
      <c r="AI4" s="446"/>
      <c r="AJ4" s="446">
        <f>SUM(AJ5:AK5)</f>
        <v>0</v>
      </c>
      <c r="AK4" s="446"/>
      <c r="AL4" s="446">
        <f>SUM(AL5:AN5)</f>
        <v>0</v>
      </c>
      <c r="AM4" s="446"/>
      <c r="AN4" s="446"/>
      <c r="AO4" s="446">
        <f>SUM(AO5:AR5)</f>
        <v>0</v>
      </c>
      <c r="AP4" s="446"/>
      <c r="AQ4" s="446"/>
      <c r="AR4" s="446"/>
      <c r="AS4" s="446">
        <f>SUM(AS5:AV5)</f>
        <v>0</v>
      </c>
      <c r="AT4" s="446"/>
      <c r="AU4" s="446"/>
      <c r="AV4" s="446"/>
      <c r="AW4" s="446">
        <f>SUM(AW5:AY5)</f>
        <v>0</v>
      </c>
      <c r="AX4" s="446"/>
      <c r="AY4" s="446"/>
      <c r="AZ4" s="446">
        <f>SUM(AZ5:BA5)</f>
        <v>0</v>
      </c>
      <c r="BA4" s="446"/>
      <c r="BB4" s="446">
        <f>SUM(BB5:BC5)</f>
        <v>0</v>
      </c>
      <c r="BC4" s="446"/>
      <c r="BD4" s="446">
        <f>SUM(BD5:BF5)</f>
        <v>0</v>
      </c>
      <c r="BE4" s="446"/>
      <c r="BF4" s="446"/>
      <c r="BG4" s="446">
        <f>SUM(BG5:BH5)</f>
        <v>0</v>
      </c>
      <c r="BH4" s="446"/>
      <c r="BI4" s="446">
        <f>SUM(BI5:BJ5)</f>
        <v>0</v>
      </c>
      <c r="BJ4" s="446"/>
      <c r="BK4" s="446">
        <f>SUM(BK5:BL5)</f>
        <v>0</v>
      </c>
      <c r="BL4" s="446"/>
      <c r="BM4" s="446">
        <f>SUM(BM5:BN5)</f>
        <v>0</v>
      </c>
      <c r="BN4" s="446"/>
      <c r="BO4" s="446">
        <f t="shared" si="0"/>
        <v>0</v>
      </c>
      <c r="BP4" s="446"/>
      <c r="BQ4" s="446">
        <f t="shared" si="0"/>
        <v>0</v>
      </c>
      <c r="BR4" s="446"/>
      <c r="BS4" s="42"/>
    </row>
    <row r="5" spans="1:71" ht="35.1" customHeight="1" x14ac:dyDescent="0.25">
      <c r="A5" s="474"/>
      <c r="B5" s="475"/>
      <c r="C5" s="475"/>
      <c r="D5" s="475"/>
      <c r="E5" s="476"/>
      <c r="F5" s="45">
        <f>Fasce_Tot!D$4</f>
        <v>0</v>
      </c>
      <c r="G5" s="45">
        <f>Fasce_Tot!D$5</f>
        <v>0</v>
      </c>
      <c r="H5" s="45">
        <f>Fasce_Tot!D$6</f>
        <v>0</v>
      </c>
      <c r="I5" s="45">
        <f>Fasce_Tot!D$7</f>
        <v>0</v>
      </c>
      <c r="J5" s="45">
        <f>Fasce_Tot!D$8</f>
        <v>0</v>
      </c>
      <c r="K5" s="45">
        <f>Fasce_Tot!D$9</f>
        <v>0</v>
      </c>
      <c r="L5" s="45">
        <f>Fasce_Tot!D$10</f>
        <v>0</v>
      </c>
      <c r="M5" s="45">
        <f>Fasce_Tot!D$11</f>
        <v>0</v>
      </c>
      <c r="N5" s="45">
        <f>Fasce_Tot!D$12</f>
        <v>0</v>
      </c>
      <c r="O5" s="45">
        <f>Fasce_Tot!D$13</f>
        <v>0</v>
      </c>
      <c r="P5" s="45">
        <f>Fasce_Tot!D$14</f>
        <v>0</v>
      </c>
      <c r="Q5" s="45">
        <f>Fasce_Tot!D$15</f>
        <v>0</v>
      </c>
      <c r="R5" s="45">
        <f>Fasce_Tot!D$16</f>
        <v>0</v>
      </c>
      <c r="S5" s="45">
        <f>Fasce_Tot!D$17</f>
        <v>0</v>
      </c>
      <c r="T5" s="45">
        <f>Fasce_Tot!D$18</f>
        <v>0</v>
      </c>
      <c r="U5" s="45">
        <f>Fasce_Tot!D$19</f>
        <v>0</v>
      </c>
      <c r="V5" s="45">
        <f>Fasce_Tot!D$20</f>
        <v>0</v>
      </c>
      <c r="W5" s="45">
        <f>Fasce_Tot!D$21</f>
        <v>0</v>
      </c>
      <c r="X5" s="45">
        <f>Fasce_Tot!D$22</f>
        <v>0</v>
      </c>
      <c r="Y5" s="45">
        <f>Fasce_Tot!D$23</f>
        <v>0</v>
      </c>
      <c r="Z5" s="45">
        <f>Fasce_Tot!D$24</f>
        <v>0</v>
      </c>
      <c r="AA5" s="45">
        <f>Fasce_Tot!D$25</f>
        <v>0</v>
      </c>
      <c r="AB5" s="45">
        <f>Fasce_Tot!D$26</f>
        <v>0</v>
      </c>
      <c r="AC5" s="45">
        <f>Fasce_Tot!D$27</f>
        <v>0</v>
      </c>
      <c r="AD5" s="45">
        <f>Fasce_Tot!D$28</f>
        <v>0</v>
      </c>
      <c r="AE5" s="45">
        <f>Fasce_Tot!D$29</f>
        <v>0</v>
      </c>
      <c r="AF5" s="45">
        <f>Fasce_Tot!D$30</f>
        <v>0</v>
      </c>
      <c r="AG5" s="45">
        <f>Fasce_Tot!D$31</f>
        <v>0</v>
      </c>
      <c r="AH5" s="45">
        <f>Fasce_Tot!D$32</f>
        <v>0</v>
      </c>
      <c r="AI5" s="45">
        <f>Fasce_Tot!D$33</f>
        <v>0</v>
      </c>
      <c r="AJ5" s="45">
        <f>Fasce_Tot!D$34</f>
        <v>0</v>
      </c>
      <c r="AK5" s="45">
        <f>Fasce_Tot!D$35</f>
        <v>0</v>
      </c>
      <c r="AL5" s="45">
        <f>Fasce_Tot!D$36</f>
        <v>0</v>
      </c>
      <c r="AM5" s="45">
        <f>Fasce_Tot!D$37</f>
        <v>0</v>
      </c>
      <c r="AN5" s="45">
        <f>Fasce_Tot!D$38</f>
        <v>0</v>
      </c>
      <c r="AO5" s="45">
        <f>Fasce_Tot!D$39</f>
        <v>0</v>
      </c>
      <c r="AP5" s="45">
        <f>Fasce_Tot!D$40</f>
        <v>0</v>
      </c>
      <c r="AQ5" s="45">
        <f>Fasce_Tot!D$41</f>
        <v>0</v>
      </c>
      <c r="AR5" s="45">
        <f>Fasce_Tot!D$42</f>
        <v>0</v>
      </c>
      <c r="AS5" s="45">
        <f>Fasce_Tot!D$43</f>
        <v>0</v>
      </c>
      <c r="AT5" s="45">
        <f>Fasce_Tot!D$44</f>
        <v>0</v>
      </c>
      <c r="AU5" s="45">
        <f>Fasce_Tot!D$45</f>
        <v>0</v>
      </c>
      <c r="AV5" s="45">
        <f>Fasce_Tot!D$46</f>
        <v>0</v>
      </c>
      <c r="AW5" s="45">
        <f>Fasce_Tot!D$47</f>
        <v>0</v>
      </c>
      <c r="AX5" s="45">
        <f>Fasce_Tot!D$48</f>
        <v>0</v>
      </c>
      <c r="AY5" s="45">
        <f>Fasce_Tot!D$49</f>
        <v>0</v>
      </c>
      <c r="AZ5" s="45">
        <f>Fasce_Tot!D$50</f>
        <v>0</v>
      </c>
      <c r="BA5" s="45">
        <f>Fasce_Tot!D$51</f>
        <v>0</v>
      </c>
      <c r="BB5" s="45">
        <f>Fasce_Tot!D$52</f>
        <v>0</v>
      </c>
      <c r="BC5" s="45">
        <f>Fasce_Tot!D$53</f>
        <v>0</v>
      </c>
      <c r="BD5" s="45">
        <f>Fasce_Tot!D$54</f>
        <v>0</v>
      </c>
      <c r="BE5" s="45">
        <f>Fasce_Tot!D$55</f>
        <v>0</v>
      </c>
      <c r="BF5" s="45">
        <f>Fasce_Tot!D$56</f>
        <v>0</v>
      </c>
      <c r="BG5" s="45">
        <f>Fasce_Tot!D$57</f>
        <v>0</v>
      </c>
      <c r="BH5" s="45">
        <f>Fasce_Tot!D$58</f>
        <v>0</v>
      </c>
      <c r="BI5" s="45">
        <f>Fasce_Tot!D$59</f>
        <v>0</v>
      </c>
      <c r="BJ5" s="45">
        <f>Fasce_Tot!D$60</f>
        <v>0</v>
      </c>
      <c r="BK5" s="45">
        <f>Fasce_Tot!D$61</f>
        <v>0</v>
      </c>
      <c r="BL5" s="45">
        <f>Fasce_Tot!D$62</f>
        <v>0</v>
      </c>
      <c r="BM5" s="45">
        <f>Fasce_Tot!D$63</f>
        <v>0</v>
      </c>
      <c r="BN5" s="45">
        <f>Fasce_Tot!D$64</f>
        <v>0</v>
      </c>
      <c r="BO5" s="45">
        <f>Fasce_Tot!D$65</f>
        <v>0</v>
      </c>
      <c r="BP5" s="45">
        <f>Fasce_Tot!D$66</f>
        <v>0</v>
      </c>
      <c r="BQ5" s="45">
        <f>SUM(Fasce_Tot!J5:'Fasce_Tot'!J6)</f>
        <v>0</v>
      </c>
      <c r="BR5" s="45">
        <f>SUM(Fasce_Tot!J7:'Fasce_Tot'!J8)</f>
        <v>0</v>
      </c>
      <c r="BS5" s="42"/>
    </row>
    <row r="6" spans="1:71" ht="45" customHeight="1" x14ac:dyDescent="0.25">
      <c r="A6" s="465" t="s">
        <v>308</v>
      </c>
      <c r="B6" s="466"/>
      <c r="C6" s="466"/>
      <c r="D6" s="466"/>
      <c r="E6" s="467"/>
      <c r="F6" s="41">
        <f>F7</f>
        <v>0</v>
      </c>
      <c r="G6" s="459">
        <f>SUM(G7:J7)</f>
        <v>0</v>
      </c>
      <c r="H6" s="460"/>
      <c r="I6" s="460"/>
      <c r="J6" s="461"/>
      <c r="K6" s="442">
        <f>SUM(K7:L7)</f>
        <v>0</v>
      </c>
      <c r="L6" s="442"/>
      <c r="M6" s="442">
        <f>SUM(M7:N7)</f>
        <v>0</v>
      </c>
      <c r="N6" s="442"/>
      <c r="O6" s="442">
        <f>SUM(O7:P7)</f>
        <v>0</v>
      </c>
      <c r="P6" s="442"/>
      <c r="Q6" s="442">
        <f>SUM(Q7:R7)</f>
        <v>0</v>
      </c>
      <c r="R6" s="442"/>
      <c r="S6" s="442">
        <f>SUM(S7:U7)</f>
        <v>0</v>
      </c>
      <c r="T6" s="442"/>
      <c r="U6" s="442"/>
      <c r="V6" s="442">
        <f>SUM(V7:Y7)</f>
        <v>0</v>
      </c>
      <c r="W6" s="442"/>
      <c r="X6" s="442"/>
      <c r="Y6" s="442"/>
      <c r="Z6" s="442">
        <f>SUM(Z7:AC7)</f>
        <v>0</v>
      </c>
      <c r="AA6" s="442"/>
      <c r="AB6" s="442"/>
      <c r="AC6" s="442"/>
      <c r="AD6" s="442">
        <f>SUM(AD7:AE7)</f>
        <v>0</v>
      </c>
      <c r="AE6" s="442"/>
      <c r="AF6" s="442">
        <f>SUM(AF7:AG7)</f>
        <v>0</v>
      </c>
      <c r="AG6" s="442"/>
      <c r="AH6" s="442">
        <f>SUM(AH7:AI7)</f>
        <v>0</v>
      </c>
      <c r="AI6" s="442"/>
      <c r="AJ6" s="442">
        <f>SUM(AJ7:AK7)</f>
        <v>0</v>
      </c>
      <c r="AK6" s="442"/>
      <c r="AL6" s="442">
        <f>SUM(AL7:AN7)</f>
        <v>0</v>
      </c>
      <c r="AM6" s="442"/>
      <c r="AN6" s="442"/>
      <c r="AO6" s="442">
        <f>SUM(AO7:AR7)</f>
        <v>0</v>
      </c>
      <c r="AP6" s="442"/>
      <c r="AQ6" s="442"/>
      <c r="AR6" s="442"/>
      <c r="AS6" s="442">
        <f>SUM(AS7:AV7)</f>
        <v>0</v>
      </c>
      <c r="AT6" s="442"/>
      <c r="AU6" s="442"/>
      <c r="AV6" s="442"/>
      <c r="AW6" s="442">
        <f>SUM(AW7:AY7)</f>
        <v>0</v>
      </c>
      <c r="AX6" s="442"/>
      <c r="AY6" s="442"/>
      <c r="AZ6" s="442">
        <f>SUM(AZ7:BA7)</f>
        <v>0</v>
      </c>
      <c r="BA6" s="442"/>
      <c r="BB6" s="442">
        <f>SUM(BB7:BC7)</f>
        <v>0</v>
      </c>
      <c r="BC6" s="442"/>
      <c r="BD6" s="442">
        <f>SUM(BD7:BF7)</f>
        <v>0</v>
      </c>
      <c r="BE6" s="442"/>
      <c r="BF6" s="442"/>
      <c r="BG6" s="442">
        <f>SUM(BG7:BH7)</f>
        <v>0</v>
      </c>
      <c r="BH6" s="442"/>
      <c r="BI6" s="442">
        <f>SUM(BI7:BJ7)</f>
        <v>0</v>
      </c>
      <c r="BJ6" s="442"/>
      <c r="BK6" s="442">
        <f>SUM(BK7:BL7)</f>
        <v>0</v>
      </c>
      <c r="BL6" s="442"/>
      <c r="BM6" s="442">
        <f>SUM(BM7:BN7)</f>
        <v>0</v>
      </c>
      <c r="BN6" s="442"/>
      <c r="BO6" s="442">
        <f>SUM(BO7:BP7)</f>
        <v>0</v>
      </c>
      <c r="BP6" s="442"/>
      <c r="BQ6" s="442">
        <f>SUM(BQ7:BR7)</f>
        <v>0</v>
      </c>
      <c r="BR6" s="442"/>
      <c r="BS6" s="42"/>
    </row>
    <row r="7" spans="1:71" ht="35.1" customHeight="1" x14ac:dyDescent="0.25">
      <c r="A7" s="468"/>
      <c r="B7" s="469"/>
      <c r="C7" s="469"/>
      <c r="D7" s="469"/>
      <c r="E7" s="470"/>
      <c r="F7" s="43">
        <f>IF((F5-F8-F9)&lt;0,0,F5-F8-F9)</f>
        <v>0</v>
      </c>
      <c r="G7" s="43">
        <f t="shared" ref="G7:BR7" si="1">IF((G5-G8-G9)&lt;0,0,G5-G8-G9)</f>
        <v>0</v>
      </c>
      <c r="H7" s="43">
        <f t="shared" si="1"/>
        <v>0</v>
      </c>
      <c r="I7" s="43">
        <f t="shared" si="1"/>
        <v>0</v>
      </c>
      <c r="J7" s="43">
        <f t="shared" si="1"/>
        <v>0</v>
      </c>
      <c r="K7" s="43">
        <f t="shared" si="1"/>
        <v>0</v>
      </c>
      <c r="L7" s="43">
        <f t="shared" si="1"/>
        <v>0</v>
      </c>
      <c r="M7" s="43">
        <f t="shared" si="1"/>
        <v>0</v>
      </c>
      <c r="N7" s="43">
        <f t="shared" si="1"/>
        <v>0</v>
      </c>
      <c r="O7" s="43">
        <f t="shared" si="1"/>
        <v>0</v>
      </c>
      <c r="P7" s="43">
        <f t="shared" si="1"/>
        <v>0</v>
      </c>
      <c r="Q7" s="43">
        <f t="shared" si="1"/>
        <v>0</v>
      </c>
      <c r="R7" s="43">
        <f t="shared" si="1"/>
        <v>0</v>
      </c>
      <c r="S7" s="43">
        <f t="shared" si="1"/>
        <v>0</v>
      </c>
      <c r="T7" s="43">
        <f t="shared" si="1"/>
        <v>0</v>
      </c>
      <c r="U7" s="43">
        <f t="shared" si="1"/>
        <v>0</v>
      </c>
      <c r="V7" s="43">
        <f t="shared" si="1"/>
        <v>0</v>
      </c>
      <c r="W7" s="43">
        <f t="shared" si="1"/>
        <v>0</v>
      </c>
      <c r="X7" s="43">
        <f t="shared" si="1"/>
        <v>0</v>
      </c>
      <c r="Y7" s="43">
        <f t="shared" si="1"/>
        <v>0</v>
      </c>
      <c r="Z7" s="43">
        <f t="shared" si="1"/>
        <v>0</v>
      </c>
      <c r="AA7" s="43">
        <f t="shared" si="1"/>
        <v>0</v>
      </c>
      <c r="AB7" s="43">
        <f t="shared" si="1"/>
        <v>0</v>
      </c>
      <c r="AC7" s="43">
        <f t="shared" si="1"/>
        <v>0</v>
      </c>
      <c r="AD7" s="43">
        <f t="shared" si="1"/>
        <v>0</v>
      </c>
      <c r="AE7" s="43">
        <f t="shared" si="1"/>
        <v>0</v>
      </c>
      <c r="AF7" s="43">
        <f t="shared" si="1"/>
        <v>0</v>
      </c>
      <c r="AG7" s="43">
        <f t="shared" si="1"/>
        <v>0</v>
      </c>
      <c r="AH7" s="43">
        <f t="shared" si="1"/>
        <v>0</v>
      </c>
      <c r="AI7" s="43">
        <f t="shared" si="1"/>
        <v>0</v>
      </c>
      <c r="AJ7" s="43">
        <f t="shared" si="1"/>
        <v>0</v>
      </c>
      <c r="AK7" s="43">
        <f t="shared" si="1"/>
        <v>0</v>
      </c>
      <c r="AL7" s="43">
        <f t="shared" si="1"/>
        <v>0</v>
      </c>
      <c r="AM7" s="43">
        <f t="shared" si="1"/>
        <v>0</v>
      </c>
      <c r="AN7" s="43">
        <f t="shared" si="1"/>
        <v>0</v>
      </c>
      <c r="AO7" s="43">
        <f t="shared" si="1"/>
        <v>0</v>
      </c>
      <c r="AP7" s="43">
        <f t="shared" si="1"/>
        <v>0</v>
      </c>
      <c r="AQ7" s="43">
        <f t="shared" si="1"/>
        <v>0</v>
      </c>
      <c r="AR7" s="43">
        <f t="shared" si="1"/>
        <v>0</v>
      </c>
      <c r="AS7" s="43">
        <f t="shared" si="1"/>
        <v>0</v>
      </c>
      <c r="AT7" s="43">
        <f t="shared" si="1"/>
        <v>0</v>
      </c>
      <c r="AU7" s="43">
        <f t="shared" si="1"/>
        <v>0</v>
      </c>
      <c r="AV7" s="43">
        <f t="shared" si="1"/>
        <v>0</v>
      </c>
      <c r="AW7" s="43">
        <f t="shared" si="1"/>
        <v>0</v>
      </c>
      <c r="AX7" s="43">
        <f t="shared" si="1"/>
        <v>0</v>
      </c>
      <c r="AY7" s="43">
        <f t="shared" si="1"/>
        <v>0</v>
      </c>
      <c r="AZ7" s="43">
        <f t="shared" si="1"/>
        <v>0</v>
      </c>
      <c r="BA7" s="43">
        <f t="shared" si="1"/>
        <v>0</v>
      </c>
      <c r="BB7" s="43">
        <f t="shared" si="1"/>
        <v>0</v>
      </c>
      <c r="BC7" s="43">
        <f t="shared" si="1"/>
        <v>0</v>
      </c>
      <c r="BD7" s="43">
        <f t="shared" si="1"/>
        <v>0</v>
      </c>
      <c r="BE7" s="43">
        <f t="shared" si="1"/>
        <v>0</v>
      </c>
      <c r="BF7" s="43">
        <f t="shared" si="1"/>
        <v>0</v>
      </c>
      <c r="BG7" s="43">
        <f t="shared" si="1"/>
        <v>0</v>
      </c>
      <c r="BH7" s="43">
        <f t="shared" si="1"/>
        <v>0</v>
      </c>
      <c r="BI7" s="43">
        <f t="shared" si="1"/>
        <v>0</v>
      </c>
      <c r="BJ7" s="43">
        <f t="shared" si="1"/>
        <v>0</v>
      </c>
      <c r="BK7" s="43">
        <f t="shared" si="1"/>
        <v>0</v>
      </c>
      <c r="BL7" s="43">
        <f t="shared" si="1"/>
        <v>0</v>
      </c>
      <c r="BM7" s="43">
        <f t="shared" si="1"/>
        <v>0</v>
      </c>
      <c r="BN7" s="43">
        <f t="shared" si="1"/>
        <v>0</v>
      </c>
      <c r="BO7" s="43">
        <f t="shared" si="1"/>
        <v>0</v>
      </c>
      <c r="BP7" s="43">
        <f t="shared" si="1"/>
        <v>0</v>
      </c>
      <c r="BQ7" s="43">
        <f t="shared" si="1"/>
        <v>0</v>
      </c>
      <c r="BR7" s="43">
        <f t="shared" si="1"/>
        <v>0</v>
      </c>
      <c r="BS7" s="42"/>
    </row>
    <row r="8" spans="1:71" ht="39.950000000000003" customHeight="1" x14ac:dyDescent="0.25">
      <c r="A8" s="456" t="s">
        <v>300</v>
      </c>
      <c r="B8" s="457"/>
      <c r="C8" s="457"/>
      <c r="D8" s="457"/>
      <c r="E8" s="458"/>
      <c r="F8" s="45">
        <f>Fasce_Tot!E$4</f>
        <v>0</v>
      </c>
      <c r="G8" s="45">
        <f>Fasce_Tot!E$5</f>
        <v>0</v>
      </c>
      <c r="H8" s="45">
        <f>Fasce_Tot!E$6</f>
        <v>0</v>
      </c>
      <c r="I8" s="45">
        <f>Fasce_Tot!E$7</f>
        <v>0</v>
      </c>
      <c r="J8" s="45">
        <f>Fasce_Tot!E$8</f>
        <v>0</v>
      </c>
      <c r="K8" s="45">
        <f>Fasce_Tot!E$9</f>
        <v>0</v>
      </c>
      <c r="L8" s="45">
        <f>Fasce_Tot!E$10</f>
        <v>0</v>
      </c>
      <c r="M8" s="45">
        <f>Fasce_Tot!E$11</f>
        <v>0</v>
      </c>
      <c r="N8" s="45">
        <f>Fasce_Tot!E$12</f>
        <v>0</v>
      </c>
      <c r="O8" s="45">
        <f>Fasce_Tot!E$13</f>
        <v>0</v>
      </c>
      <c r="P8" s="45">
        <f>Fasce_Tot!E$14</f>
        <v>0</v>
      </c>
      <c r="Q8" s="45">
        <f>Fasce_Tot!E$15</f>
        <v>0</v>
      </c>
      <c r="R8" s="45">
        <f>Fasce_Tot!E$16</f>
        <v>0</v>
      </c>
      <c r="S8" s="45">
        <f>Fasce_Tot!E$17</f>
        <v>0</v>
      </c>
      <c r="T8" s="45">
        <f>Fasce_Tot!E$18</f>
        <v>0</v>
      </c>
      <c r="U8" s="45">
        <f>Fasce_Tot!E$19</f>
        <v>0</v>
      </c>
      <c r="V8" s="45">
        <f>Fasce_Tot!E$20</f>
        <v>0</v>
      </c>
      <c r="W8" s="45">
        <f>Fasce_Tot!E$21</f>
        <v>0</v>
      </c>
      <c r="X8" s="45">
        <f>Fasce_Tot!E$22</f>
        <v>0</v>
      </c>
      <c r="Y8" s="45">
        <f>Fasce_Tot!E$23</f>
        <v>0</v>
      </c>
      <c r="Z8" s="45">
        <f>Fasce_Tot!E$24</f>
        <v>0</v>
      </c>
      <c r="AA8" s="45">
        <f>Fasce_Tot!E$25</f>
        <v>0</v>
      </c>
      <c r="AB8" s="45">
        <f>Fasce_Tot!E$26</f>
        <v>0</v>
      </c>
      <c r="AC8" s="45">
        <f>Fasce_Tot!E$27</f>
        <v>0</v>
      </c>
      <c r="AD8" s="45">
        <f>Fasce_Tot!E$28</f>
        <v>0</v>
      </c>
      <c r="AE8" s="45">
        <f>Fasce_Tot!E$29</f>
        <v>0</v>
      </c>
      <c r="AF8" s="45">
        <f>Fasce_Tot!E$30</f>
        <v>0</v>
      </c>
      <c r="AG8" s="45">
        <f>Fasce_Tot!E$31</f>
        <v>0</v>
      </c>
      <c r="AH8" s="45">
        <f>Fasce_Tot!E$32</f>
        <v>0</v>
      </c>
      <c r="AI8" s="45">
        <f>Fasce_Tot!E$33</f>
        <v>0</v>
      </c>
      <c r="AJ8" s="45">
        <f>Fasce_Tot!E$34</f>
        <v>0</v>
      </c>
      <c r="AK8" s="45">
        <f>Fasce_Tot!E$35</f>
        <v>0</v>
      </c>
      <c r="AL8" s="45">
        <f>Fasce_Tot!E$36</f>
        <v>0</v>
      </c>
      <c r="AM8" s="45">
        <f>Fasce_Tot!E$37</f>
        <v>0</v>
      </c>
      <c r="AN8" s="45">
        <f>Fasce_Tot!E$38</f>
        <v>0</v>
      </c>
      <c r="AO8" s="45">
        <f>Fasce_Tot!E$39</f>
        <v>0</v>
      </c>
      <c r="AP8" s="45">
        <f>Fasce_Tot!E$40</f>
        <v>0</v>
      </c>
      <c r="AQ8" s="45">
        <f>Fasce_Tot!E$41</f>
        <v>0</v>
      </c>
      <c r="AR8" s="45">
        <f>Fasce_Tot!E$42</f>
        <v>0</v>
      </c>
      <c r="AS8" s="45">
        <f>Fasce_Tot!E$43</f>
        <v>0</v>
      </c>
      <c r="AT8" s="45">
        <f>Fasce_Tot!E$44</f>
        <v>0</v>
      </c>
      <c r="AU8" s="45">
        <f>Fasce_Tot!E$45</f>
        <v>0</v>
      </c>
      <c r="AV8" s="45">
        <f>Fasce_Tot!E$46</f>
        <v>0</v>
      </c>
      <c r="AW8" s="45">
        <f>Fasce_Tot!E$47</f>
        <v>0</v>
      </c>
      <c r="AX8" s="45">
        <f>Fasce_Tot!E$48</f>
        <v>0</v>
      </c>
      <c r="AY8" s="45">
        <f>Fasce_Tot!E$49</f>
        <v>0</v>
      </c>
      <c r="AZ8" s="45">
        <f>Fasce_Tot!E$50</f>
        <v>0</v>
      </c>
      <c r="BA8" s="45">
        <f>Fasce_Tot!E$51</f>
        <v>0</v>
      </c>
      <c r="BB8" s="45">
        <f>Fasce_Tot!E$52</f>
        <v>0</v>
      </c>
      <c r="BC8" s="45">
        <f>Fasce_Tot!E$53</f>
        <v>0</v>
      </c>
      <c r="BD8" s="45">
        <f>Fasce_Tot!E$54</f>
        <v>0</v>
      </c>
      <c r="BE8" s="45">
        <f>Fasce_Tot!E$55</f>
        <v>0</v>
      </c>
      <c r="BF8" s="45">
        <f>Fasce_Tot!E$56</f>
        <v>0</v>
      </c>
      <c r="BG8" s="45">
        <f>Fasce_Tot!E$57</f>
        <v>0</v>
      </c>
      <c r="BH8" s="45">
        <f>Fasce_Tot!E$58</f>
        <v>0</v>
      </c>
      <c r="BI8" s="45">
        <f>Fasce_Tot!E$59</f>
        <v>0</v>
      </c>
      <c r="BJ8" s="45">
        <f>Fasce_Tot!E$60</f>
        <v>0</v>
      </c>
      <c r="BK8" s="45">
        <f>Fasce_Tot!E$61</f>
        <v>0</v>
      </c>
      <c r="BL8" s="45">
        <f>Fasce_Tot!E$62</f>
        <v>0</v>
      </c>
      <c r="BM8" s="45">
        <f>Fasce_Tot!E$63</f>
        <v>0</v>
      </c>
      <c r="BN8" s="45">
        <f>Fasce_Tot!E$64</f>
        <v>0</v>
      </c>
      <c r="BO8" s="45">
        <f>Fasce_Tot!E$65</f>
        <v>0</v>
      </c>
      <c r="BP8" s="45">
        <f>Fasce_Tot!E$66</f>
        <v>0</v>
      </c>
      <c r="BQ8" s="45">
        <f>SUM(Fasce_Tot!K5:'Fasce_Tot'!K6)</f>
        <v>0</v>
      </c>
      <c r="BR8" s="45">
        <f>SUM(Fasce_Tot!K7:'Fasce_Tot'!K8)</f>
        <v>0</v>
      </c>
      <c r="BS8" s="42"/>
    </row>
    <row r="9" spans="1:71" ht="39.950000000000003" customHeight="1" x14ac:dyDescent="0.25">
      <c r="A9" s="477" t="s">
        <v>301</v>
      </c>
      <c r="B9" s="478"/>
      <c r="C9" s="478"/>
      <c r="D9" s="478"/>
      <c r="E9" s="479"/>
      <c r="F9" s="43">
        <f>Fasce_Tot!F$4</f>
        <v>0</v>
      </c>
      <c r="G9" s="43">
        <f>Fasce_Tot!F$5</f>
        <v>0</v>
      </c>
      <c r="H9" s="43">
        <f>Fasce_Tot!F$6</f>
        <v>0</v>
      </c>
      <c r="I9" s="43">
        <f>Fasce_Tot!F$7</f>
        <v>0</v>
      </c>
      <c r="J9" s="43">
        <f>Fasce_Tot!F$8</f>
        <v>0</v>
      </c>
      <c r="K9" s="43">
        <f>Fasce_Tot!F$9</f>
        <v>0</v>
      </c>
      <c r="L9" s="43">
        <f>Fasce_Tot!F$10</f>
        <v>0</v>
      </c>
      <c r="M9" s="43">
        <f>Fasce_Tot!F$11</f>
        <v>0</v>
      </c>
      <c r="N9" s="43">
        <f>Fasce_Tot!F$12</f>
        <v>0</v>
      </c>
      <c r="O9" s="43">
        <f>Fasce_Tot!F$13</f>
        <v>0</v>
      </c>
      <c r="P9" s="43">
        <f>Fasce_Tot!F$14</f>
        <v>0</v>
      </c>
      <c r="Q9" s="43">
        <f>Fasce_Tot!F$15</f>
        <v>0</v>
      </c>
      <c r="R9" s="43">
        <f>Fasce_Tot!F$16</f>
        <v>0</v>
      </c>
      <c r="S9" s="43">
        <f>Fasce_Tot!F$17</f>
        <v>0</v>
      </c>
      <c r="T9" s="43">
        <f>Fasce_Tot!F$18</f>
        <v>0</v>
      </c>
      <c r="U9" s="43">
        <f>Fasce_Tot!F$19</f>
        <v>0</v>
      </c>
      <c r="V9" s="43">
        <f>Fasce_Tot!F$20</f>
        <v>0</v>
      </c>
      <c r="W9" s="43">
        <f>Fasce_Tot!F$21</f>
        <v>0</v>
      </c>
      <c r="X9" s="43">
        <f>Fasce_Tot!F$22</f>
        <v>0</v>
      </c>
      <c r="Y9" s="43">
        <f>Fasce_Tot!F$23</f>
        <v>0</v>
      </c>
      <c r="Z9" s="43">
        <f>Fasce_Tot!F$24</f>
        <v>0</v>
      </c>
      <c r="AA9" s="43">
        <f>Fasce_Tot!F$25</f>
        <v>0</v>
      </c>
      <c r="AB9" s="43">
        <f>Fasce_Tot!F$26</f>
        <v>0</v>
      </c>
      <c r="AC9" s="43">
        <f>Fasce_Tot!F$27</f>
        <v>0</v>
      </c>
      <c r="AD9" s="43">
        <f>Fasce_Tot!F$28</f>
        <v>0</v>
      </c>
      <c r="AE9" s="43">
        <f>Fasce_Tot!F$29</f>
        <v>0</v>
      </c>
      <c r="AF9" s="43">
        <f>Fasce_Tot!F$30</f>
        <v>0</v>
      </c>
      <c r="AG9" s="43">
        <f>Fasce_Tot!F$31</f>
        <v>0</v>
      </c>
      <c r="AH9" s="43">
        <f>Fasce_Tot!F$32</f>
        <v>0</v>
      </c>
      <c r="AI9" s="43">
        <f>Fasce_Tot!F$33</f>
        <v>0</v>
      </c>
      <c r="AJ9" s="43">
        <f>Fasce_Tot!F$34</f>
        <v>0</v>
      </c>
      <c r="AK9" s="43">
        <f>Fasce_Tot!F$35</f>
        <v>0</v>
      </c>
      <c r="AL9" s="43">
        <f>Fasce_Tot!F$36</f>
        <v>0</v>
      </c>
      <c r="AM9" s="43">
        <f>Fasce_Tot!F$37</f>
        <v>0</v>
      </c>
      <c r="AN9" s="43">
        <f>Fasce_Tot!F$38</f>
        <v>0</v>
      </c>
      <c r="AO9" s="43">
        <f>Fasce_Tot!F$39</f>
        <v>0</v>
      </c>
      <c r="AP9" s="43">
        <f>Fasce_Tot!F$40</f>
        <v>0</v>
      </c>
      <c r="AQ9" s="43">
        <f>Fasce_Tot!F$41</f>
        <v>0</v>
      </c>
      <c r="AR9" s="43">
        <f>Fasce_Tot!F$42</f>
        <v>0</v>
      </c>
      <c r="AS9" s="43">
        <f>Fasce_Tot!F$43</f>
        <v>0</v>
      </c>
      <c r="AT9" s="43">
        <f>Fasce_Tot!F$44</f>
        <v>0</v>
      </c>
      <c r="AU9" s="43">
        <f>Fasce_Tot!F$45</f>
        <v>0</v>
      </c>
      <c r="AV9" s="43">
        <f>Fasce_Tot!F$46</f>
        <v>0</v>
      </c>
      <c r="AW9" s="43">
        <f>Fasce_Tot!F$47</f>
        <v>0</v>
      </c>
      <c r="AX9" s="43">
        <f>Fasce_Tot!F$48</f>
        <v>0</v>
      </c>
      <c r="AY9" s="43">
        <f>Fasce_Tot!F$49</f>
        <v>0</v>
      </c>
      <c r="AZ9" s="43">
        <f>Fasce_Tot!F$50</f>
        <v>0</v>
      </c>
      <c r="BA9" s="43">
        <f>Fasce_Tot!F$51</f>
        <v>0</v>
      </c>
      <c r="BB9" s="43">
        <f>Fasce_Tot!F$52</f>
        <v>0</v>
      </c>
      <c r="BC9" s="43">
        <f>Fasce_Tot!F$53</f>
        <v>0</v>
      </c>
      <c r="BD9" s="43">
        <f>Fasce_Tot!F$54</f>
        <v>0</v>
      </c>
      <c r="BE9" s="43">
        <f>Fasce_Tot!F$55</f>
        <v>0</v>
      </c>
      <c r="BF9" s="43">
        <f>Fasce_Tot!F$56</f>
        <v>0</v>
      </c>
      <c r="BG9" s="43">
        <f>Fasce_Tot!F$57</f>
        <v>0</v>
      </c>
      <c r="BH9" s="43">
        <f>Fasce_Tot!F$58</f>
        <v>0</v>
      </c>
      <c r="BI9" s="43">
        <f>Fasce_Tot!F$59</f>
        <v>0</v>
      </c>
      <c r="BJ9" s="43">
        <f>Fasce_Tot!F$60</f>
        <v>0</v>
      </c>
      <c r="BK9" s="43">
        <f>Fasce_Tot!F$61</f>
        <v>0</v>
      </c>
      <c r="BL9" s="43">
        <f>Fasce_Tot!F$62</f>
        <v>0</v>
      </c>
      <c r="BM9" s="43">
        <f>Fasce_Tot!F$63</f>
        <v>0</v>
      </c>
      <c r="BN9" s="43">
        <f>Fasce_Tot!F$64</f>
        <v>0</v>
      </c>
      <c r="BO9" s="43">
        <f>Fasce_Tot!F$65</f>
        <v>0</v>
      </c>
      <c r="BP9" s="43">
        <f>Fasce_Tot!F$66</f>
        <v>0</v>
      </c>
      <c r="BQ9" s="43">
        <f>SUM(Fasce_Tot!L5:'Fasce_Tot'!L6)</f>
        <v>0</v>
      </c>
      <c r="BR9" s="43">
        <f>SUM(Fasce_Tot!L7:'Fasce_Tot'!L8)</f>
        <v>0</v>
      </c>
      <c r="BS9" s="42"/>
    </row>
    <row r="10" spans="1:71" ht="45" customHeight="1" x14ac:dyDescent="0.25">
      <c r="A10" s="447" t="s">
        <v>302</v>
      </c>
      <c r="B10" s="448"/>
      <c r="C10" s="448"/>
      <c r="D10" s="448"/>
      <c r="E10" s="449"/>
      <c r="F10" s="44" t="e">
        <f>F11</f>
        <v>#REF!</v>
      </c>
      <c r="G10" s="443" t="e">
        <f>SUM(G11:J11)</f>
        <v>#REF!</v>
      </c>
      <c r="H10" s="444"/>
      <c r="I10" s="444"/>
      <c r="J10" s="445"/>
      <c r="K10" s="446" t="e">
        <f>SUM(K11:L11)</f>
        <v>#REF!</v>
      </c>
      <c r="L10" s="446"/>
      <c r="M10" s="446" t="e">
        <f>SUM(M11:N11)</f>
        <v>#REF!</v>
      </c>
      <c r="N10" s="446"/>
      <c r="O10" s="446" t="e">
        <f>SUM(O11:P11)</f>
        <v>#REF!</v>
      </c>
      <c r="P10" s="446"/>
      <c r="Q10" s="446" t="e">
        <f>SUM(Q11:R11)</f>
        <v>#REF!</v>
      </c>
      <c r="R10" s="446"/>
      <c r="S10" s="446" t="e">
        <f>SUM(S11:U11)</f>
        <v>#REF!</v>
      </c>
      <c r="T10" s="446"/>
      <c r="U10" s="446"/>
      <c r="V10" s="446" t="e">
        <f>SUM(V11:Y11)</f>
        <v>#REF!</v>
      </c>
      <c r="W10" s="446"/>
      <c r="X10" s="446"/>
      <c r="Y10" s="446"/>
      <c r="Z10" s="446" t="e">
        <f>SUM(Z11:AC11)</f>
        <v>#REF!</v>
      </c>
      <c r="AA10" s="446"/>
      <c r="AB10" s="446"/>
      <c r="AC10" s="446"/>
      <c r="AD10" s="446" t="e">
        <f>SUM(AD11:AE11)</f>
        <v>#REF!</v>
      </c>
      <c r="AE10" s="446"/>
      <c r="AF10" s="446" t="e">
        <f>SUM(AF11:AG11)</f>
        <v>#REF!</v>
      </c>
      <c r="AG10" s="446"/>
      <c r="AH10" s="446" t="e">
        <f>SUM(AH11:AI11)</f>
        <v>#REF!</v>
      </c>
      <c r="AI10" s="446"/>
      <c r="AJ10" s="446" t="e">
        <f>SUM(AJ11:AK11)</f>
        <v>#REF!</v>
      </c>
      <c r="AK10" s="446"/>
      <c r="AL10" s="446" t="e">
        <f>SUM(AL11:AN11)</f>
        <v>#REF!</v>
      </c>
      <c r="AM10" s="446"/>
      <c r="AN10" s="446"/>
      <c r="AO10" s="446" t="e">
        <f>SUM(AO11:AR11)</f>
        <v>#REF!</v>
      </c>
      <c r="AP10" s="446"/>
      <c r="AQ10" s="446"/>
      <c r="AR10" s="446"/>
      <c r="AS10" s="446" t="e">
        <f>SUM(AS11:AV11)</f>
        <v>#REF!</v>
      </c>
      <c r="AT10" s="446"/>
      <c r="AU10" s="446"/>
      <c r="AV10" s="446"/>
      <c r="AW10" s="446" t="e">
        <f>SUM(AW11:AY11)</f>
        <v>#REF!</v>
      </c>
      <c r="AX10" s="446"/>
      <c r="AY10" s="446"/>
      <c r="AZ10" s="446" t="e">
        <f>SUM(AZ11:BA11)</f>
        <v>#REF!</v>
      </c>
      <c r="BA10" s="446"/>
      <c r="BB10" s="446" t="e">
        <f>SUM(BB11:BC11)</f>
        <v>#REF!</v>
      </c>
      <c r="BC10" s="446"/>
      <c r="BD10" s="446" t="e">
        <f>SUM(BD11:BF11)</f>
        <v>#REF!</v>
      </c>
      <c r="BE10" s="446"/>
      <c r="BF10" s="446"/>
      <c r="BG10" s="446" t="e">
        <f>SUM(BG11:BH11)</f>
        <v>#REF!</v>
      </c>
      <c r="BH10" s="446"/>
      <c r="BI10" s="446" t="e">
        <f>SUM(BI11:BJ11)</f>
        <v>#REF!</v>
      </c>
      <c r="BJ10" s="446"/>
      <c r="BK10" s="446" t="e">
        <f>SUM(BK11:BL11)</f>
        <v>#REF!</v>
      </c>
      <c r="BL10" s="446"/>
      <c r="BM10" s="446" t="e">
        <f>SUM(BM11:BN11)</f>
        <v>#REF!</v>
      </c>
      <c r="BN10" s="446"/>
      <c r="BO10" s="446" t="e">
        <f>SUM(BO11:BP11)</f>
        <v>#REF!</v>
      </c>
      <c r="BP10" s="446"/>
      <c r="BQ10" s="446" t="e">
        <f>SUM(BQ11:BR11)</f>
        <v>#REF!</v>
      </c>
      <c r="BR10" s="446"/>
      <c r="BS10" s="42"/>
    </row>
    <row r="11" spans="1:71" ht="35.1" customHeight="1" x14ac:dyDescent="0.25">
      <c r="A11" s="450"/>
      <c r="B11" s="451"/>
      <c r="C11" s="451"/>
      <c r="D11" s="451"/>
      <c r="E11" s="45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53" t="s">
        <v>36</v>
      </c>
      <c r="B12" s="454"/>
      <c r="C12" s="454"/>
      <c r="D12" s="454"/>
      <c r="E12" s="45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18" t="e">
        <f>V$4*Percentuali!$M$10</f>
        <v>#REF!</v>
      </c>
      <c r="W12" s="419"/>
      <c r="X12" s="419"/>
      <c r="Y12" s="420"/>
      <c r="Z12" s="418" t="e">
        <f>Z$4*Percentuali!$M$11</f>
        <v>#REF!</v>
      </c>
      <c r="AA12" s="419"/>
      <c r="AB12" s="419"/>
      <c r="AC12" s="420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18" t="e">
        <f>AO$4*Percentuali!$M$17</f>
        <v>#REF!</v>
      </c>
      <c r="AP12" s="419"/>
      <c r="AQ12" s="419"/>
      <c r="AR12" s="420"/>
      <c r="AS12" s="418" t="e">
        <f>AS$4*Percentuali!$M$18</f>
        <v>#REF!</v>
      </c>
      <c r="AT12" s="419"/>
      <c r="AU12" s="419"/>
      <c r="AV12" s="420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56" t="s">
        <v>183</v>
      </c>
      <c r="B13" s="457"/>
      <c r="C13" s="457"/>
      <c r="D13" s="457"/>
      <c r="E13" s="458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15" t="e">
        <f>V$4*Percentuali!$N$10</f>
        <v>#REF!</v>
      </c>
      <c r="W13" s="416"/>
      <c r="X13" s="416"/>
      <c r="Y13" s="417"/>
      <c r="Z13" s="415" t="e">
        <f>Z$4*Percentuali!$N$11</f>
        <v>#REF!</v>
      </c>
      <c r="AA13" s="416"/>
      <c r="AB13" s="416"/>
      <c r="AC13" s="417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15" t="e">
        <f>AO$4*Percentuali!$N$17</f>
        <v>#REF!</v>
      </c>
      <c r="AP13" s="416"/>
      <c r="AQ13" s="416"/>
      <c r="AR13" s="417"/>
      <c r="AS13" s="415" t="e">
        <f>AS$4*Percentuali!$N$18</f>
        <v>#REF!</v>
      </c>
      <c r="AT13" s="416"/>
      <c r="AU13" s="416"/>
      <c r="AV13" s="417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53" t="s">
        <v>304</v>
      </c>
      <c r="B14" s="454"/>
      <c r="C14" s="454"/>
      <c r="D14" s="454"/>
      <c r="E14" s="45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53" t="s">
        <v>303</v>
      </c>
      <c r="B15" s="454"/>
      <c r="C15" s="454"/>
      <c r="D15" s="454"/>
      <c r="E15" s="45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51"/>
      <c r="B16" s="52"/>
      <c r="C16" s="52"/>
      <c r="D16" s="53"/>
      <c r="E16" s="424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42"/>
    </row>
    <row r="17" spans="1:71" s="65" customFormat="1" ht="24.95" customHeight="1" x14ac:dyDescent="0.55000000000000004">
      <c r="A17" s="60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2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64"/>
    </row>
    <row r="18" spans="1:71" ht="32.1" customHeight="1" x14ac:dyDescent="0.55000000000000004">
      <c r="A18" s="51"/>
      <c r="B18" s="52"/>
      <c r="C18" s="66"/>
      <c r="D18" s="66"/>
      <c r="E18" s="424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42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2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42"/>
    </row>
    <row r="20" spans="1:71" ht="32.1" customHeight="1" x14ac:dyDescent="0.55000000000000004">
      <c r="A20" s="51"/>
      <c r="B20" s="52"/>
      <c r="C20" s="66"/>
      <c r="D20" s="66"/>
      <c r="E20" s="424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42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2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42"/>
    </row>
    <row r="22" spans="1:71" ht="32.1" customHeight="1" thickBot="1" x14ac:dyDescent="0.6">
      <c r="A22" s="68"/>
      <c r="B22" s="69"/>
      <c r="C22" s="70"/>
      <c r="D22" s="70"/>
      <c r="E22" s="440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42"/>
    </row>
    <row r="23" spans="1:71" ht="32.1" customHeight="1" x14ac:dyDescent="0.55000000000000004">
      <c r="A23" s="158"/>
      <c r="B23" s="72"/>
      <c r="C23" s="73"/>
      <c r="D23" s="73"/>
      <c r="E23" s="423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42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2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42"/>
    </row>
    <row r="25" spans="1:71" ht="32.1" customHeight="1" x14ac:dyDescent="0.55000000000000004">
      <c r="A25" s="154"/>
      <c r="B25" s="52"/>
      <c r="C25" s="66"/>
      <c r="D25" s="66"/>
      <c r="E25" s="424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42"/>
    </row>
    <row r="26" spans="1:71" ht="24.95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24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42"/>
    </row>
    <row r="27" spans="1:71" ht="32.1" customHeight="1" x14ac:dyDescent="0.55000000000000004">
      <c r="A27" s="51"/>
      <c r="B27" s="52"/>
      <c r="C27" s="66"/>
      <c r="D27" s="66"/>
      <c r="E27" s="424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42"/>
    </row>
    <row r="28" spans="1:71" ht="24.95" customHeight="1" x14ac:dyDescent="0.55000000000000004">
      <c r="A28" s="268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2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42"/>
    </row>
    <row r="29" spans="1:71" ht="32.1" customHeight="1" x14ac:dyDescent="0.55000000000000004">
      <c r="A29" s="51"/>
      <c r="B29" s="52"/>
      <c r="C29" s="66"/>
      <c r="D29" s="66"/>
      <c r="E29" s="424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42"/>
    </row>
    <row r="30" spans="1:71" ht="24.95" customHeight="1" x14ac:dyDescent="0.55000000000000004">
      <c r="A30" s="268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2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42"/>
    </row>
    <row r="31" spans="1:71" ht="32.1" customHeight="1" thickBot="1" x14ac:dyDescent="0.6">
      <c r="A31" s="192"/>
      <c r="B31" s="99"/>
      <c r="C31" s="100"/>
      <c r="D31" s="100"/>
      <c r="E31" s="441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42"/>
    </row>
    <row r="32" spans="1:71" ht="32.1" customHeight="1" x14ac:dyDescent="0.55000000000000004">
      <c r="A32" s="103"/>
      <c r="B32" s="104"/>
      <c r="C32" s="105"/>
      <c r="D32" s="105"/>
      <c r="E32" s="439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42"/>
    </row>
    <row r="33" spans="1:71" ht="24.95" customHeight="1" x14ac:dyDescent="0.55000000000000004">
      <c r="A33" s="268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2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42"/>
    </row>
    <row r="34" spans="1:71" ht="32.1" customHeight="1" x14ac:dyDescent="0.55000000000000004">
      <c r="A34" s="51"/>
      <c r="B34" s="52"/>
      <c r="C34" s="66"/>
      <c r="D34" s="66"/>
      <c r="E34" s="424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42"/>
    </row>
    <row r="35" spans="1:71" ht="24.95" customHeight="1" x14ac:dyDescent="0.55000000000000004">
      <c r="A35" s="60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2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42"/>
    </row>
    <row r="36" spans="1:71" ht="32.1" customHeight="1" x14ac:dyDescent="0.55000000000000004">
      <c r="A36" s="51"/>
      <c r="B36" s="52"/>
      <c r="C36" s="66"/>
      <c r="D36" s="66"/>
      <c r="E36" s="424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42"/>
    </row>
    <row r="37" spans="1:71" ht="24.95" customHeight="1" x14ac:dyDescent="0.55000000000000004">
      <c r="A37" s="268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2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42"/>
    </row>
    <row r="38" spans="1:71" ht="32.1" customHeight="1" x14ac:dyDescent="0.55000000000000004">
      <c r="A38" s="51"/>
      <c r="B38" s="52"/>
      <c r="C38" s="66"/>
      <c r="D38" s="66"/>
      <c r="E38" s="424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42"/>
    </row>
    <row r="39" spans="1:71" ht="24.95" customHeight="1" x14ac:dyDescent="0.55000000000000004">
      <c r="A39" s="60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2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42"/>
    </row>
    <row r="40" spans="1:71" ht="32.1" customHeight="1" x14ac:dyDescent="0.55000000000000004">
      <c r="A40" s="51"/>
      <c r="B40" s="52"/>
      <c r="C40" s="66"/>
      <c r="D40" s="66"/>
      <c r="E40" s="424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42"/>
    </row>
    <row r="41" spans="1:71" ht="24.95" customHeight="1" x14ac:dyDescent="0.55000000000000004">
      <c r="A41" s="60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2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42"/>
    </row>
    <row r="42" spans="1:71" ht="32.1" customHeight="1" x14ac:dyDescent="0.55000000000000004">
      <c r="A42" s="51"/>
      <c r="B42" s="52"/>
      <c r="C42" s="66"/>
      <c r="D42" s="66"/>
      <c r="E42" s="424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42"/>
    </row>
    <row r="43" spans="1:71" ht="24.95" customHeight="1" x14ac:dyDescent="0.55000000000000004">
      <c r="A43" s="60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2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42"/>
    </row>
    <row r="44" spans="1:71" ht="32.1" customHeight="1" x14ac:dyDescent="0.55000000000000004">
      <c r="A44" s="51"/>
      <c r="B44" s="52"/>
      <c r="C44" s="66"/>
      <c r="D44" s="66"/>
      <c r="E44" s="424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42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2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42"/>
    </row>
    <row r="46" spans="1:71" ht="32.1" customHeight="1" thickBot="1" x14ac:dyDescent="0.6">
      <c r="A46" s="68"/>
      <c r="B46" s="69"/>
      <c r="C46" s="70"/>
      <c r="D46" s="70"/>
      <c r="E46" s="440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42"/>
    </row>
    <row r="47" spans="1:71" ht="32.1" customHeight="1" x14ac:dyDescent="0.55000000000000004">
      <c r="A47" s="71"/>
      <c r="B47" s="72"/>
      <c r="C47" s="73"/>
      <c r="D47" s="204"/>
      <c r="E47" s="423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42"/>
    </row>
    <row r="48" spans="1:71" ht="24.95" customHeight="1" x14ac:dyDescent="0.55000000000000004">
      <c r="A48" s="60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2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42"/>
    </row>
    <row r="49" spans="1:71" ht="32.1" customHeight="1" x14ac:dyDescent="0.55000000000000004">
      <c r="A49" s="51"/>
      <c r="B49" s="52"/>
      <c r="C49" s="66"/>
      <c r="D49" s="66"/>
      <c r="E49" s="424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42"/>
    </row>
    <row r="50" spans="1:71" ht="24.95" customHeight="1" x14ac:dyDescent="0.55000000000000004">
      <c r="A50" s="60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2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42"/>
    </row>
    <row r="51" spans="1:71" ht="32.1" customHeight="1" x14ac:dyDescent="0.55000000000000004">
      <c r="A51" s="51"/>
      <c r="B51" s="52"/>
      <c r="C51" s="66"/>
      <c r="D51" s="66"/>
      <c r="E51" s="424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42"/>
    </row>
    <row r="52" spans="1:71" ht="24.95" customHeight="1" x14ac:dyDescent="0.55000000000000004">
      <c r="A52" s="60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2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42"/>
    </row>
    <row r="53" spans="1:71" ht="32.1" customHeight="1" thickBot="1" x14ac:dyDescent="0.6">
      <c r="A53" s="98"/>
      <c r="B53" s="99"/>
      <c r="C53" s="100"/>
      <c r="D53" s="100"/>
      <c r="E53" s="441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42"/>
    </row>
    <row r="54" spans="1:71" ht="32.1" customHeight="1" x14ac:dyDescent="0.55000000000000004">
      <c r="A54" s="104"/>
      <c r="B54" s="104"/>
      <c r="C54" s="105"/>
      <c r="D54" s="105"/>
      <c r="E54" s="439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42"/>
    </row>
    <row r="55" spans="1:71" ht="24.95" customHeight="1" x14ac:dyDescent="0.55000000000000004">
      <c r="A55" s="268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24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42"/>
    </row>
    <row r="56" spans="1:71" ht="32.1" customHeight="1" x14ac:dyDescent="0.55000000000000004">
      <c r="A56" s="51"/>
      <c r="B56" s="52"/>
      <c r="C56" s="66"/>
      <c r="D56" s="66"/>
      <c r="E56" s="424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42"/>
    </row>
    <row r="57" spans="1:71" ht="24.95" customHeight="1" x14ac:dyDescent="0.55000000000000004">
      <c r="A57" s="268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24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42"/>
    </row>
    <row r="58" spans="1:71" ht="32.1" customHeight="1" x14ac:dyDescent="0.55000000000000004">
      <c r="A58" s="51"/>
      <c r="B58" s="52"/>
      <c r="C58" s="66"/>
      <c r="D58" s="66"/>
      <c r="E58" s="424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42"/>
    </row>
    <row r="59" spans="1:71" ht="24.95" customHeight="1" x14ac:dyDescent="0.55000000000000004">
      <c r="A59" s="60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24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42"/>
    </row>
    <row r="60" spans="1:71" ht="32.1" customHeight="1" x14ac:dyDescent="0.55000000000000004">
      <c r="A60" s="51"/>
      <c r="B60" s="52"/>
      <c r="C60" s="66"/>
      <c r="D60" s="66"/>
      <c r="E60" s="424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42"/>
    </row>
    <row r="61" spans="1:71" ht="24.95" customHeight="1" x14ac:dyDescent="0.55000000000000004">
      <c r="A61" s="268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24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42"/>
    </row>
    <row r="62" spans="1:71" ht="32.1" customHeight="1" x14ac:dyDescent="0.55000000000000004">
      <c r="A62" s="51"/>
      <c r="B62" s="52"/>
      <c r="C62" s="66"/>
      <c r="D62" s="66"/>
      <c r="E62" s="424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42"/>
    </row>
    <row r="63" spans="1:71" ht="24.95" customHeight="1" x14ac:dyDescent="0.55000000000000004">
      <c r="A63" s="109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24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42"/>
    </row>
    <row r="64" spans="1:71" ht="32.1" customHeight="1" x14ac:dyDescent="0.55000000000000004">
      <c r="A64" s="51"/>
      <c r="B64" s="52"/>
      <c r="C64" s="66"/>
      <c r="D64" s="66"/>
      <c r="E64" s="424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42"/>
    </row>
    <row r="65" spans="1:71" ht="24.95" customHeight="1" x14ac:dyDescent="0.55000000000000004">
      <c r="A65" s="268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24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42"/>
    </row>
    <row r="66" spans="1:71" ht="32.1" customHeight="1" thickBot="1" x14ac:dyDescent="0.6">
      <c r="A66" s="68"/>
      <c r="B66" s="69"/>
      <c r="C66" s="70"/>
      <c r="D66" s="70"/>
      <c r="E66" s="440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42"/>
    </row>
    <row r="67" spans="1:71" ht="32.1" customHeight="1" x14ac:dyDescent="0.55000000000000004">
      <c r="A67" s="71"/>
      <c r="B67" s="72"/>
      <c r="C67" s="73"/>
      <c r="D67" s="73"/>
      <c r="E67" s="423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42"/>
    </row>
    <row r="68" spans="1:71" ht="24.95" customHeight="1" x14ac:dyDescent="0.55000000000000004">
      <c r="A68" s="60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2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42"/>
    </row>
    <row r="69" spans="1:71" ht="32.1" customHeight="1" x14ac:dyDescent="0.55000000000000004">
      <c r="A69" s="51"/>
      <c r="B69" s="52"/>
      <c r="C69" s="66"/>
      <c r="D69" s="66"/>
      <c r="E69" s="424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42"/>
    </row>
    <row r="70" spans="1:71" ht="24.95" customHeight="1" x14ac:dyDescent="0.55000000000000004">
      <c r="A70" s="268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24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42"/>
    </row>
    <row r="71" spans="1:71" ht="32.1" customHeight="1" x14ac:dyDescent="0.55000000000000004">
      <c r="A71" s="51"/>
      <c r="B71" s="52"/>
      <c r="C71" s="66"/>
      <c r="D71" s="66"/>
      <c r="E71" s="424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42"/>
    </row>
    <row r="72" spans="1:71" ht="24.95" customHeight="1" x14ac:dyDescent="0.55000000000000004">
      <c r="A72" s="109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24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42"/>
    </row>
    <row r="73" spans="1:71" ht="32.1" customHeight="1" x14ac:dyDescent="0.55000000000000004">
      <c r="A73" s="51"/>
      <c r="B73" s="52"/>
      <c r="C73" s="66"/>
      <c r="D73" s="66"/>
      <c r="E73" s="424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42"/>
    </row>
    <row r="74" spans="1:71" ht="24.95" customHeight="1" x14ac:dyDescent="0.55000000000000004">
      <c r="A74" s="60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24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42"/>
    </row>
    <row r="75" spans="1:71" ht="32.1" customHeight="1" x14ac:dyDescent="0.55000000000000004">
      <c r="A75" s="51"/>
      <c r="B75" s="52"/>
      <c r="C75" s="66"/>
      <c r="D75" s="66"/>
      <c r="E75" s="424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42"/>
    </row>
    <row r="76" spans="1:71" ht="24.95" customHeight="1" x14ac:dyDescent="0.55000000000000004">
      <c r="A76" s="268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24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42"/>
    </row>
    <row r="77" spans="1:71" ht="32.1" customHeight="1" x14ac:dyDescent="0.55000000000000004">
      <c r="A77" s="51"/>
      <c r="B77" s="52"/>
      <c r="C77" s="66"/>
      <c r="D77" s="66"/>
      <c r="E77" s="424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42"/>
    </row>
    <row r="78" spans="1:71" ht="24.95" customHeight="1" x14ac:dyDescent="0.55000000000000004">
      <c r="A78" s="60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24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42"/>
    </row>
    <row r="79" spans="1:71" ht="32.1" customHeight="1" thickBot="1" x14ac:dyDescent="0.6">
      <c r="A79" s="98"/>
      <c r="B79" s="99"/>
      <c r="C79" s="100"/>
      <c r="D79" s="100"/>
      <c r="E79" s="441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42"/>
    </row>
    <row r="80" spans="1:71" ht="32.1" customHeight="1" x14ac:dyDescent="0.55000000000000004">
      <c r="A80" s="103"/>
      <c r="B80" s="104"/>
      <c r="C80" s="105"/>
      <c r="D80" s="105"/>
      <c r="E80" s="439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42"/>
    </row>
    <row r="81" spans="1:71" ht="24.95" customHeight="1" x14ac:dyDescent="0.55000000000000004">
      <c r="A81" s="60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2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42"/>
    </row>
    <row r="82" spans="1:71" ht="32.1" customHeight="1" x14ac:dyDescent="0.55000000000000004">
      <c r="A82" s="51"/>
      <c r="B82" s="52"/>
      <c r="C82" s="66"/>
      <c r="D82" s="66"/>
      <c r="E82" s="42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42"/>
    </row>
    <row r="83" spans="1:71" ht="24.95" customHeight="1" x14ac:dyDescent="0.55000000000000004">
      <c r="A83" s="268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24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42"/>
    </row>
    <row r="84" spans="1:71" ht="32.1" customHeight="1" x14ac:dyDescent="0.55000000000000004">
      <c r="A84" s="51"/>
      <c r="B84" s="52"/>
      <c r="C84" s="66"/>
      <c r="D84" s="66"/>
      <c r="E84" s="424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42"/>
    </row>
    <row r="85" spans="1:71" ht="24.95" customHeight="1" x14ac:dyDescent="0.55000000000000004">
      <c r="A85" s="60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2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42"/>
    </row>
    <row r="86" spans="1:71" ht="32.1" customHeight="1" thickBot="1" x14ac:dyDescent="0.6">
      <c r="A86" s="68"/>
      <c r="B86" s="69"/>
      <c r="C86" s="70"/>
      <c r="D86" s="70"/>
      <c r="E86" s="440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42"/>
    </row>
    <row r="87" spans="1:71" ht="32.1" customHeight="1" x14ac:dyDescent="0.55000000000000004">
      <c r="A87" s="71"/>
      <c r="B87" s="72"/>
      <c r="C87" s="73"/>
      <c r="D87" s="73"/>
      <c r="E87" s="423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42"/>
    </row>
    <row r="88" spans="1:71" ht="24.95" customHeight="1" x14ac:dyDescent="0.55000000000000004">
      <c r="A88" s="268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2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42"/>
    </row>
    <row r="89" spans="1:71" ht="32.1" customHeight="1" x14ac:dyDescent="0.55000000000000004">
      <c r="A89" s="51"/>
      <c r="B89" s="52"/>
      <c r="C89" s="66"/>
      <c r="D89" s="66"/>
      <c r="E89" s="42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42"/>
    </row>
    <row r="90" spans="1:71" ht="24.95" customHeight="1" x14ac:dyDescent="0.55000000000000004">
      <c r="A90" s="60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2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42"/>
    </row>
    <row r="91" spans="1:71" ht="32.1" customHeight="1" x14ac:dyDescent="0.55000000000000004">
      <c r="A91" s="51"/>
      <c r="B91" s="52"/>
      <c r="C91" s="66"/>
      <c r="D91" s="66"/>
      <c r="E91" s="42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42"/>
    </row>
    <row r="92" spans="1:71" ht="24.95" customHeight="1" x14ac:dyDescent="0.55000000000000004">
      <c r="A92" s="60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2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42"/>
    </row>
    <row r="93" spans="1:71" s="117" customFormat="1" ht="32.1" customHeight="1" x14ac:dyDescent="0.55000000000000004">
      <c r="A93" s="51"/>
      <c r="B93" s="52"/>
      <c r="C93" s="66"/>
      <c r="D93" s="66"/>
      <c r="E93" s="42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16"/>
    </row>
    <row r="94" spans="1:71" ht="24.95" customHeight="1" x14ac:dyDescent="0.55000000000000004">
      <c r="A94" s="268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2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42"/>
    </row>
    <row r="95" spans="1:71" s="117" customFormat="1" ht="32.1" customHeight="1" x14ac:dyDescent="0.55000000000000004">
      <c r="A95" s="51"/>
      <c r="B95" s="52"/>
      <c r="C95" s="66"/>
      <c r="D95" s="66"/>
      <c r="E95" s="42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16"/>
    </row>
    <row r="96" spans="1:71" ht="24.95" customHeight="1" x14ac:dyDescent="0.55000000000000004">
      <c r="A96" s="121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2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42"/>
    </row>
    <row r="97" spans="1:71" s="117" customFormat="1" ht="32.1" customHeight="1" x14ac:dyDescent="0.55000000000000004">
      <c r="A97" s="51"/>
      <c r="B97" s="52"/>
      <c r="C97" s="66"/>
      <c r="D97" s="66"/>
      <c r="E97" s="42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16"/>
    </row>
    <row r="98" spans="1:71" ht="24.95" customHeight="1" x14ac:dyDescent="0.55000000000000004">
      <c r="A98" s="60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2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42"/>
    </row>
    <row r="99" spans="1:71" ht="32.1" customHeight="1" x14ac:dyDescent="0.55000000000000004">
      <c r="A99" s="51"/>
      <c r="B99" s="52"/>
      <c r="C99" s="66"/>
      <c r="D99" s="66"/>
      <c r="E99" s="42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42"/>
    </row>
    <row r="100" spans="1:71" ht="24.95" customHeight="1" x14ac:dyDescent="0.55000000000000004">
      <c r="A100" s="268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2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42"/>
    </row>
    <row r="101" spans="1:71" ht="32.1" customHeight="1" x14ac:dyDescent="0.55000000000000004">
      <c r="A101" s="51"/>
      <c r="B101" s="52"/>
      <c r="C101" s="66"/>
      <c r="D101" s="66"/>
      <c r="E101" s="42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42"/>
    </row>
    <row r="102" spans="1:71" ht="24.95" customHeight="1" x14ac:dyDescent="0.55000000000000004">
      <c r="A102" s="268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2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42"/>
    </row>
    <row r="103" spans="1:71" ht="32.1" customHeight="1" x14ac:dyDescent="0.55000000000000004">
      <c r="A103" s="51"/>
      <c r="B103" s="52"/>
      <c r="C103" s="66"/>
      <c r="D103" s="66"/>
      <c r="E103" s="42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42"/>
    </row>
    <row r="104" spans="1:71" ht="24.95" customHeight="1" x14ac:dyDescent="0.55000000000000004">
      <c r="A104" s="60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2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42"/>
    </row>
    <row r="105" spans="1:71" ht="32.1" customHeight="1" x14ac:dyDescent="0.55000000000000004">
      <c r="A105" s="51"/>
      <c r="B105" s="52"/>
      <c r="C105" s="66"/>
      <c r="D105" s="66"/>
      <c r="E105" s="42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42"/>
    </row>
    <row r="106" spans="1:71" ht="24.95" customHeight="1" x14ac:dyDescent="0.55000000000000004">
      <c r="A106" s="60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2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42"/>
    </row>
    <row r="107" spans="1:71" ht="32.1" customHeight="1" x14ac:dyDescent="0.55000000000000004">
      <c r="A107" s="51"/>
      <c r="B107" s="52"/>
      <c r="C107" s="66"/>
      <c r="D107" s="66"/>
      <c r="E107" s="42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42"/>
    </row>
    <row r="108" spans="1:71" ht="24.95" customHeight="1" x14ac:dyDescent="0.55000000000000004">
      <c r="A108" s="60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2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42"/>
    </row>
    <row r="109" spans="1:71" ht="32.1" customHeight="1" thickBot="1" x14ac:dyDescent="0.6">
      <c r="A109" s="98"/>
      <c r="B109" s="99"/>
      <c r="C109" s="100"/>
      <c r="D109" s="100"/>
      <c r="E109" s="44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42"/>
    </row>
    <row r="110" spans="1:71" ht="32.1" customHeight="1" x14ac:dyDescent="0.55000000000000004">
      <c r="A110" s="103"/>
      <c r="B110" s="104"/>
      <c r="C110" s="105"/>
      <c r="D110" s="105"/>
      <c r="E110" s="439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42"/>
    </row>
    <row r="111" spans="1:71" ht="24.95" customHeight="1" x14ac:dyDescent="0.55000000000000004">
      <c r="A111" s="268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2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42"/>
    </row>
    <row r="112" spans="1:71" ht="32.1" customHeight="1" x14ac:dyDescent="0.55000000000000004">
      <c r="A112" s="51"/>
      <c r="B112" s="52"/>
      <c r="C112" s="66"/>
      <c r="D112" s="66"/>
      <c r="E112" s="42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42"/>
    </row>
    <row r="113" spans="1:71" ht="24.95" customHeight="1" x14ac:dyDescent="0.55000000000000004">
      <c r="A113" s="268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2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42"/>
    </row>
    <row r="114" spans="1:71" ht="32.1" customHeight="1" x14ac:dyDescent="0.55000000000000004">
      <c r="A114" s="51"/>
      <c r="B114" s="52"/>
      <c r="C114" s="66"/>
      <c r="D114" s="66"/>
      <c r="E114" s="42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42"/>
    </row>
    <row r="115" spans="1:71" ht="24.95" customHeight="1" x14ac:dyDescent="0.55000000000000004">
      <c r="A115" s="268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2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42"/>
    </row>
    <row r="116" spans="1:71" ht="32.1" customHeight="1" x14ac:dyDescent="0.55000000000000004">
      <c r="B116" s="52"/>
      <c r="C116" s="66"/>
      <c r="D116" s="66"/>
      <c r="E116" s="42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42"/>
    </row>
    <row r="117" spans="1:71" ht="24.95" customHeight="1" x14ac:dyDescent="0.55000000000000004">
      <c r="A117" s="169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2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42"/>
    </row>
    <row r="118" spans="1:71" ht="32.1" customHeight="1" x14ac:dyDescent="0.55000000000000004">
      <c r="A118" s="51"/>
      <c r="B118" s="52"/>
      <c r="C118" s="66"/>
      <c r="D118" s="66"/>
      <c r="E118" s="424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42"/>
    </row>
    <row r="119" spans="1:71" ht="24.95" customHeight="1" x14ac:dyDescent="0.55000000000000004">
      <c r="A119" s="268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2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42"/>
    </row>
    <row r="120" spans="1:71" ht="32.1" customHeight="1" x14ac:dyDescent="0.55000000000000004">
      <c r="A120" s="51"/>
      <c r="B120" s="52"/>
      <c r="C120" s="66"/>
      <c r="D120" s="66"/>
      <c r="E120" s="42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42"/>
    </row>
    <row r="121" spans="1:71" ht="24.95" customHeight="1" x14ac:dyDescent="0.55000000000000004">
      <c r="A121" s="60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2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42"/>
    </row>
    <row r="122" spans="1:71" ht="32.1" customHeight="1" x14ac:dyDescent="0.55000000000000004">
      <c r="A122" s="51"/>
      <c r="B122" s="52"/>
      <c r="C122" s="66"/>
      <c r="D122" s="66"/>
      <c r="E122" s="42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42"/>
    </row>
    <row r="123" spans="1:71" ht="24.95" customHeight="1" x14ac:dyDescent="0.55000000000000004">
      <c r="A123" s="60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2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42"/>
    </row>
    <row r="124" spans="1:71" ht="32.1" customHeight="1" x14ac:dyDescent="0.55000000000000004">
      <c r="A124" s="51"/>
      <c r="B124" s="52"/>
      <c r="C124" s="66"/>
      <c r="D124" s="66"/>
      <c r="E124" s="42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42"/>
    </row>
    <row r="125" spans="1:71" ht="24.95" customHeight="1" x14ac:dyDescent="0.55000000000000004">
      <c r="A125" s="268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2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42"/>
    </row>
    <row r="126" spans="1:71" ht="32.1" customHeight="1" x14ac:dyDescent="0.55000000000000004">
      <c r="A126" s="51"/>
      <c r="B126" s="52"/>
      <c r="C126" s="66"/>
      <c r="D126" s="66"/>
      <c r="E126" s="42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42"/>
    </row>
    <row r="127" spans="1:71" ht="24.95" customHeight="1" x14ac:dyDescent="0.55000000000000004">
      <c r="A127" s="60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2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42"/>
    </row>
    <row r="128" spans="1:71" ht="32.1" customHeight="1" x14ac:dyDescent="0.55000000000000004">
      <c r="A128" s="51"/>
      <c r="B128" s="52"/>
      <c r="C128" s="66"/>
      <c r="D128" s="66"/>
      <c r="E128" s="42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42"/>
    </row>
    <row r="129" spans="1:71" ht="24.95" customHeight="1" x14ac:dyDescent="0.55000000000000004">
      <c r="A129" s="60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2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42"/>
    </row>
    <row r="130" spans="1:71" ht="32.1" customHeight="1" x14ac:dyDescent="0.55000000000000004">
      <c r="A130" s="51"/>
      <c r="B130" s="52"/>
      <c r="C130" s="66"/>
      <c r="D130" s="66"/>
      <c r="E130" s="42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42"/>
    </row>
    <row r="131" spans="1:71" ht="24.95" customHeight="1" x14ac:dyDescent="0.55000000000000004">
      <c r="A131" s="268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2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42"/>
    </row>
    <row r="132" spans="1:71" ht="32.1" customHeight="1" x14ac:dyDescent="0.55000000000000004">
      <c r="A132" s="51"/>
      <c r="B132" s="52"/>
      <c r="C132" s="66"/>
      <c r="D132" s="66"/>
      <c r="E132" s="42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42"/>
    </row>
    <row r="133" spans="1:71" ht="24.95" customHeight="1" x14ac:dyDescent="0.55000000000000004">
      <c r="A133" s="60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2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42"/>
    </row>
    <row r="134" spans="1:71" ht="32.1" customHeight="1" x14ac:dyDescent="0.55000000000000004">
      <c r="A134" s="51"/>
      <c r="B134" s="52"/>
      <c r="C134" s="66"/>
      <c r="D134" s="66"/>
      <c r="E134" s="42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42"/>
    </row>
    <row r="135" spans="1:71" ht="24.95" customHeight="1" x14ac:dyDescent="0.55000000000000004">
      <c r="A135" s="60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2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42"/>
    </row>
    <row r="136" spans="1:71" ht="32.1" customHeight="1" x14ac:dyDescent="0.55000000000000004">
      <c r="A136" s="51"/>
      <c r="B136" s="52"/>
      <c r="C136" s="66"/>
      <c r="D136" s="66"/>
      <c r="E136" s="42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42"/>
    </row>
    <row r="137" spans="1:71" ht="24.95" customHeight="1" x14ac:dyDescent="0.55000000000000004">
      <c r="A137" s="268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2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42"/>
    </row>
    <row r="138" spans="1:71" ht="32.1" customHeight="1" x14ac:dyDescent="0.55000000000000004">
      <c r="A138" s="51"/>
      <c r="B138" s="52"/>
      <c r="C138" s="66"/>
      <c r="D138" s="66"/>
      <c r="E138" s="42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42"/>
    </row>
    <row r="139" spans="1:71" ht="24.95" customHeight="1" x14ac:dyDescent="0.55000000000000004">
      <c r="A139" s="268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2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42"/>
    </row>
    <row r="140" spans="1:71" ht="32.1" customHeight="1" x14ac:dyDescent="0.55000000000000004">
      <c r="A140" s="51"/>
      <c r="B140" s="52"/>
      <c r="C140" s="66"/>
      <c r="D140" s="66"/>
      <c r="E140" s="42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42"/>
    </row>
    <row r="141" spans="1:71" ht="24.95" customHeight="1" x14ac:dyDescent="0.55000000000000004">
      <c r="A141" s="60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24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42"/>
    </row>
    <row r="142" spans="1:71" ht="32.1" customHeight="1" x14ac:dyDescent="0.55000000000000004">
      <c r="A142" s="51"/>
      <c r="B142" s="52"/>
      <c r="C142" s="66"/>
      <c r="D142" s="66"/>
      <c r="E142" s="42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42"/>
    </row>
    <row r="143" spans="1:71" ht="24.95" customHeight="1" x14ac:dyDescent="0.55000000000000004">
      <c r="A143" s="60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2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42"/>
    </row>
    <row r="144" spans="1:71" ht="32.1" customHeight="1" x14ac:dyDescent="0.55000000000000004">
      <c r="A144" s="51"/>
      <c r="B144" s="52"/>
      <c r="C144" s="66"/>
      <c r="D144" s="66"/>
      <c r="E144" s="42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42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2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42"/>
    </row>
    <row r="146" spans="1:71" ht="32.1" customHeight="1" x14ac:dyDescent="0.55000000000000004">
      <c r="A146" s="51"/>
      <c r="B146" s="52"/>
      <c r="C146" s="66"/>
      <c r="D146" s="66"/>
      <c r="E146" s="42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42"/>
    </row>
    <row r="147" spans="1:71" ht="24.95" customHeight="1" x14ac:dyDescent="0.55000000000000004">
      <c r="A147" s="268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2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42"/>
    </row>
    <row r="148" spans="1:71" ht="32.1" customHeight="1" x14ac:dyDescent="0.55000000000000004">
      <c r="A148" s="51"/>
      <c r="B148" s="52"/>
      <c r="C148" s="66"/>
      <c r="D148" s="66"/>
      <c r="E148" s="42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42"/>
    </row>
    <row r="149" spans="1:71" ht="24.95" customHeight="1" x14ac:dyDescent="0.55000000000000004">
      <c r="A149" s="268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2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42"/>
    </row>
    <row r="150" spans="1:71" ht="32.1" customHeight="1" x14ac:dyDescent="0.55000000000000004">
      <c r="A150" s="51"/>
      <c r="B150" s="52"/>
      <c r="C150" s="66"/>
      <c r="D150" s="66"/>
      <c r="E150" s="424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42"/>
    </row>
    <row r="151" spans="1:71" ht="24.95" customHeight="1" x14ac:dyDescent="0.55000000000000004">
      <c r="A151" s="268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2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42"/>
    </row>
    <row r="152" spans="1:71" ht="32.1" customHeight="1" x14ac:dyDescent="0.55000000000000004">
      <c r="A152" s="51"/>
      <c r="B152" s="52"/>
      <c r="C152" s="66"/>
      <c r="D152" s="66"/>
      <c r="E152" s="42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42"/>
    </row>
    <row r="153" spans="1:71" ht="24.95" customHeight="1" x14ac:dyDescent="0.55000000000000004">
      <c r="A153" s="268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2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42"/>
    </row>
    <row r="154" spans="1:71" ht="32.1" customHeight="1" thickBot="1" x14ac:dyDescent="0.6">
      <c r="A154" s="68"/>
      <c r="B154" s="69"/>
      <c r="C154" s="70"/>
      <c r="D154" s="70"/>
      <c r="E154" s="440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42"/>
    </row>
    <row r="155" spans="1:71" ht="32.1" customHeight="1" x14ac:dyDescent="0.55000000000000004">
      <c r="A155" s="71"/>
      <c r="B155" s="72"/>
      <c r="C155" s="73"/>
      <c r="D155" s="73"/>
      <c r="E155" s="423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42"/>
    </row>
    <row r="156" spans="1:71" ht="24.95" customHeight="1" x14ac:dyDescent="0.55000000000000004">
      <c r="A156" s="60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2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42"/>
    </row>
    <row r="157" spans="1:71" ht="32.1" customHeight="1" x14ac:dyDescent="0.55000000000000004">
      <c r="A157" s="51"/>
      <c r="B157" s="52"/>
      <c r="C157" s="66"/>
      <c r="D157" s="66"/>
      <c r="E157" s="42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42"/>
    </row>
    <row r="158" spans="1:71" ht="24.95" customHeight="1" x14ac:dyDescent="0.55000000000000004">
      <c r="A158" s="60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2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42"/>
    </row>
    <row r="159" spans="1:71" ht="32.1" customHeight="1" x14ac:dyDescent="0.55000000000000004">
      <c r="A159" s="51"/>
      <c r="B159" s="52"/>
      <c r="C159" s="66"/>
      <c r="D159" s="66"/>
      <c r="E159" s="424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42"/>
    </row>
    <row r="160" spans="1:71" ht="24.95" customHeight="1" x14ac:dyDescent="0.55000000000000004">
      <c r="A160" s="268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2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42"/>
    </row>
    <row r="161" spans="1:71" ht="32.1" customHeight="1" x14ac:dyDescent="0.55000000000000004">
      <c r="A161" s="51"/>
      <c r="B161" s="52"/>
      <c r="C161" s="66"/>
      <c r="D161" s="66"/>
      <c r="E161" s="42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42"/>
    </row>
    <row r="162" spans="1:71" ht="24.95" customHeight="1" x14ac:dyDescent="0.55000000000000004">
      <c r="A162" s="268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2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42"/>
    </row>
    <row r="163" spans="1:71" ht="32.1" customHeight="1" x14ac:dyDescent="0.55000000000000004">
      <c r="A163" s="51"/>
      <c r="B163" s="52"/>
      <c r="C163" s="66"/>
      <c r="D163" s="66"/>
      <c r="E163" s="42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42"/>
    </row>
    <row r="164" spans="1:71" ht="24.95" customHeight="1" x14ac:dyDescent="0.55000000000000004">
      <c r="A164" s="268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2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42"/>
    </row>
    <row r="165" spans="1:71" ht="32.1" customHeight="1" x14ac:dyDescent="0.55000000000000004">
      <c r="A165" s="51"/>
      <c r="B165" s="52"/>
      <c r="C165" s="52"/>
      <c r="D165" s="52"/>
      <c r="E165" s="424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42"/>
    </row>
    <row r="166" spans="1:71" ht="42.75" customHeight="1" x14ac:dyDescent="0.25">
      <c r="A166" s="427" t="s">
        <v>259</v>
      </c>
      <c r="B166" s="428"/>
      <c r="C166" s="428"/>
      <c r="D166" s="428"/>
      <c r="E166" s="429"/>
      <c r="F166" s="201">
        <f t="shared" ref="F166:K166" si="2">(COUNTIF(F16:F165,"N")+COUNTIF(F16:F165,"I"))</f>
        <v>0</v>
      </c>
      <c r="G166" s="201">
        <f t="shared" si="2"/>
        <v>0</v>
      </c>
      <c r="H166" s="201">
        <f t="shared" si="2"/>
        <v>0</v>
      </c>
      <c r="I166" s="201">
        <f t="shared" si="2"/>
        <v>0</v>
      </c>
      <c r="J166" s="201">
        <f t="shared" si="2"/>
        <v>0</v>
      </c>
      <c r="K166" s="201">
        <f t="shared" si="2"/>
        <v>0</v>
      </c>
      <c r="L166" s="201">
        <f>(COUNTIF(L16:L165,"N")+COUNTIF(L16:L165,"I"))/2</f>
        <v>0.5</v>
      </c>
      <c r="M166" s="201">
        <f>(COUNTIF(M16:M165,"N")+COUNTIF(M16:M165,"I"))</f>
        <v>1</v>
      </c>
      <c r="N166" s="201">
        <f>(COUNTIF(N16:N165,"N")+COUNTIF(N16:N165,"I"))</f>
        <v>1</v>
      </c>
      <c r="O166" s="201">
        <f>(COUNTIF(O14:O163,"N")+COUNTIF(O14:O163,"I"))</f>
        <v>1</v>
      </c>
      <c r="P166" s="201">
        <f>(COUNTIF(P16:P165,"N")+COUNTIF(P16:P165,"I"))</f>
        <v>1</v>
      </c>
      <c r="Q166" s="201">
        <f>(COUNTIF(Q16:Q165,"N")+COUNTIF(Q16:Q165,"I"))</f>
        <v>1</v>
      </c>
      <c r="R166" s="201">
        <f>(COUNTIF(R16:R165,"N")+COUNTIF(R16:R165,"I"))</f>
        <v>1</v>
      </c>
      <c r="S166" s="201">
        <f t="shared" ref="S166:AX166" si="3">(COUNTIF(S14:S163,"N")+COUNTIF(S14:S163,"I"))</f>
        <v>0</v>
      </c>
      <c r="T166" s="201">
        <f t="shared" si="3"/>
        <v>1</v>
      </c>
      <c r="U166" s="201">
        <f t="shared" si="3"/>
        <v>1</v>
      </c>
      <c r="V166" s="201">
        <f t="shared" si="3"/>
        <v>1</v>
      </c>
      <c r="W166" s="201">
        <f t="shared" si="3"/>
        <v>1</v>
      </c>
      <c r="X166" s="201">
        <f t="shared" si="3"/>
        <v>1</v>
      </c>
      <c r="Y166" s="201">
        <f t="shared" si="3"/>
        <v>1</v>
      </c>
      <c r="Z166" s="201">
        <f t="shared" si="3"/>
        <v>1</v>
      </c>
      <c r="AA166" s="201">
        <f t="shared" si="3"/>
        <v>1</v>
      </c>
      <c r="AB166" s="201">
        <f t="shared" si="3"/>
        <v>1</v>
      </c>
      <c r="AC166" s="201">
        <f t="shared" si="3"/>
        <v>0</v>
      </c>
      <c r="AD166" s="201">
        <f t="shared" si="3"/>
        <v>0</v>
      </c>
      <c r="AE166" s="201">
        <f t="shared" si="3"/>
        <v>0</v>
      </c>
      <c r="AF166" s="201">
        <f t="shared" si="3"/>
        <v>0</v>
      </c>
      <c r="AG166" s="201">
        <f t="shared" si="3"/>
        <v>0</v>
      </c>
      <c r="AH166" s="201">
        <f t="shared" si="3"/>
        <v>0</v>
      </c>
      <c r="AI166" s="201">
        <f t="shared" si="3"/>
        <v>0</v>
      </c>
      <c r="AJ166" s="201">
        <f t="shared" si="3"/>
        <v>0</v>
      </c>
      <c r="AK166" s="201">
        <f t="shared" si="3"/>
        <v>0</v>
      </c>
      <c r="AL166" s="201">
        <f t="shared" si="3"/>
        <v>0</v>
      </c>
      <c r="AM166" s="201">
        <f t="shared" si="3"/>
        <v>0</v>
      </c>
      <c r="AN166" s="201">
        <f t="shared" si="3"/>
        <v>0</v>
      </c>
      <c r="AO166" s="201">
        <f t="shared" si="3"/>
        <v>0</v>
      </c>
      <c r="AP166" s="201">
        <f t="shared" si="3"/>
        <v>0</v>
      </c>
      <c r="AQ166" s="201">
        <f t="shared" si="3"/>
        <v>0</v>
      </c>
      <c r="AR166" s="201">
        <f t="shared" si="3"/>
        <v>0</v>
      </c>
      <c r="AS166" s="201">
        <f t="shared" si="3"/>
        <v>0</v>
      </c>
      <c r="AT166" s="201">
        <f t="shared" si="3"/>
        <v>0</v>
      </c>
      <c r="AU166" s="201">
        <f t="shared" si="3"/>
        <v>0</v>
      </c>
      <c r="AV166" s="201">
        <f t="shared" si="3"/>
        <v>0</v>
      </c>
      <c r="AW166" s="201">
        <f t="shared" si="3"/>
        <v>0</v>
      </c>
      <c r="AX166" s="201">
        <f t="shared" si="3"/>
        <v>0</v>
      </c>
      <c r="AY166" s="201">
        <f t="shared" ref="AY166:BR166" si="4">(COUNTIF(AY14:AY163,"N")+COUNTIF(AY14:AY163,"I"))</f>
        <v>0</v>
      </c>
      <c r="AZ166" s="201">
        <f t="shared" si="4"/>
        <v>0</v>
      </c>
      <c r="BA166" s="201">
        <f t="shared" si="4"/>
        <v>0</v>
      </c>
      <c r="BB166" s="201">
        <f t="shared" si="4"/>
        <v>0</v>
      </c>
      <c r="BC166" s="201">
        <f t="shared" si="4"/>
        <v>0</v>
      </c>
      <c r="BD166" s="201">
        <f t="shared" si="4"/>
        <v>0</v>
      </c>
      <c r="BE166" s="201">
        <f t="shared" si="4"/>
        <v>0</v>
      </c>
      <c r="BF166" s="201">
        <f t="shared" si="4"/>
        <v>0</v>
      </c>
      <c r="BG166" s="201">
        <f t="shared" si="4"/>
        <v>0</v>
      </c>
      <c r="BH166" s="201">
        <f t="shared" si="4"/>
        <v>0</v>
      </c>
      <c r="BI166" s="201">
        <f t="shared" si="4"/>
        <v>0</v>
      </c>
      <c r="BJ166" s="201">
        <f t="shared" si="4"/>
        <v>0</v>
      </c>
      <c r="BK166" s="201">
        <f t="shared" si="4"/>
        <v>0</v>
      </c>
      <c r="BL166" s="201">
        <f t="shared" si="4"/>
        <v>0</v>
      </c>
      <c r="BM166" s="201">
        <f t="shared" si="4"/>
        <v>0</v>
      </c>
      <c r="BN166" s="201">
        <f t="shared" si="4"/>
        <v>0</v>
      </c>
      <c r="BO166" s="201">
        <f t="shared" si="4"/>
        <v>0</v>
      </c>
      <c r="BP166" s="201">
        <f t="shared" si="4"/>
        <v>0</v>
      </c>
      <c r="BQ166" s="201">
        <f t="shared" si="4"/>
        <v>0</v>
      </c>
      <c r="BR166" s="201">
        <f t="shared" si="4"/>
        <v>0</v>
      </c>
      <c r="BS166" s="42"/>
    </row>
    <row r="167" spans="1:71" ht="49.5" customHeight="1" x14ac:dyDescent="0.25">
      <c r="A167" s="425" t="s">
        <v>42</v>
      </c>
      <c r="B167" s="426"/>
      <c r="C167" s="426"/>
      <c r="D167" s="426"/>
      <c r="E167" s="426"/>
      <c r="F167" s="124">
        <f>F168</f>
        <v>0</v>
      </c>
      <c r="G167" s="422">
        <f>SUM(G168:J168)</f>
        <v>0</v>
      </c>
      <c r="H167" s="422"/>
      <c r="I167" s="422"/>
      <c r="J167" s="422"/>
      <c r="K167" s="422">
        <f>SUM(K168:L168)</f>
        <v>0.5</v>
      </c>
      <c r="L167" s="422"/>
      <c r="M167" s="422">
        <f>SUM(M168:N168)</f>
        <v>1</v>
      </c>
      <c r="N167" s="422"/>
      <c r="O167" s="422">
        <f>SUM(O168:P168)</f>
        <v>1</v>
      </c>
      <c r="P167" s="422"/>
      <c r="Q167" s="422">
        <f>SUM(Q168:R168)</f>
        <v>1</v>
      </c>
      <c r="R167" s="422"/>
      <c r="S167" s="422">
        <f>SUM(S168:U168)</f>
        <v>0.5</v>
      </c>
      <c r="T167" s="422"/>
      <c r="U167" s="422"/>
      <c r="V167" s="432">
        <f>SUM(V168:Y168)</f>
        <v>1</v>
      </c>
      <c r="W167" s="433"/>
      <c r="X167" s="433"/>
      <c r="Y167" s="434"/>
      <c r="Z167" s="432">
        <f>SUM(Z168:AC168)</f>
        <v>0.75</v>
      </c>
      <c r="AA167" s="433"/>
      <c r="AB167" s="433"/>
      <c r="AC167" s="434"/>
      <c r="AD167" s="422">
        <f>SUM(AD168:AE168)</f>
        <v>0</v>
      </c>
      <c r="AE167" s="422"/>
      <c r="AF167" s="422">
        <f>SUM(AF168:AG168)</f>
        <v>0</v>
      </c>
      <c r="AG167" s="422"/>
      <c r="AH167" s="422">
        <f>SUM(AH168:AI168)</f>
        <v>0</v>
      </c>
      <c r="AI167" s="422"/>
      <c r="AJ167" s="422">
        <f>SUM(AJ168:AK168)</f>
        <v>0</v>
      </c>
      <c r="AK167" s="422"/>
      <c r="AL167" s="422">
        <f>SUM(AL168:AN168)</f>
        <v>0</v>
      </c>
      <c r="AM167" s="422"/>
      <c r="AN167" s="422"/>
      <c r="AO167" s="422">
        <f>SUM(AO168:AR168)</f>
        <v>0</v>
      </c>
      <c r="AP167" s="422"/>
      <c r="AQ167" s="422"/>
      <c r="AR167" s="422"/>
      <c r="AS167" s="422">
        <f>SUM(AS168:AV168)</f>
        <v>0</v>
      </c>
      <c r="AT167" s="422"/>
      <c r="AU167" s="422"/>
      <c r="AV167" s="422"/>
      <c r="AW167" s="422">
        <f>SUM(AW168:AY168)</f>
        <v>0</v>
      </c>
      <c r="AX167" s="422"/>
      <c r="AY167" s="422"/>
      <c r="AZ167" s="422">
        <f>SUM(AZ168:BA168)</f>
        <v>0</v>
      </c>
      <c r="BA167" s="422"/>
      <c r="BB167" s="422">
        <f>SUM(BB168:BC168)</f>
        <v>0</v>
      </c>
      <c r="BC167" s="422"/>
      <c r="BD167" s="422">
        <f>SUM(BD168:BF168)</f>
        <v>0</v>
      </c>
      <c r="BE167" s="422"/>
      <c r="BF167" s="422"/>
      <c r="BG167" s="422">
        <f>SUM(BG168:BH168)</f>
        <v>0</v>
      </c>
      <c r="BH167" s="422"/>
      <c r="BI167" s="422">
        <f>SUM(BI168:BJ168)</f>
        <v>0</v>
      </c>
      <c r="BJ167" s="422"/>
      <c r="BK167" s="422">
        <f>SUM(BK168:BL168)</f>
        <v>0</v>
      </c>
      <c r="BL167" s="422"/>
      <c r="BM167" s="422">
        <f>SUM(BM168:BN168)</f>
        <v>0</v>
      </c>
      <c r="BN167" s="422"/>
      <c r="BO167" s="422">
        <f>SUM(BO168:BP168)</f>
        <v>0</v>
      </c>
      <c r="BP167" s="422"/>
      <c r="BQ167" s="422">
        <f>SUM(BQ168:BR168)</f>
        <v>0</v>
      </c>
      <c r="BR167" s="422"/>
      <c r="BS167" s="42"/>
    </row>
    <row r="168" spans="1:71" ht="35.1" customHeight="1" x14ac:dyDescent="0.25">
      <c r="A168" s="425"/>
      <c r="B168" s="426"/>
      <c r="C168" s="426"/>
      <c r="D168" s="426"/>
      <c r="E168" s="426"/>
      <c r="F168" s="125">
        <f>(COUNTIF(F16:F165,"N")+COUNTIF(F16:F165,"I"))/4</f>
        <v>0</v>
      </c>
      <c r="G168" s="125">
        <f>(COUNTIF(G16:G165,"N")+COUNTIF(G16:G165,"I"))/4</f>
        <v>0</v>
      </c>
      <c r="H168" s="125">
        <f>(COUNTIF(H16:H165,"N")+COUNTIF(H16:H165,"I"))/4</f>
        <v>0</v>
      </c>
      <c r="I168" s="125">
        <f>(COUNTIF(I16:I165,"N")+COUNTIF(I16:I165,"I"))/4</f>
        <v>0</v>
      </c>
      <c r="J168" s="125">
        <f>(COUNTIF(J16:J165,"N")+COUNTIF(J16:J165,"I"))/4</f>
        <v>0</v>
      </c>
      <c r="K168" s="125">
        <f t="shared" ref="K168:S168" si="5">(COUNTIF(K16:K165,"N")+COUNTIF(K16:K165,"I"))/2</f>
        <v>0</v>
      </c>
      <c r="L168" s="125">
        <f t="shared" si="5"/>
        <v>0.5</v>
      </c>
      <c r="M168" s="125">
        <f t="shared" si="5"/>
        <v>0.5</v>
      </c>
      <c r="N168" s="125">
        <f t="shared" si="5"/>
        <v>0.5</v>
      </c>
      <c r="O168" s="125">
        <f t="shared" si="5"/>
        <v>0.5</v>
      </c>
      <c r="P168" s="125">
        <f t="shared" si="5"/>
        <v>0.5</v>
      </c>
      <c r="Q168" s="125">
        <f t="shared" si="5"/>
        <v>0.5</v>
      </c>
      <c r="R168" s="125">
        <f t="shared" si="5"/>
        <v>0.5</v>
      </c>
      <c r="S168" s="125">
        <f t="shared" si="5"/>
        <v>0</v>
      </c>
      <c r="T168" s="125">
        <f t="shared" ref="T168:AC168" si="6">(COUNTIF(T16:T165,"N")+COUNTIF(T16:T165,"I"))/4</f>
        <v>0.25</v>
      </c>
      <c r="U168" s="125">
        <f t="shared" si="6"/>
        <v>0.25</v>
      </c>
      <c r="V168" s="125">
        <f t="shared" si="6"/>
        <v>0.25</v>
      </c>
      <c r="W168" s="125">
        <f t="shared" si="6"/>
        <v>0.25</v>
      </c>
      <c r="X168" s="125">
        <f t="shared" si="6"/>
        <v>0.25</v>
      </c>
      <c r="Y168" s="125">
        <f t="shared" si="6"/>
        <v>0.25</v>
      </c>
      <c r="Z168" s="125">
        <f t="shared" si="6"/>
        <v>0.25</v>
      </c>
      <c r="AA168" s="125">
        <f t="shared" si="6"/>
        <v>0.25</v>
      </c>
      <c r="AB168" s="125">
        <f t="shared" si="6"/>
        <v>0.25</v>
      </c>
      <c r="AC168" s="125">
        <f t="shared" si="6"/>
        <v>0</v>
      </c>
      <c r="AD168" s="125">
        <f t="shared" ref="AD168:AL168" si="7">(COUNTIF(AD16:AD165,"N")+COUNTIF(AD16:AD165,"I"))/2</f>
        <v>0</v>
      </c>
      <c r="AE168" s="125">
        <f t="shared" si="7"/>
        <v>0</v>
      </c>
      <c r="AF168" s="125">
        <f t="shared" si="7"/>
        <v>0</v>
      </c>
      <c r="AG168" s="125">
        <f t="shared" si="7"/>
        <v>0</v>
      </c>
      <c r="AH168" s="125">
        <f t="shared" si="7"/>
        <v>0</v>
      </c>
      <c r="AI168" s="125">
        <f t="shared" si="7"/>
        <v>0</v>
      </c>
      <c r="AJ168" s="125">
        <f t="shared" si="7"/>
        <v>0</v>
      </c>
      <c r="AK168" s="125">
        <f t="shared" si="7"/>
        <v>0</v>
      </c>
      <c r="AL168" s="125">
        <f t="shared" si="7"/>
        <v>0</v>
      </c>
      <c r="AM168" s="125">
        <f t="shared" ref="AM168:AX168" si="8">(COUNTIF(AM16:AM165,"N")+COUNTIF(AM16:AM165,"I"))/4</f>
        <v>0</v>
      </c>
      <c r="AN168" s="125">
        <f t="shared" si="8"/>
        <v>0</v>
      </c>
      <c r="AO168" s="125">
        <f t="shared" si="8"/>
        <v>0</v>
      </c>
      <c r="AP168" s="125">
        <f t="shared" si="8"/>
        <v>0</v>
      </c>
      <c r="AQ168" s="125">
        <f t="shared" si="8"/>
        <v>0</v>
      </c>
      <c r="AR168" s="125">
        <f t="shared" si="8"/>
        <v>0</v>
      </c>
      <c r="AS168" s="125">
        <f t="shared" si="8"/>
        <v>0</v>
      </c>
      <c r="AT168" s="125">
        <f t="shared" si="8"/>
        <v>0</v>
      </c>
      <c r="AU168" s="125">
        <f t="shared" si="8"/>
        <v>0</v>
      </c>
      <c r="AV168" s="125">
        <f t="shared" si="8"/>
        <v>0</v>
      </c>
      <c r="AW168" s="125">
        <f t="shared" si="8"/>
        <v>0</v>
      </c>
      <c r="AX168" s="125">
        <f t="shared" si="8"/>
        <v>0</v>
      </c>
      <c r="AY168" s="125">
        <f>(COUNTIF(AY16:AY165,"N")+COUNTIF(AY16:AY165,"I"))/2</f>
        <v>0</v>
      </c>
      <c r="AZ168" s="125">
        <f>(COUNTIF(AZ16:AZ165,"N")+COUNTIF(AZ16:AZ165,"I"))/2</f>
        <v>0</v>
      </c>
      <c r="BA168" s="125">
        <f>(COUNTIF(BA16:BA165,"N")+COUNTIF(BA16:BA165,"I"))/2</f>
        <v>0</v>
      </c>
      <c r="BB168" s="125">
        <f>(COUNTIF(BB16:BB165,"N")+COUNTIF(BB16:BB165,"I"))/2</f>
        <v>0</v>
      </c>
      <c r="BC168" s="125">
        <f>(COUNTIF(BC16:BC165,"N")+COUNTIF(BC16:BC165,"I"))/2</f>
        <v>0</v>
      </c>
      <c r="BD168" s="125">
        <f>(COUNTIF(BD16:BD165,"N")+COUNTIF(BD16:BD165,"I"))/4</f>
        <v>0</v>
      </c>
      <c r="BE168" s="125">
        <f>(COUNTIF(BE16:BE165,"N")+COUNTIF(BE16:BE165,"I"))/4</f>
        <v>0</v>
      </c>
      <c r="BF168" s="125">
        <f t="shared" ref="BF168:BR168" si="9">(COUNTIF(BF16:BF165,"N")+COUNTIF(BF16:BF165,"I"))/2</f>
        <v>0</v>
      </c>
      <c r="BG168" s="125">
        <f t="shared" si="9"/>
        <v>0</v>
      </c>
      <c r="BH168" s="125">
        <f t="shared" si="9"/>
        <v>0</v>
      </c>
      <c r="BI168" s="125">
        <f t="shared" si="9"/>
        <v>0</v>
      </c>
      <c r="BJ168" s="125">
        <f t="shared" si="9"/>
        <v>0</v>
      </c>
      <c r="BK168" s="125">
        <f t="shared" si="9"/>
        <v>0</v>
      </c>
      <c r="BL168" s="125">
        <f t="shared" si="9"/>
        <v>0</v>
      </c>
      <c r="BM168" s="125">
        <f t="shared" si="9"/>
        <v>0</v>
      </c>
      <c r="BN168" s="125">
        <f t="shared" si="9"/>
        <v>0</v>
      </c>
      <c r="BO168" s="125">
        <f t="shared" si="9"/>
        <v>0</v>
      </c>
      <c r="BP168" s="125">
        <f t="shared" si="9"/>
        <v>0</v>
      </c>
      <c r="BQ168" s="125">
        <f t="shared" si="9"/>
        <v>0</v>
      </c>
      <c r="BR168" s="125">
        <f t="shared" si="9"/>
        <v>0</v>
      </c>
      <c r="BS168" s="42"/>
    </row>
    <row r="169" spans="1:71" ht="45" customHeight="1" x14ac:dyDescent="0.25">
      <c r="A169" s="427" t="s">
        <v>250</v>
      </c>
      <c r="B169" s="428"/>
      <c r="C169" s="428"/>
      <c r="D169" s="428"/>
      <c r="E169" s="429"/>
      <c r="F169" s="179">
        <f t="shared" ref="F169:Y169" si="10">IFERROR(F2/F167,0)</f>
        <v>0</v>
      </c>
      <c r="G169" s="421">
        <f t="shared" si="10"/>
        <v>0</v>
      </c>
      <c r="H169" s="421">
        <f t="shared" si="10"/>
        <v>0</v>
      </c>
      <c r="I169" s="421">
        <f t="shared" si="10"/>
        <v>0</v>
      </c>
      <c r="J169" s="421">
        <f t="shared" si="10"/>
        <v>0</v>
      </c>
      <c r="K169" s="402">
        <f t="shared" si="10"/>
        <v>0</v>
      </c>
      <c r="L169" s="402">
        <f t="shared" si="10"/>
        <v>0</v>
      </c>
      <c r="M169" s="402">
        <f t="shared" si="10"/>
        <v>0</v>
      </c>
      <c r="N169" s="402">
        <f t="shared" si="10"/>
        <v>0</v>
      </c>
      <c r="O169" s="402">
        <f t="shared" si="10"/>
        <v>0</v>
      </c>
      <c r="P169" s="402">
        <f t="shared" si="10"/>
        <v>0</v>
      </c>
      <c r="Q169" s="402">
        <f t="shared" si="10"/>
        <v>0</v>
      </c>
      <c r="R169" s="402">
        <f t="shared" si="10"/>
        <v>0</v>
      </c>
      <c r="S169" s="402">
        <f t="shared" si="10"/>
        <v>0</v>
      </c>
      <c r="T169" s="402">
        <f t="shared" si="10"/>
        <v>0</v>
      </c>
      <c r="U169" s="402">
        <f t="shared" si="10"/>
        <v>0</v>
      </c>
      <c r="V169" s="402">
        <f t="shared" si="10"/>
        <v>0</v>
      </c>
      <c r="W169" s="402">
        <f t="shared" si="10"/>
        <v>0</v>
      </c>
      <c r="X169" s="402">
        <f t="shared" si="10"/>
        <v>0</v>
      </c>
      <c r="Y169" s="402">
        <f t="shared" si="10"/>
        <v>0</v>
      </c>
      <c r="Z169" s="402">
        <f>IFERROR(Z2/Z167,0)</f>
        <v>0</v>
      </c>
      <c r="AA169" s="402">
        <f>IFERROR(AA2/AA167,0)</f>
        <v>0</v>
      </c>
      <c r="AB169" s="402">
        <f>IFERROR(AB2/Z167,0)</f>
        <v>0</v>
      </c>
      <c r="AC169" s="402">
        <f t="shared" ref="AC169:BR169" si="11">IFERROR(AC2/AC167,0)</f>
        <v>0</v>
      </c>
      <c r="AD169" s="402">
        <f t="shared" si="11"/>
        <v>0</v>
      </c>
      <c r="AE169" s="402">
        <f t="shared" si="11"/>
        <v>0</v>
      </c>
      <c r="AF169" s="402">
        <f t="shared" si="11"/>
        <v>0</v>
      </c>
      <c r="AG169" s="402">
        <f t="shared" si="11"/>
        <v>0</v>
      </c>
      <c r="AH169" s="402">
        <f t="shared" si="11"/>
        <v>0</v>
      </c>
      <c r="AI169" s="402">
        <f t="shared" si="11"/>
        <v>0</v>
      </c>
      <c r="AJ169" s="402">
        <f t="shared" si="11"/>
        <v>0</v>
      </c>
      <c r="AK169" s="402">
        <f t="shared" si="11"/>
        <v>0</v>
      </c>
      <c r="AL169" s="402">
        <f t="shared" si="11"/>
        <v>0</v>
      </c>
      <c r="AM169" s="402">
        <f t="shared" si="11"/>
        <v>0</v>
      </c>
      <c r="AN169" s="402">
        <f t="shared" si="11"/>
        <v>0</v>
      </c>
      <c r="AO169" s="402">
        <f t="shared" si="11"/>
        <v>0</v>
      </c>
      <c r="AP169" s="402">
        <f t="shared" si="11"/>
        <v>0</v>
      </c>
      <c r="AQ169" s="402">
        <f t="shared" si="11"/>
        <v>0</v>
      </c>
      <c r="AR169" s="402">
        <f t="shared" si="11"/>
        <v>0</v>
      </c>
      <c r="AS169" s="402">
        <f t="shared" si="11"/>
        <v>0</v>
      </c>
      <c r="AT169" s="402">
        <f t="shared" si="11"/>
        <v>0</v>
      </c>
      <c r="AU169" s="402">
        <f t="shared" si="11"/>
        <v>0</v>
      </c>
      <c r="AV169" s="402">
        <f t="shared" si="11"/>
        <v>0</v>
      </c>
      <c r="AW169" s="402">
        <f t="shared" si="11"/>
        <v>0</v>
      </c>
      <c r="AX169" s="402">
        <f t="shared" si="11"/>
        <v>0</v>
      </c>
      <c r="AY169" s="402">
        <f t="shared" si="11"/>
        <v>0</v>
      </c>
      <c r="AZ169" s="402">
        <f t="shared" si="11"/>
        <v>0</v>
      </c>
      <c r="BA169" s="402">
        <f t="shared" si="11"/>
        <v>0</v>
      </c>
      <c r="BB169" s="402">
        <f t="shared" si="11"/>
        <v>0</v>
      </c>
      <c r="BC169" s="402">
        <f t="shared" si="11"/>
        <v>0</v>
      </c>
      <c r="BD169" s="402">
        <f t="shared" si="11"/>
        <v>0</v>
      </c>
      <c r="BE169" s="402">
        <f t="shared" si="11"/>
        <v>0</v>
      </c>
      <c r="BF169" s="402">
        <f t="shared" si="11"/>
        <v>0</v>
      </c>
      <c r="BG169" s="409">
        <f t="shared" si="11"/>
        <v>0</v>
      </c>
      <c r="BH169" s="410">
        <f t="shared" si="11"/>
        <v>0</v>
      </c>
      <c r="BI169" s="402">
        <f t="shared" si="11"/>
        <v>0</v>
      </c>
      <c r="BJ169" s="402">
        <f t="shared" si="11"/>
        <v>0</v>
      </c>
      <c r="BK169" s="402">
        <f t="shared" si="11"/>
        <v>0</v>
      </c>
      <c r="BL169" s="402">
        <f t="shared" si="11"/>
        <v>0</v>
      </c>
      <c r="BM169" s="402">
        <f t="shared" si="11"/>
        <v>0</v>
      </c>
      <c r="BN169" s="402">
        <f t="shared" si="11"/>
        <v>0</v>
      </c>
      <c r="BO169" s="402">
        <f t="shared" si="11"/>
        <v>0</v>
      </c>
      <c r="BP169" s="402">
        <f t="shared" si="11"/>
        <v>0</v>
      </c>
      <c r="BQ169" s="402">
        <f t="shared" si="11"/>
        <v>0</v>
      </c>
      <c r="BR169" s="402">
        <f t="shared" si="11"/>
        <v>0</v>
      </c>
      <c r="BS169" s="42"/>
    </row>
    <row r="170" spans="1:71" ht="45" customHeight="1" x14ac:dyDescent="0.25">
      <c r="A170" s="126"/>
      <c r="B170" s="430"/>
      <c r="C170" s="430"/>
      <c r="D170" s="406"/>
      <c r="E170" s="408"/>
      <c r="F170" s="406"/>
      <c r="G170" s="407"/>
      <c r="H170" s="407"/>
      <c r="I170" s="408"/>
      <c r="J170" s="406"/>
      <c r="K170" s="407"/>
      <c r="L170" s="407"/>
      <c r="M170" s="408"/>
      <c r="N170" s="406"/>
      <c r="O170" s="407"/>
      <c r="P170" s="407"/>
      <c r="Q170" s="408"/>
      <c r="R170" s="406"/>
      <c r="S170" s="407"/>
      <c r="T170" s="407"/>
      <c r="U170" s="408"/>
      <c r="V170" s="406"/>
      <c r="W170" s="407"/>
      <c r="X170" s="407"/>
      <c r="Y170" s="408"/>
      <c r="Z170" s="406"/>
      <c r="AA170" s="407"/>
      <c r="AB170" s="408"/>
      <c r="AC170" s="430"/>
      <c r="AD170" s="430"/>
      <c r="AE170" s="430"/>
      <c r="AF170" s="430"/>
      <c r="AG170" s="435"/>
      <c r="AH170" s="436"/>
      <c r="AI170" s="436"/>
      <c r="AJ170" s="436"/>
      <c r="AK170" s="436"/>
      <c r="AL170" s="436"/>
      <c r="AM170" s="437"/>
      <c r="AN170" s="411"/>
      <c r="AO170" s="412"/>
      <c r="AP170" s="412"/>
      <c r="AQ170" s="412"/>
      <c r="AR170" s="412"/>
      <c r="AS170" s="412"/>
      <c r="AT170" s="412"/>
      <c r="AU170" s="412"/>
      <c r="AV170" s="412"/>
      <c r="AW170" s="412"/>
      <c r="AX170" s="412"/>
      <c r="AY170" s="412"/>
      <c r="AZ170" s="412"/>
      <c r="BA170" s="412"/>
      <c r="BB170" s="412"/>
      <c r="BC170" s="412"/>
      <c r="BD170" s="412"/>
      <c r="BE170" s="412"/>
      <c r="BF170" s="412"/>
      <c r="BG170" s="412"/>
      <c r="BH170" s="412"/>
      <c r="BI170" s="412"/>
      <c r="BJ170" s="412"/>
      <c r="BK170" s="412"/>
      <c r="BL170" s="412"/>
      <c r="BM170" s="412"/>
      <c r="BN170" s="412"/>
      <c r="BO170" s="412"/>
      <c r="BP170" s="412"/>
      <c r="BQ170" s="412"/>
      <c r="BR170" s="412"/>
      <c r="BS170" s="42"/>
    </row>
    <row r="171" spans="1:71" ht="45" customHeight="1" thickBot="1" x14ac:dyDescent="0.3">
      <c r="A171" s="127">
        <f>J171/(D171+12)</f>
        <v>0</v>
      </c>
      <c r="B171" s="431">
        <f>F171/(D171+12)</f>
        <v>0</v>
      </c>
      <c r="C171" s="431"/>
      <c r="D171" s="403">
        <f>SUM(F168:BR168)+12</f>
        <v>17.75</v>
      </c>
      <c r="E171" s="404"/>
      <c r="F171" s="404">
        <f>SUM(F3:BR3)</f>
        <v>0</v>
      </c>
      <c r="G171" s="404"/>
      <c r="H171" s="404"/>
      <c r="I171" s="405"/>
      <c r="J171" s="403">
        <f>SUM(F5:BR5)</f>
        <v>0</v>
      </c>
      <c r="K171" s="404"/>
      <c r="L171" s="404"/>
      <c r="M171" s="405"/>
      <c r="N171" s="403">
        <f>SUM(F7:BR7)</f>
        <v>0</v>
      </c>
      <c r="O171" s="404"/>
      <c r="P171" s="404"/>
      <c r="Q171" s="405"/>
      <c r="R171" s="403">
        <f>SUM(F8:BR8)</f>
        <v>0</v>
      </c>
      <c r="S171" s="404"/>
      <c r="T171" s="404"/>
      <c r="U171" s="405"/>
      <c r="V171" s="403">
        <f>SUM(F9:BR9)</f>
        <v>0</v>
      </c>
      <c r="W171" s="404"/>
      <c r="X171" s="404"/>
      <c r="Y171" s="405"/>
      <c r="Z171" s="403" t="e">
        <f>SUM(F11:BR11)</f>
        <v>#REF!</v>
      </c>
      <c r="AA171" s="404"/>
      <c r="AB171" s="405"/>
      <c r="AC171" s="431" t="e">
        <f>SUM(F12:BR12)</f>
        <v>#REF!</v>
      </c>
      <c r="AD171" s="431"/>
      <c r="AE171" s="431"/>
      <c r="AF171" s="431"/>
      <c r="AG171" s="403" t="e">
        <f>SUM(F13:BR13)</f>
        <v>#REF!</v>
      </c>
      <c r="AH171" s="438"/>
      <c r="AI171" s="438"/>
      <c r="AJ171" s="438"/>
      <c r="AK171" s="438"/>
      <c r="AL171" s="438"/>
      <c r="AM171" s="405"/>
      <c r="AN171" s="413"/>
      <c r="AO171" s="414"/>
      <c r="AP171" s="414"/>
      <c r="AQ171" s="414"/>
      <c r="AR171" s="414"/>
      <c r="AS171" s="414"/>
      <c r="AT171" s="414"/>
      <c r="AU171" s="414"/>
      <c r="AV171" s="414"/>
      <c r="AW171" s="414"/>
      <c r="AX171" s="414"/>
      <c r="AY171" s="414"/>
      <c r="AZ171" s="414"/>
      <c r="BA171" s="414"/>
      <c r="BB171" s="414"/>
      <c r="BC171" s="414"/>
      <c r="BD171" s="414"/>
      <c r="BE171" s="414"/>
      <c r="BF171" s="414"/>
      <c r="BG171" s="414"/>
      <c r="BH171" s="414"/>
      <c r="BI171" s="414"/>
      <c r="BJ171" s="414"/>
      <c r="BK171" s="414"/>
      <c r="BL171" s="414"/>
      <c r="BM171" s="414"/>
      <c r="BN171" s="414"/>
      <c r="BO171" s="414"/>
      <c r="BP171" s="414"/>
      <c r="BQ171" s="414"/>
      <c r="BR171" s="414"/>
      <c r="BS171" s="128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E28:AE35 AL161:BR165 K16:M18 K19:L25 M19:M24 BR22:BR160 AO170:BR171 AM170 AL171:AN171 AM91:BJ91 BM22:BQ91 BJ22:BL54 BI84:BJ84 M142:M160 BI85:BI90 BJ87:BL90 BJ85:BJ86 BK84:BL85 AD153:AK165 AL153:BQ160 J16:J84 K26:K83 A117:A165 AX92:BK116 AL83:BH90 BI83 AE37:AE54 A97:A115 A16:A95 AL22:BI25 AK108:AK135 T16:BR20 AJ92:AJ137 J85:K160 L26:L160 M26:M78 N16:S54 B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B161:P165" name="Intervallo1"/>
    <protectedRange sqref="AL91" name="Intervallo1_2"/>
  </protectedRanges>
  <dataConsolidate/>
  <mergeCells count="203">
    <mergeCell ref="BQ2:BR2"/>
    <mergeCell ref="BQ4:BR4"/>
    <mergeCell ref="BQ6:BR6"/>
    <mergeCell ref="BQ10:BR10"/>
    <mergeCell ref="BQ167:BR167"/>
    <mergeCell ref="A1:E1"/>
    <mergeCell ref="A2:E3"/>
    <mergeCell ref="A4:E5"/>
    <mergeCell ref="A6:E7"/>
    <mergeCell ref="A8:E8"/>
    <mergeCell ref="AH2:AI2"/>
    <mergeCell ref="AJ2:AK2"/>
    <mergeCell ref="G2:J2"/>
    <mergeCell ref="K2:L2"/>
    <mergeCell ref="M2:N2"/>
    <mergeCell ref="O2:P2"/>
    <mergeCell ref="Q2:R2"/>
    <mergeCell ref="S2:U2"/>
    <mergeCell ref="A9:E9"/>
    <mergeCell ref="Z4:AC4"/>
    <mergeCell ref="AD4:AE4"/>
    <mergeCell ref="AF4:AG4"/>
    <mergeCell ref="AH4:AI4"/>
    <mergeCell ref="BM2:BN2"/>
    <mergeCell ref="BO2:BP2"/>
    <mergeCell ref="G6:J6"/>
    <mergeCell ref="G4:J4"/>
    <mergeCell ref="K4:L4"/>
    <mergeCell ref="K6:L6"/>
    <mergeCell ref="K10:L10"/>
    <mergeCell ref="M4:N4"/>
    <mergeCell ref="M6:N6"/>
    <mergeCell ref="BB2:BC2"/>
    <mergeCell ref="BD2:BF2"/>
    <mergeCell ref="O4:P4"/>
    <mergeCell ref="O6:P6"/>
    <mergeCell ref="O10:P10"/>
    <mergeCell ref="Q4:R4"/>
    <mergeCell ref="Q6:R6"/>
    <mergeCell ref="Q10:R10"/>
    <mergeCell ref="AL10:AN10"/>
    <mergeCell ref="AO10:AR10"/>
    <mergeCell ref="AS10:AV10"/>
    <mergeCell ref="AW10:AY10"/>
    <mergeCell ref="AZ10:BA10"/>
    <mergeCell ref="BG2:BH2"/>
    <mergeCell ref="BI2:BJ2"/>
    <mergeCell ref="BK2:BL2"/>
    <mergeCell ref="AL2:AN2"/>
    <mergeCell ref="AO2:AR2"/>
    <mergeCell ref="AS2:AV2"/>
    <mergeCell ref="AW2:AY2"/>
    <mergeCell ref="AZ2:BA2"/>
    <mergeCell ref="V2:Y2"/>
    <mergeCell ref="Z2:AC2"/>
    <mergeCell ref="AD2:AE2"/>
    <mergeCell ref="AF2:AG2"/>
    <mergeCell ref="BO4:BP4"/>
    <mergeCell ref="S6:U6"/>
    <mergeCell ref="V6:Y6"/>
    <mergeCell ref="Z6:AC6"/>
    <mergeCell ref="AD6:AE6"/>
    <mergeCell ref="AF6:AG6"/>
    <mergeCell ref="AH6:AI6"/>
    <mergeCell ref="AJ6:AK6"/>
    <mergeCell ref="AL6:AN6"/>
    <mergeCell ref="AO6:AR6"/>
    <mergeCell ref="BB4:BC4"/>
    <mergeCell ref="BD4:BF4"/>
    <mergeCell ref="BG4:BH4"/>
    <mergeCell ref="BI4:BJ4"/>
    <mergeCell ref="BK4:BL4"/>
    <mergeCell ref="BM4:BN4"/>
    <mergeCell ref="AJ4:AK4"/>
    <mergeCell ref="AL4:AN4"/>
    <mergeCell ref="AO4:AR4"/>
    <mergeCell ref="AS4:AV4"/>
    <mergeCell ref="AW4:AY4"/>
    <mergeCell ref="AZ4:BA4"/>
    <mergeCell ref="S4:U4"/>
    <mergeCell ref="V4:Y4"/>
    <mergeCell ref="BO6:BP6"/>
    <mergeCell ref="S10:U10"/>
    <mergeCell ref="V10:Y10"/>
    <mergeCell ref="Z10:AC10"/>
    <mergeCell ref="AD10:AE10"/>
    <mergeCell ref="AF10:AG10"/>
    <mergeCell ref="AH10:AI10"/>
    <mergeCell ref="AS6:AV6"/>
    <mergeCell ref="AW6:AY6"/>
    <mergeCell ref="AZ6:BA6"/>
    <mergeCell ref="BB6:BC6"/>
    <mergeCell ref="BD6:BF6"/>
    <mergeCell ref="BG6:BH6"/>
    <mergeCell ref="BO10:BP10"/>
    <mergeCell ref="BB10:BC10"/>
    <mergeCell ref="BD10:BF10"/>
    <mergeCell ref="BG10:BH10"/>
    <mergeCell ref="BI10:BJ10"/>
    <mergeCell ref="BK10:BL10"/>
    <mergeCell ref="BM10:BN10"/>
    <mergeCell ref="AJ10:AK10"/>
    <mergeCell ref="E80:E86"/>
    <mergeCell ref="E87:E109"/>
    <mergeCell ref="E110:E154"/>
    <mergeCell ref="BI6:BJ6"/>
    <mergeCell ref="BK6:BL6"/>
    <mergeCell ref="BM6:BN6"/>
    <mergeCell ref="G10:J10"/>
    <mergeCell ref="M10:N10"/>
    <mergeCell ref="A10:E11"/>
    <mergeCell ref="A12:E12"/>
    <mergeCell ref="A13:E13"/>
    <mergeCell ref="A14:E14"/>
    <mergeCell ref="E47:E53"/>
    <mergeCell ref="E54:E66"/>
    <mergeCell ref="E67:E79"/>
    <mergeCell ref="E16:E22"/>
    <mergeCell ref="E23:E31"/>
    <mergeCell ref="E32:E46"/>
    <mergeCell ref="A15:E15"/>
    <mergeCell ref="V12:Y12"/>
    <mergeCell ref="Z12:AC12"/>
    <mergeCell ref="V13:Y13"/>
    <mergeCell ref="Z13:AC13"/>
    <mergeCell ref="AO12:AR12"/>
    <mergeCell ref="B170:C170"/>
    <mergeCell ref="B171:C171"/>
    <mergeCell ref="A169:E169"/>
    <mergeCell ref="G167:J167"/>
    <mergeCell ref="Z167:AC167"/>
    <mergeCell ref="AC170:AF170"/>
    <mergeCell ref="AC171:AF171"/>
    <mergeCell ref="AD167:AE167"/>
    <mergeCell ref="AF167:AG167"/>
    <mergeCell ref="AG170:AM170"/>
    <mergeCell ref="AG171:AM171"/>
    <mergeCell ref="Q167:R167"/>
    <mergeCell ref="S167:U167"/>
    <mergeCell ref="D170:E170"/>
    <mergeCell ref="D171:E171"/>
    <mergeCell ref="J170:M170"/>
    <mergeCell ref="F170:I170"/>
    <mergeCell ref="F171:I171"/>
    <mergeCell ref="J171:M171"/>
    <mergeCell ref="V167:Y167"/>
    <mergeCell ref="BO167:BP167"/>
    <mergeCell ref="AO167:AR167"/>
    <mergeCell ref="AS167:AV167"/>
    <mergeCell ref="AW167:AY167"/>
    <mergeCell ref="AZ167:BA167"/>
    <mergeCell ref="BB167:BC167"/>
    <mergeCell ref="BD167:BF167"/>
    <mergeCell ref="E155:E165"/>
    <mergeCell ref="A167:E168"/>
    <mergeCell ref="A166:E166"/>
    <mergeCell ref="BG167:BH167"/>
    <mergeCell ref="BI167:BJ167"/>
    <mergeCell ref="BK167:BL167"/>
    <mergeCell ref="BM167:BN167"/>
    <mergeCell ref="AO13:AR13"/>
    <mergeCell ref="AS12:AV12"/>
    <mergeCell ref="AS13:AV13"/>
    <mergeCell ref="G169:J169"/>
    <mergeCell ref="K169:L169"/>
    <mergeCell ref="M169:N169"/>
    <mergeCell ref="O169:P169"/>
    <mergeCell ref="Q169:R169"/>
    <mergeCell ref="S169:U169"/>
    <mergeCell ref="V169:Y169"/>
    <mergeCell ref="Z169:AC169"/>
    <mergeCell ref="AD169:AE169"/>
    <mergeCell ref="AF169:AG169"/>
    <mergeCell ref="AH169:AI169"/>
    <mergeCell ref="AJ169:AK169"/>
    <mergeCell ref="AL169:AN169"/>
    <mergeCell ref="AO169:AR169"/>
    <mergeCell ref="AS169:AV169"/>
    <mergeCell ref="AH167:AI167"/>
    <mergeCell ref="AJ167:AK167"/>
    <mergeCell ref="AL167:AN167"/>
    <mergeCell ref="K167:L167"/>
    <mergeCell ref="M167:N167"/>
    <mergeCell ref="O167:P167"/>
    <mergeCell ref="BQ169:BR169"/>
    <mergeCell ref="Z171:AB171"/>
    <mergeCell ref="Z170:AB170"/>
    <mergeCell ref="V170:Y170"/>
    <mergeCell ref="V171:Y171"/>
    <mergeCell ref="R170:U170"/>
    <mergeCell ref="R171:U171"/>
    <mergeCell ref="N170:Q170"/>
    <mergeCell ref="N171:Q171"/>
    <mergeCell ref="AW169:AY169"/>
    <mergeCell ref="AZ169:BA169"/>
    <mergeCell ref="BB169:BC169"/>
    <mergeCell ref="BD169:BF169"/>
    <mergeCell ref="BG169:BH169"/>
    <mergeCell ref="BI169:BJ169"/>
    <mergeCell ref="BK169:BL169"/>
    <mergeCell ref="BM169:BN169"/>
    <mergeCell ref="BO169:BP169"/>
    <mergeCell ref="AN170:BR171"/>
  </mergeCells>
  <phoneticPr fontId="6" type="noConversion"/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266" priority="32" operator="equal">
      <formula>"F"</formula>
    </cfRule>
    <cfRule type="cellIs" dxfId="265" priority="33" operator="equal">
      <formula>"N"</formula>
    </cfRule>
    <cfRule type="cellIs" dxfId="264" priority="34" operator="equal">
      <formula>"I"</formula>
    </cfRule>
  </conditionalFormatting>
  <conditionalFormatting sqref="A16:A53 A97:A115 A117:A165 A55:A95">
    <cfRule type="duplicateValues" dxfId="263" priority="31"/>
  </conditionalFormatting>
  <conditionalFormatting sqref="AE95">
    <cfRule type="cellIs" dxfId="262" priority="28" operator="equal">
      <formula>"F"</formula>
    </cfRule>
    <cfRule type="cellIs" dxfId="261" priority="29" operator="equal">
      <formula>"N"</formula>
    </cfRule>
    <cfRule type="cellIs" dxfId="260" priority="30" operator="equal">
      <formula>"I"</formula>
    </cfRule>
  </conditionalFormatting>
  <conditionalFormatting sqref="AL91">
    <cfRule type="cellIs" dxfId="259" priority="25" operator="equal">
      <formula>"F"</formula>
    </cfRule>
    <cfRule type="cellIs" dxfId="258" priority="26" operator="equal">
      <formula>"N"</formula>
    </cfRule>
    <cfRule type="cellIs" dxfId="257" priority="27" operator="equal">
      <formula>"I"</formula>
    </cfRule>
  </conditionalFormatting>
  <conditionalFormatting sqref="AE134">
    <cfRule type="cellIs" dxfId="256" priority="22" operator="equal">
      <formula>"F"</formula>
    </cfRule>
    <cfRule type="cellIs" dxfId="255" priority="23" operator="equal">
      <formula>"N"</formula>
    </cfRule>
    <cfRule type="cellIs" dxfId="254" priority="24" operator="equal">
      <formula>"I"</formula>
    </cfRule>
  </conditionalFormatting>
  <conditionalFormatting sqref="AF34">
    <cfRule type="cellIs" dxfId="253" priority="13" operator="equal">
      <formula>"F"</formula>
    </cfRule>
    <cfRule type="cellIs" dxfId="252" priority="14" operator="equal">
      <formula>"N"</formula>
    </cfRule>
    <cfRule type="cellIs" dxfId="251" priority="15" operator="equal">
      <formula>"I"</formula>
    </cfRule>
  </conditionalFormatting>
  <conditionalFormatting sqref="AE93">
    <cfRule type="cellIs" dxfId="250" priority="10" operator="equal">
      <formula>"F"</formula>
    </cfRule>
    <cfRule type="cellIs" dxfId="249" priority="11" operator="equal">
      <formula>"N"</formula>
    </cfRule>
    <cfRule type="cellIs" dxfId="248" priority="12" operator="equal">
      <formula>"I"</formula>
    </cfRule>
  </conditionalFormatting>
  <conditionalFormatting sqref="AF99">
    <cfRule type="cellIs" dxfId="247" priority="4" operator="equal">
      <formula>"F"</formula>
    </cfRule>
    <cfRule type="cellIs" dxfId="246" priority="5" operator="equal">
      <formula>"N"</formula>
    </cfRule>
    <cfRule type="cellIs" dxfId="245" priority="6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5" orientation="landscape" r:id="rId1"/>
  <ignoredErrors>
    <ignoredError sqref="C18:D18 C20:D20 C22 C31:D32 C38:D38 C46:D46 C53:D54 C60:D60 C66:D66 C73:D73 C79:D79 C86:D87 C93:D93 C99:D99 C109:D109 C116:D116 C122:D122 C134:D134 C140:D140 C146:D146 C154:D154 C128:D128 C23 C80 C110 C155 C47 C67" unlockedFormula="1"/>
    <ignoredError sqref="F3:BP3 F11:BQ11 F10:BP10 F5:BP5 F4:BP4 F6:BH6 F9:BF9 F8:BP8 BJ6:BP6 F13:U13 F12:U12 AD12:AN12 AD13:AN13 AW12:BQ12 AW13:BQ13 BH9:BP9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61DFA6-34DC-4B4B-9DD9-CA55B34E3708}">
          <x14:formula1>
            <xm:f>TOT!$B$4:$B$11</xm:f>
          </x14:formula1>
          <xm:sqref>A16:A165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neareMAR">
    <tabColor rgb="FF00B050"/>
    <pageSetUpPr fitToPage="1"/>
  </sheetPr>
  <dimension ref="A1:BS284"/>
  <sheetViews>
    <sheetView zoomScale="40" zoomScaleNormal="40" zoomScaleSheetLayoutView="26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62">
        <f>LUN!A1+1</f>
        <v>45888</v>
      </c>
      <c r="B1" s="463"/>
      <c r="C1" s="463"/>
      <c r="D1" s="463"/>
      <c r="E1" s="464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65" t="s">
        <v>35</v>
      </c>
      <c r="B2" s="466"/>
      <c r="C2" s="466"/>
      <c r="D2" s="466"/>
      <c r="E2" s="467"/>
      <c r="F2" s="41">
        <f>F3</f>
        <v>0</v>
      </c>
      <c r="G2" s="442">
        <f>SUM(G3:J3)</f>
        <v>0</v>
      </c>
      <c r="H2" s="442"/>
      <c r="I2" s="442"/>
      <c r="J2" s="442"/>
      <c r="K2" s="442">
        <f>SUM(K3:L3)</f>
        <v>0</v>
      </c>
      <c r="L2" s="442"/>
      <c r="M2" s="442">
        <f>SUM(M3:N3)</f>
        <v>0</v>
      </c>
      <c r="N2" s="442"/>
      <c r="O2" s="442">
        <f>SUM(O3:P3)</f>
        <v>0</v>
      </c>
      <c r="P2" s="442"/>
      <c r="Q2" s="442">
        <f>SUM(Q3:R3)</f>
        <v>0</v>
      </c>
      <c r="R2" s="442"/>
      <c r="S2" s="442">
        <f>SUM(S3:U3)</f>
        <v>0</v>
      </c>
      <c r="T2" s="442"/>
      <c r="U2" s="442"/>
      <c r="V2" s="442">
        <f>SUM(V3:Y3)</f>
        <v>0</v>
      </c>
      <c r="W2" s="442"/>
      <c r="X2" s="442"/>
      <c r="Y2" s="442"/>
      <c r="Z2" s="442">
        <f>SUM(Z3:AC3)</f>
        <v>0</v>
      </c>
      <c r="AA2" s="442"/>
      <c r="AB2" s="442"/>
      <c r="AC2" s="442"/>
      <c r="AD2" s="442">
        <f>SUM(AD3:AE3)</f>
        <v>0</v>
      </c>
      <c r="AE2" s="442"/>
      <c r="AF2" s="442">
        <f>SUM(AF3:AG3)</f>
        <v>0</v>
      </c>
      <c r="AG2" s="442"/>
      <c r="AH2" s="442">
        <f>SUM(AH3:AI3)</f>
        <v>0</v>
      </c>
      <c r="AI2" s="442"/>
      <c r="AJ2" s="442">
        <f>SUM(AJ3:AK3)</f>
        <v>0</v>
      </c>
      <c r="AK2" s="442"/>
      <c r="AL2" s="442">
        <f>SUM(AL3:AN3)</f>
        <v>0</v>
      </c>
      <c r="AM2" s="442"/>
      <c r="AN2" s="442"/>
      <c r="AO2" s="442">
        <f>SUM(AO3:AR3)</f>
        <v>0</v>
      </c>
      <c r="AP2" s="442"/>
      <c r="AQ2" s="442"/>
      <c r="AR2" s="442"/>
      <c r="AS2" s="442">
        <f>SUM(AS3:AV3)</f>
        <v>0</v>
      </c>
      <c r="AT2" s="442"/>
      <c r="AU2" s="442"/>
      <c r="AV2" s="442"/>
      <c r="AW2" s="442">
        <f>SUM(AW3:AY3)</f>
        <v>0</v>
      </c>
      <c r="AX2" s="442"/>
      <c r="AY2" s="442"/>
      <c r="AZ2" s="442">
        <f>SUM(AZ3:BA3)</f>
        <v>0</v>
      </c>
      <c r="BA2" s="442"/>
      <c r="BB2" s="442">
        <f>SUM(BB3:BC3)</f>
        <v>0</v>
      </c>
      <c r="BC2" s="442"/>
      <c r="BD2" s="442">
        <f>SUM(BD3:BF3)</f>
        <v>0</v>
      </c>
      <c r="BE2" s="442"/>
      <c r="BF2" s="442"/>
      <c r="BG2" s="442">
        <f>SUM(BG3:BH3)</f>
        <v>0</v>
      </c>
      <c r="BH2" s="442"/>
      <c r="BI2" s="442">
        <f>SUM(BI3:BJ3)</f>
        <v>0</v>
      </c>
      <c r="BJ2" s="442"/>
      <c r="BK2" s="442">
        <f>SUM(BK3:BL3)</f>
        <v>0</v>
      </c>
      <c r="BL2" s="442"/>
      <c r="BM2" s="442">
        <f>SUM(BM3:BN3)</f>
        <v>0</v>
      </c>
      <c r="BN2" s="442"/>
      <c r="BO2" s="442">
        <f>SUM(BO3:BP3)</f>
        <v>0</v>
      </c>
      <c r="BP2" s="442"/>
      <c r="BQ2" s="442">
        <f>BQ3</f>
        <v>0</v>
      </c>
      <c r="BR2" s="442"/>
      <c r="BS2" s="42"/>
    </row>
    <row r="3" spans="1:71" ht="35.1" customHeight="1" x14ac:dyDescent="0.25">
      <c r="A3" s="468"/>
      <c r="B3" s="469"/>
      <c r="C3" s="469"/>
      <c r="D3" s="469"/>
      <c r="E3" s="470"/>
      <c r="F3" s="43">
        <f>Fasce_Tot!I4</f>
        <v>0</v>
      </c>
      <c r="G3" s="43">
        <f>Fasce_Tot!I5</f>
        <v>0</v>
      </c>
      <c r="H3" s="43">
        <f>Fasce_Tot!I6</f>
        <v>0</v>
      </c>
      <c r="I3" s="43">
        <f>Fasce_Tot!I7</f>
        <v>0</v>
      </c>
      <c r="J3" s="43">
        <f>Fasce_Tot!I8</f>
        <v>0</v>
      </c>
      <c r="K3" s="43">
        <f>Fasce_Tot!I9</f>
        <v>0</v>
      </c>
      <c r="L3" s="43">
        <f>Fasce_Tot!I10</f>
        <v>0</v>
      </c>
      <c r="M3" s="43">
        <f>Fasce_Tot!I11</f>
        <v>0</v>
      </c>
      <c r="N3" s="43">
        <f>Fasce_Tot!I12</f>
        <v>0</v>
      </c>
      <c r="O3" s="43">
        <f>Fasce_Tot!I13</f>
        <v>0</v>
      </c>
      <c r="P3" s="43">
        <f>Fasce_Tot!I14</f>
        <v>0</v>
      </c>
      <c r="Q3" s="43">
        <f>Fasce_Tot!I15</f>
        <v>0</v>
      </c>
      <c r="R3" s="43">
        <f>Fasce_Tot!I16</f>
        <v>0</v>
      </c>
      <c r="S3" s="43">
        <f>Fasce_Tot!I17</f>
        <v>0</v>
      </c>
      <c r="T3" s="43">
        <f>Fasce_Tot!I18</f>
        <v>0</v>
      </c>
      <c r="U3" s="43">
        <f>Fasce_Tot!I19</f>
        <v>0</v>
      </c>
      <c r="V3" s="43">
        <f>Fasce_Tot!I20</f>
        <v>0</v>
      </c>
      <c r="W3" s="43">
        <f>Fasce_Tot!I21</f>
        <v>0</v>
      </c>
      <c r="X3" s="43">
        <f>Fasce_Tot!I22</f>
        <v>0</v>
      </c>
      <c r="Y3" s="43">
        <f>Fasce_Tot!I23</f>
        <v>0</v>
      </c>
      <c r="Z3" s="43">
        <f>Fasce_Tot!I24</f>
        <v>0</v>
      </c>
      <c r="AA3" s="43">
        <f>Fasce_Tot!I25</f>
        <v>0</v>
      </c>
      <c r="AB3" s="43">
        <f>Fasce_Tot!I26</f>
        <v>0</v>
      </c>
      <c r="AC3" s="43">
        <f>Fasce_Tot!I27</f>
        <v>0</v>
      </c>
      <c r="AD3" s="43">
        <f>Fasce_Tot!I28</f>
        <v>0</v>
      </c>
      <c r="AE3" s="43">
        <f>Fasce_Tot!I29</f>
        <v>0</v>
      </c>
      <c r="AF3" s="43">
        <f>Fasce_Tot!I30</f>
        <v>0</v>
      </c>
      <c r="AG3" s="43">
        <f>Fasce_Tot!I31</f>
        <v>0</v>
      </c>
      <c r="AH3" s="43">
        <f>Fasce_Tot!I32</f>
        <v>0</v>
      </c>
      <c r="AI3" s="43">
        <f>Fasce_Tot!I33</f>
        <v>0</v>
      </c>
      <c r="AJ3" s="43">
        <f>Fasce_Tot!I34</f>
        <v>0</v>
      </c>
      <c r="AK3" s="43">
        <f>Fasce_Tot!I35</f>
        <v>0</v>
      </c>
      <c r="AL3" s="43">
        <f>Fasce_Tot!I36</f>
        <v>0</v>
      </c>
      <c r="AM3" s="43">
        <f>Fasce_Tot!I37</f>
        <v>0</v>
      </c>
      <c r="AN3" s="43">
        <f>Fasce_Tot!I38</f>
        <v>0</v>
      </c>
      <c r="AO3" s="43">
        <f>Fasce_Tot!I39</f>
        <v>0</v>
      </c>
      <c r="AP3" s="43">
        <f>Fasce_Tot!I40</f>
        <v>0</v>
      </c>
      <c r="AQ3" s="43">
        <f>Fasce_Tot!I41</f>
        <v>0</v>
      </c>
      <c r="AR3" s="43">
        <f>Fasce_Tot!I42</f>
        <v>0</v>
      </c>
      <c r="AS3" s="43">
        <f>Fasce_Tot!I43</f>
        <v>0</v>
      </c>
      <c r="AT3" s="43">
        <f>Fasce_Tot!I44</f>
        <v>0</v>
      </c>
      <c r="AU3" s="43">
        <f>Fasce_Tot!I45</f>
        <v>0</v>
      </c>
      <c r="AV3" s="43">
        <f>Fasce_Tot!I46</f>
        <v>0</v>
      </c>
      <c r="AW3" s="43">
        <f>Fasce_Tot!I47</f>
        <v>0</v>
      </c>
      <c r="AX3" s="43">
        <f>Fasce_Tot!I48</f>
        <v>0</v>
      </c>
      <c r="AY3" s="43">
        <f>Fasce_Tot!I49</f>
        <v>0</v>
      </c>
      <c r="AZ3" s="43">
        <f>Fasce_Tot!I50</f>
        <v>0</v>
      </c>
      <c r="BA3" s="43">
        <f>Fasce_Tot!I51</f>
        <v>0</v>
      </c>
      <c r="BB3" s="43">
        <f>Fasce_Tot!I52</f>
        <v>0</v>
      </c>
      <c r="BC3" s="43">
        <f>Fasce_Tot!I53</f>
        <v>0</v>
      </c>
      <c r="BD3" s="43">
        <f>Fasce_Tot!I54</f>
        <v>0</v>
      </c>
      <c r="BE3" s="43">
        <f>Fasce_Tot!I55</f>
        <v>0</v>
      </c>
      <c r="BF3" s="43">
        <f>Fasce_Tot!I56</f>
        <v>0</v>
      </c>
      <c r="BG3" s="43">
        <f>Fasce_Tot!I57</f>
        <v>0</v>
      </c>
      <c r="BH3" s="43">
        <f>Fasce_Tot!I58</f>
        <v>0</v>
      </c>
      <c r="BI3" s="43">
        <f>Fasce_Tot!I59</f>
        <v>0</v>
      </c>
      <c r="BJ3" s="43">
        <f>Fasce_Tot!I60</f>
        <v>0</v>
      </c>
      <c r="BK3" s="43">
        <f>Fasce_Tot!I61</f>
        <v>0</v>
      </c>
      <c r="BL3" s="43">
        <f>Fasce_Tot!I62</f>
        <v>0</v>
      </c>
      <c r="BM3" s="43">
        <f>Fasce_Tot!I63</f>
        <v>0</v>
      </c>
      <c r="BN3" s="43">
        <f>Fasce_Tot!I64</f>
        <v>0</v>
      </c>
      <c r="BO3" s="43">
        <f>Fasce_Tot!I65</f>
        <v>0</v>
      </c>
      <c r="BP3" s="43">
        <f>Fasce_Tot!I66</f>
        <v>0</v>
      </c>
      <c r="BQ3" s="43">
        <f>SUM(Fasce_Tot!O5:'Fasce_Tot'!O6)</f>
        <v>0</v>
      </c>
      <c r="BR3" s="43">
        <f>SUM(Fasce_Tot!O7:'Fasce_Tot'!O8)</f>
        <v>0</v>
      </c>
      <c r="BS3" s="42"/>
    </row>
    <row r="4" spans="1:71" ht="45" customHeight="1" x14ac:dyDescent="0.25">
      <c r="A4" s="471" t="s">
        <v>299</v>
      </c>
      <c r="B4" s="472"/>
      <c r="C4" s="472"/>
      <c r="D4" s="472"/>
      <c r="E4" s="473"/>
      <c r="F4" s="44">
        <f>F5</f>
        <v>0</v>
      </c>
      <c r="G4" s="443">
        <f>SUM(G5:J5)</f>
        <v>0</v>
      </c>
      <c r="H4" s="444"/>
      <c r="I4" s="444"/>
      <c r="J4" s="445"/>
      <c r="K4" s="446">
        <f>SUM(K5:L5)</f>
        <v>0</v>
      </c>
      <c r="L4" s="446"/>
      <c r="M4" s="446">
        <f>SUM(M5:N5)</f>
        <v>0</v>
      </c>
      <c r="N4" s="446"/>
      <c r="O4" s="446">
        <f>SUM(O5:P5)</f>
        <v>0</v>
      </c>
      <c r="P4" s="446"/>
      <c r="Q4" s="446">
        <f>SUM(Q5:R5)</f>
        <v>0</v>
      </c>
      <c r="R4" s="446"/>
      <c r="S4" s="446">
        <f>SUM(S5:U5)</f>
        <v>0</v>
      </c>
      <c r="T4" s="446"/>
      <c r="U4" s="446"/>
      <c r="V4" s="446">
        <f>SUM(V5:Y5)</f>
        <v>0</v>
      </c>
      <c r="W4" s="446"/>
      <c r="X4" s="446"/>
      <c r="Y4" s="446"/>
      <c r="Z4" s="446">
        <f>SUM(Z5:AC5)</f>
        <v>0</v>
      </c>
      <c r="AA4" s="446"/>
      <c r="AB4" s="446"/>
      <c r="AC4" s="446"/>
      <c r="AD4" s="446">
        <f>SUM(AD5:AE5)</f>
        <v>0</v>
      </c>
      <c r="AE4" s="446"/>
      <c r="AF4" s="446">
        <f>SUM(AF5:AG5)</f>
        <v>0</v>
      </c>
      <c r="AG4" s="446"/>
      <c r="AH4" s="446">
        <f>SUM(AH5:AI5)</f>
        <v>0</v>
      </c>
      <c r="AI4" s="446"/>
      <c r="AJ4" s="446">
        <f>SUM(AJ5:AK5)</f>
        <v>0</v>
      </c>
      <c r="AK4" s="446"/>
      <c r="AL4" s="446">
        <f>SUM(AL5:AN5)</f>
        <v>0</v>
      </c>
      <c r="AM4" s="446"/>
      <c r="AN4" s="446"/>
      <c r="AO4" s="446">
        <f>SUM(AO5:AR5)</f>
        <v>0</v>
      </c>
      <c r="AP4" s="446"/>
      <c r="AQ4" s="446"/>
      <c r="AR4" s="446"/>
      <c r="AS4" s="446">
        <f>SUM(AS5:AV5)</f>
        <v>0</v>
      </c>
      <c r="AT4" s="446"/>
      <c r="AU4" s="446"/>
      <c r="AV4" s="446"/>
      <c r="AW4" s="446">
        <f>SUM(AW5:AY5)</f>
        <v>0</v>
      </c>
      <c r="AX4" s="446"/>
      <c r="AY4" s="446"/>
      <c r="AZ4" s="446">
        <f>SUM(AZ5:BA5)</f>
        <v>0</v>
      </c>
      <c r="BA4" s="446"/>
      <c r="BB4" s="446">
        <f>SUM(BB5:BC5)</f>
        <v>0</v>
      </c>
      <c r="BC4" s="446"/>
      <c r="BD4" s="446">
        <f>SUM(BD5:BF5)</f>
        <v>0</v>
      </c>
      <c r="BE4" s="446"/>
      <c r="BF4" s="446"/>
      <c r="BG4" s="446">
        <f>SUM(BG5:BH5)</f>
        <v>0</v>
      </c>
      <c r="BH4" s="446"/>
      <c r="BI4" s="446">
        <f>SUM(BI5:BJ5)</f>
        <v>0</v>
      </c>
      <c r="BJ4" s="446"/>
      <c r="BK4" s="446">
        <f>SUM(BK5:BL5)</f>
        <v>0</v>
      </c>
      <c r="BL4" s="446"/>
      <c r="BM4" s="446">
        <f>SUM(BM5:BN5)</f>
        <v>0</v>
      </c>
      <c r="BN4" s="446"/>
      <c r="BO4" s="446">
        <f>SUM(BO5:BP5)</f>
        <v>0</v>
      </c>
      <c r="BP4" s="446"/>
      <c r="BQ4" s="446">
        <f>BQ5</f>
        <v>0</v>
      </c>
      <c r="BR4" s="446"/>
      <c r="BS4" s="42"/>
    </row>
    <row r="5" spans="1:71" ht="35.1" customHeight="1" x14ac:dyDescent="0.25">
      <c r="A5" s="474"/>
      <c r="B5" s="475"/>
      <c r="C5" s="475"/>
      <c r="D5" s="475"/>
      <c r="E5" s="476"/>
      <c r="F5" s="45">
        <f>Fasce_Tot!J$4</f>
        <v>0</v>
      </c>
      <c r="G5" s="45">
        <f>Fasce_Tot!J$5</f>
        <v>0</v>
      </c>
      <c r="H5" s="45">
        <f>Fasce_Tot!J$6</f>
        <v>0</v>
      </c>
      <c r="I5" s="45">
        <f>Fasce_Tot!J$7</f>
        <v>0</v>
      </c>
      <c r="J5" s="45">
        <f>Fasce_Tot!J$8</f>
        <v>0</v>
      </c>
      <c r="K5" s="45">
        <f>Fasce_Tot!J$9</f>
        <v>0</v>
      </c>
      <c r="L5" s="45">
        <f>Fasce_Tot!J$10</f>
        <v>0</v>
      </c>
      <c r="M5" s="45">
        <f>Fasce_Tot!J$11</f>
        <v>0</v>
      </c>
      <c r="N5" s="45">
        <f>Fasce_Tot!J$12</f>
        <v>0</v>
      </c>
      <c r="O5" s="45">
        <f>Fasce_Tot!J$13</f>
        <v>0</v>
      </c>
      <c r="P5" s="45">
        <f>Fasce_Tot!J$14</f>
        <v>0</v>
      </c>
      <c r="Q5" s="45">
        <f>Fasce_Tot!J$15</f>
        <v>0</v>
      </c>
      <c r="R5" s="45">
        <f>Fasce_Tot!J$16</f>
        <v>0</v>
      </c>
      <c r="S5" s="45">
        <f>Fasce_Tot!J$17</f>
        <v>0</v>
      </c>
      <c r="T5" s="45">
        <f>Fasce_Tot!J$18</f>
        <v>0</v>
      </c>
      <c r="U5" s="45">
        <f>Fasce_Tot!J$19</f>
        <v>0</v>
      </c>
      <c r="V5" s="45">
        <f>Fasce_Tot!J$20</f>
        <v>0</v>
      </c>
      <c r="W5" s="45">
        <f>Fasce_Tot!J$21</f>
        <v>0</v>
      </c>
      <c r="X5" s="45">
        <f>Fasce_Tot!J$22</f>
        <v>0</v>
      </c>
      <c r="Y5" s="45">
        <f>Fasce_Tot!J$23</f>
        <v>0</v>
      </c>
      <c r="Z5" s="45">
        <f>Fasce_Tot!J$24</f>
        <v>0</v>
      </c>
      <c r="AA5" s="45">
        <f>Fasce_Tot!J$25</f>
        <v>0</v>
      </c>
      <c r="AB5" s="45">
        <f>Fasce_Tot!J$26</f>
        <v>0</v>
      </c>
      <c r="AC5" s="45">
        <f>Fasce_Tot!J$27</f>
        <v>0</v>
      </c>
      <c r="AD5" s="45">
        <f>Fasce_Tot!J$28</f>
        <v>0</v>
      </c>
      <c r="AE5" s="45">
        <f>Fasce_Tot!J$29</f>
        <v>0</v>
      </c>
      <c r="AF5" s="45">
        <f>Fasce_Tot!J$30</f>
        <v>0</v>
      </c>
      <c r="AG5" s="45">
        <f>Fasce_Tot!J$31</f>
        <v>0</v>
      </c>
      <c r="AH5" s="45">
        <f>Fasce_Tot!J$32</f>
        <v>0</v>
      </c>
      <c r="AI5" s="45">
        <f>Fasce_Tot!J$33</f>
        <v>0</v>
      </c>
      <c r="AJ5" s="45">
        <f>Fasce_Tot!J$34</f>
        <v>0</v>
      </c>
      <c r="AK5" s="45">
        <f>Fasce_Tot!J$35</f>
        <v>0</v>
      </c>
      <c r="AL5" s="45">
        <f>Fasce_Tot!J$36</f>
        <v>0</v>
      </c>
      <c r="AM5" s="45">
        <f>Fasce_Tot!J$37</f>
        <v>0</v>
      </c>
      <c r="AN5" s="45">
        <f>Fasce_Tot!J$38</f>
        <v>0</v>
      </c>
      <c r="AO5" s="45">
        <f>Fasce_Tot!J$39</f>
        <v>0</v>
      </c>
      <c r="AP5" s="45">
        <f>Fasce_Tot!J$40</f>
        <v>0</v>
      </c>
      <c r="AQ5" s="45">
        <f>Fasce_Tot!J$41</f>
        <v>0</v>
      </c>
      <c r="AR5" s="45">
        <f>Fasce_Tot!J$42</f>
        <v>0</v>
      </c>
      <c r="AS5" s="45">
        <f>Fasce_Tot!J$43</f>
        <v>0</v>
      </c>
      <c r="AT5" s="45">
        <f>Fasce_Tot!J$44</f>
        <v>0</v>
      </c>
      <c r="AU5" s="45">
        <f>Fasce_Tot!J$45</f>
        <v>0</v>
      </c>
      <c r="AV5" s="45">
        <f>Fasce_Tot!J$46</f>
        <v>0</v>
      </c>
      <c r="AW5" s="45">
        <f>Fasce_Tot!J$47</f>
        <v>0</v>
      </c>
      <c r="AX5" s="45">
        <f>Fasce_Tot!J$48</f>
        <v>0</v>
      </c>
      <c r="AY5" s="45">
        <f>Fasce_Tot!J$49</f>
        <v>0</v>
      </c>
      <c r="AZ5" s="45">
        <f>Fasce_Tot!J$50</f>
        <v>0</v>
      </c>
      <c r="BA5" s="45">
        <f>Fasce_Tot!J$51</f>
        <v>0</v>
      </c>
      <c r="BB5" s="45">
        <f>Fasce_Tot!J$52</f>
        <v>0</v>
      </c>
      <c r="BC5" s="45">
        <f>Fasce_Tot!J$53</f>
        <v>0</v>
      </c>
      <c r="BD5" s="45">
        <f>Fasce_Tot!J$54</f>
        <v>0</v>
      </c>
      <c r="BE5" s="45">
        <f>Fasce_Tot!J$55</f>
        <v>0</v>
      </c>
      <c r="BF5" s="45">
        <f>Fasce_Tot!J$56</f>
        <v>0</v>
      </c>
      <c r="BG5" s="45">
        <f>Fasce_Tot!J$57</f>
        <v>0</v>
      </c>
      <c r="BH5" s="45">
        <f>Fasce_Tot!J$58</f>
        <v>0</v>
      </c>
      <c r="BI5" s="45">
        <f>Fasce_Tot!J$59</f>
        <v>0</v>
      </c>
      <c r="BJ5" s="45">
        <f>Fasce_Tot!J$60</f>
        <v>0</v>
      </c>
      <c r="BK5" s="45">
        <f>Fasce_Tot!J$61</f>
        <v>0</v>
      </c>
      <c r="BL5" s="45">
        <f>Fasce_Tot!J$62</f>
        <v>0</v>
      </c>
      <c r="BM5" s="45">
        <f>Fasce_Tot!J$63</f>
        <v>0</v>
      </c>
      <c r="BN5" s="45">
        <f>Fasce_Tot!J$64</f>
        <v>0</v>
      </c>
      <c r="BO5" s="45">
        <f>Fasce_Tot!J$65</f>
        <v>0</v>
      </c>
      <c r="BP5" s="45">
        <f>Fasce_Tot!J$66</f>
        <v>0</v>
      </c>
      <c r="BQ5" s="45">
        <f>SUM(Fasce_Tot!P5:'Fasce_Tot'!P6)</f>
        <v>0</v>
      </c>
      <c r="BR5" s="45">
        <f>SUM(Fasce_Tot!P7:'Fasce_Tot'!P8)</f>
        <v>0</v>
      </c>
      <c r="BS5" s="42"/>
    </row>
    <row r="6" spans="1:71" ht="45" customHeight="1" x14ac:dyDescent="0.25">
      <c r="A6" s="465" t="s">
        <v>308</v>
      </c>
      <c r="B6" s="466"/>
      <c r="C6" s="466"/>
      <c r="D6" s="466"/>
      <c r="E6" s="467"/>
      <c r="F6" s="41">
        <f>F7</f>
        <v>0</v>
      </c>
      <c r="G6" s="459">
        <f>SUM(G7:J7)</f>
        <v>0</v>
      </c>
      <c r="H6" s="460"/>
      <c r="I6" s="460"/>
      <c r="J6" s="461"/>
      <c r="K6" s="442">
        <f>SUM(K7:L7)</f>
        <v>0</v>
      </c>
      <c r="L6" s="442"/>
      <c r="M6" s="442">
        <f>SUM(M7:N7)</f>
        <v>0</v>
      </c>
      <c r="N6" s="442"/>
      <c r="O6" s="442">
        <f>SUM(O7:P7)</f>
        <v>0</v>
      </c>
      <c r="P6" s="442"/>
      <c r="Q6" s="442">
        <f>SUM(Q7:R7)</f>
        <v>0</v>
      </c>
      <c r="R6" s="442"/>
      <c r="S6" s="442">
        <f>SUM(S7:U7)</f>
        <v>0</v>
      </c>
      <c r="T6" s="442"/>
      <c r="U6" s="442"/>
      <c r="V6" s="442">
        <f>SUM(V7:Y7)</f>
        <v>0</v>
      </c>
      <c r="W6" s="442"/>
      <c r="X6" s="442"/>
      <c r="Y6" s="442"/>
      <c r="Z6" s="442">
        <f>SUM(Z7:AC7)</f>
        <v>0</v>
      </c>
      <c r="AA6" s="442"/>
      <c r="AB6" s="442"/>
      <c r="AC6" s="442"/>
      <c r="AD6" s="442">
        <f>SUM(AD7:AE7)</f>
        <v>0</v>
      </c>
      <c r="AE6" s="442"/>
      <c r="AF6" s="442">
        <f>SUM(AF7:AG7)</f>
        <v>0</v>
      </c>
      <c r="AG6" s="442"/>
      <c r="AH6" s="442">
        <f>SUM(AH7:AI7)</f>
        <v>0</v>
      </c>
      <c r="AI6" s="442"/>
      <c r="AJ6" s="442">
        <f>SUM(AJ7:AK7)</f>
        <v>0</v>
      </c>
      <c r="AK6" s="442"/>
      <c r="AL6" s="442">
        <f>SUM(AL7:AN7)</f>
        <v>0</v>
      </c>
      <c r="AM6" s="442"/>
      <c r="AN6" s="442"/>
      <c r="AO6" s="442">
        <f>SUM(AO7:AR7)</f>
        <v>0</v>
      </c>
      <c r="AP6" s="442"/>
      <c r="AQ6" s="442"/>
      <c r="AR6" s="442"/>
      <c r="AS6" s="442">
        <f>SUM(AS7:AV7)</f>
        <v>0</v>
      </c>
      <c r="AT6" s="442"/>
      <c r="AU6" s="442"/>
      <c r="AV6" s="442"/>
      <c r="AW6" s="442">
        <f>SUM(AW7:AY7)</f>
        <v>0</v>
      </c>
      <c r="AX6" s="442"/>
      <c r="AY6" s="442"/>
      <c r="AZ6" s="442">
        <f>SUM(AZ7:BA7)</f>
        <v>0</v>
      </c>
      <c r="BA6" s="442"/>
      <c r="BB6" s="442">
        <f>SUM(BB7:BC7)</f>
        <v>0</v>
      </c>
      <c r="BC6" s="442"/>
      <c r="BD6" s="442">
        <f>SUM(BD7:BF7)</f>
        <v>0</v>
      </c>
      <c r="BE6" s="442"/>
      <c r="BF6" s="442"/>
      <c r="BG6" s="442">
        <f>SUM(BG7:BH7)</f>
        <v>0</v>
      </c>
      <c r="BH6" s="442"/>
      <c r="BI6" s="442">
        <f>SUM(BI7:BJ7)</f>
        <v>0</v>
      </c>
      <c r="BJ6" s="442"/>
      <c r="BK6" s="442">
        <f>SUM(BK7:BL7)</f>
        <v>0</v>
      </c>
      <c r="BL6" s="442"/>
      <c r="BM6" s="442">
        <f>SUM(BM7:BN7)</f>
        <v>0</v>
      </c>
      <c r="BN6" s="442"/>
      <c r="BO6" s="442">
        <f>SUM(BO7:BP7)</f>
        <v>0</v>
      </c>
      <c r="BP6" s="442"/>
      <c r="BQ6" s="442">
        <f>BQ7</f>
        <v>0</v>
      </c>
      <c r="BR6" s="442"/>
      <c r="BS6" s="42"/>
    </row>
    <row r="7" spans="1:71" ht="35.1" customHeight="1" x14ac:dyDescent="0.25">
      <c r="A7" s="468"/>
      <c r="B7" s="469"/>
      <c r="C7" s="469"/>
      <c r="D7" s="469"/>
      <c r="E7" s="470"/>
      <c r="F7" s="43">
        <f>IF((F5-F8-F9)&lt;0,0,F5-F8-F9)</f>
        <v>0</v>
      </c>
      <c r="G7" s="43">
        <f t="shared" ref="G7:BR7" si="0">IF((G5-G8-G9)&lt;0,0,G5-G8-G9)</f>
        <v>0</v>
      </c>
      <c r="H7" s="43">
        <f t="shared" si="0"/>
        <v>0</v>
      </c>
      <c r="I7" s="43">
        <f t="shared" si="0"/>
        <v>0</v>
      </c>
      <c r="J7" s="43">
        <f t="shared" si="0"/>
        <v>0</v>
      </c>
      <c r="K7" s="43">
        <f t="shared" si="0"/>
        <v>0</v>
      </c>
      <c r="L7" s="43">
        <f t="shared" si="0"/>
        <v>0</v>
      </c>
      <c r="M7" s="43">
        <f t="shared" si="0"/>
        <v>0</v>
      </c>
      <c r="N7" s="43">
        <f t="shared" si="0"/>
        <v>0</v>
      </c>
      <c r="O7" s="43">
        <f t="shared" si="0"/>
        <v>0</v>
      </c>
      <c r="P7" s="43">
        <f t="shared" si="0"/>
        <v>0</v>
      </c>
      <c r="Q7" s="43">
        <f t="shared" si="0"/>
        <v>0</v>
      </c>
      <c r="R7" s="43">
        <f t="shared" si="0"/>
        <v>0</v>
      </c>
      <c r="S7" s="43">
        <f t="shared" si="0"/>
        <v>0</v>
      </c>
      <c r="T7" s="43">
        <f t="shared" si="0"/>
        <v>0</v>
      </c>
      <c r="U7" s="43">
        <f t="shared" si="0"/>
        <v>0</v>
      </c>
      <c r="V7" s="43">
        <f t="shared" si="0"/>
        <v>0</v>
      </c>
      <c r="W7" s="43">
        <f t="shared" si="0"/>
        <v>0</v>
      </c>
      <c r="X7" s="43">
        <f t="shared" si="0"/>
        <v>0</v>
      </c>
      <c r="Y7" s="43">
        <f t="shared" si="0"/>
        <v>0</v>
      </c>
      <c r="Z7" s="43">
        <f t="shared" si="0"/>
        <v>0</v>
      </c>
      <c r="AA7" s="43">
        <f t="shared" si="0"/>
        <v>0</v>
      </c>
      <c r="AB7" s="43">
        <f t="shared" si="0"/>
        <v>0</v>
      </c>
      <c r="AC7" s="43">
        <f t="shared" si="0"/>
        <v>0</v>
      </c>
      <c r="AD7" s="43">
        <f t="shared" si="0"/>
        <v>0</v>
      </c>
      <c r="AE7" s="43">
        <f t="shared" si="0"/>
        <v>0</v>
      </c>
      <c r="AF7" s="43">
        <f t="shared" si="0"/>
        <v>0</v>
      </c>
      <c r="AG7" s="43">
        <f t="shared" si="0"/>
        <v>0</v>
      </c>
      <c r="AH7" s="43">
        <f t="shared" si="0"/>
        <v>0</v>
      </c>
      <c r="AI7" s="43">
        <f t="shared" si="0"/>
        <v>0</v>
      </c>
      <c r="AJ7" s="43">
        <f t="shared" si="0"/>
        <v>0</v>
      </c>
      <c r="AK7" s="43">
        <f t="shared" si="0"/>
        <v>0</v>
      </c>
      <c r="AL7" s="43">
        <f t="shared" si="0"/>
        <v>0</v>
      </c>
      <c r="AM7" s="43">
        <f t="shared" si="0"/>
        <v>0</v>
      </c>
      <c r="AN7" s="43">
        <f t="shared" si="0"/>
        <v>0</v>
      </c>
      <c r="AO7" s="43">
        <f t="shared" si="0"/>
        <v>0</v>
      </c>
      <c r="AP7" s="43">
        <f t="shared" si="0"/>
        <v>0</v>
      </c>
      <c r="AQ7" s="43">
        <f t="shared" si="0"/>
        <v>0</v>
      </c>
      <c r="AR7" s="43">
        <f t="shared" si="0"/>
        <v>0</v>
      </c>
      <c r="AS7" s="43">
        <f t="shared" si="0"/>
        <v>0</v>
      </c>
      <c r="AT7" s="43">
        <f t="shared" si="0"/>
        <v>0</v>
      </c>
      <c r="AU7" s="43">
        <f t="shared" si="0"/>
        <v>0</v>
      </c>
      <c r="AV7" s="43">
        <f t="shared" si="0"/>
        <v>0</v>
      </c>
      <c r="AW7" s="43">
        <f t="shared" si="0"/>
        <v>0</v>
      </c>
      <c r="AX7" s="43">
        <f t="shared" si="0"/>
        <v>0</v>
      </c>
      <c r="AY7" s="43">
        <f t="shared" si="0"/>
        <v>0</v>
      </c>
      <c r="AZ7" s="43">
        <f t="shared" si="0"/>
        <v>0</v>
      </c>
      <c r="BA7" s="43">
        <f t="shared" si="0"/>
        <v>0</v>
      </c>
      <c r="BB7" s="43">
        <f t="shared" si="0"/>
        <v>0</v>
      </c>
      <c r="BC7" s="43">
        <f t="shared" si="0"/>
        <v>0</v>
      </c>
      <c r="BD7" s="43">
        <f t="shared" si="0"/>
        <v>0</v>
      </c>
      <c r="BE7" s="43">
        <f t="shared" si="0"/>
        <v>0</v>
      </c>
      <c r="BF7" s="43">
        <f t="shared" si="0"/>
        <v>0</v>
      </c>
      <c r="BG7" s="43">
        <f t="shared" si="0"/>
        <v>0</v>
      </c>
      <c r="BH7" s="43">
        <f t="shared" si="0"/>
        <v>0</v>
      </c>
      <c r="BI7" s="43">
        <f t="shared" si="0"/>
        <v>0</v>
      </c>
      <c r="BJ7" s="43">
        <f t="shared" si="0"/>
        <v>0</v>
      </c>
      <c r="BK7" s="43">
        <f t="shared" si="0"/>
        <v>0</v>
      </c>
      <c r="BL7" s="43">
        <f t="shared" si="0"/>
        <v>0</v>
      </c>
      <c r="BM7" s="43">
        <f t="shared" si="0"/>
        <v>0</v>
      </c>
      <c r="BN7" s="43">
        <f t="shared" si="0"/>
        <v>0</v>
      </c>
      <c r="BO7" s="43">
        <f t="shared" si="0"/>
        <v>0</v>
      </c>
      <c r="BP7" s="43">
        <f t="shared" si="0"/>
        <v>0</v>
      </c>
      <c r="BQ7" s="43">
        <f t="shared" si="0"/>
        <v>0</v>
      </c>
      <c r="BR7" s="43">
        <f t="shared" si="0"/>
        <v>0</v>
      </c>
      <c r="BS7" s="42"/>
    </row>
    <row r="8" spans="1:71" ht="39.950000000000003" customHeight="1" x14ac:dyDescent="0.25">
      <c r="A8" s="456" t="s">
        <v>300</v>
      </c>
      <c r="B8" s="457"/>
      <c r="C8" s="457"/>
      <c r="D8" s="457"/>
      <c r="E8" s="458"/>
      <c r="F8" s="45">
        <f>Fasce_Tot!K$4</f>
        <v>0</v>
      </c>
      <c r="G8" s="45">
        <f>Fasce_Tot!K$5</f>
        <v>0</v>
      </c>
      <c r="H8" s="45">
        <f>Fasce_Tot!K$6</f>
        <v>0</v>
      </c>
      <c r="I8" s="45">
        <f>Fasce_Tot!K$7</f>
        <v>0</v>
      </c>
      <c r="J8" s="45">
        <f>Fasce_Tot!K$8</f>
        <v>0</v>
      </c>
      <c r="K8" s="45">
        <f>Fasce_Tot!K$9</f>
        <v>0</v>
      </c>
      <c r="L8" s="45">
        <f>Fasce_Tot!K$10</f>
        <v>0</v>
      </c>
      <c r="M8" s="45">
        <f>Fasce_Tot!K$11</f>
        <v>0</v>
      </c>
      <c r="N8" s="45">
        <f>Fasce_Tot!K$12</f>
        <v>0</v>
      </c>
      <c r="O8" s="45">
        <f>Fasce_Tot!K$13</f>
        <v>0</v>
      </c>
      <c r="P8" s="45">
        <f>Fasce_Tot!K$14</f>
        <v>0</v>
      </c>
      <c r="Q8" s="45">
        <f>Fasce_Tot!K$15</f>
        <v>0</v>
      </c>
      <c r="R8" s="45">
        <f>Fasce_Tot!K$16</f>
        <v>0</v>
      </c>
      <c r="S8" s="45">
        <f>Fasce_Tot!K$17</f>
        <v>0</v>
      </c>
      <c r="T8" s="45">
        <f>Fasce_Tot!K$18</f>
        <v>0</v>
      </c>
      <c r="U8" s="45">
        <f>Fasce_Tot!K$19</f>
        <v>0</v>
      </c>
      <c r="V8" s="45">
        <f>Fasce_Tot!K$20</f>
        <v>0</v>
      </c>
      <c r="W8" s="45">
        <f>Fasce_Tot!K$21</f>
        <v>0</v>
      </c>
      <c r="X8" s="45">
        <f>Fasce_Tot!K$22</f>
        <v>0</v>
      </c>
      <c r="Y8" s="45">
        <f>Fasce_Tot!K$23</f>
        <v>0</v>
      </c>
      <c r="Z8" s="45">
        <f>Fasce_Tot!K$24</f>
        <v>0</v>
      </c>
      <c r="AA8" s="45">
        <f>Fasce_Tot!K$25</f>
        <v>0</v>
      </c>
      <c r="AB8" s="45">
        <f>Fasce_Tot!K$26</f>
        <v>0</v>
      </c>
      <c r="AC8" s="45">
        <f>Fasce_Tot!K$27</f>
        <v>0</v>
      </c>
      <c r="AD8" s="45">
        <f>Fasce_Tot!K$28</f>
        <v>0</v>
      </c>
      <c r="AE8" s="45">
        <f>Fasce_Tot!K$29</f>
        <v>0</v>
      </c>
      <c r="AF8" s="45">
        <f>Fasce_Tot!K$30</f>
        <v>0</v>
      </c>
      <c r="AG8" s="45">
        <f>Fasce_Tot!K$31</f>
        <v>0</v>
      </c>
      <c r="AH8" s="45">
        <f>Fasce_Tot!K$32</f>
        <v>0</v>
      </c>
      <c r="AI8" s="45">
        <f>Fasce_Tot!K$33</f>
        <v>0</v>
      </c>
      <c r="AJ8" s="45">
        <f>Fasce_Tot!K$34</f>
        <v>0</v>
      </c>
      <c r="AK8" s="45">
        <f>Fasce_Tot!K$35</f>
        <v>0</v>
      </c>
      <c r="AL8" s="45">
        <f>Fasce_Tot!K$36</f>
        <v>0</v>
      </c>
      <c r="AM8" s="45">
        <f>Fasce_Tot!K$37</f>
        <v>0</v>
      </c>
      <c r="AN8" s="45">
        <f>Fasce_Tot!K$38</f>
        <v>0</v>
      </c>
      <c r="AO8" s="45">
        <f>Fasce_Tot!K$39</f>
        <v>0</v>
      </c>
      <c r="AP8" s="45">
        <f>Fasce_Tot!K$40</f>
        <v>0</v>
      </c>
      <c r="AQ8" s="45">
        <f>Fasce_Tot!K$41</f>
        <v>0</v>
      </c>
      <c r="AR8" s="45">
        <f>Fasce_Tot!K$42</f>
        <v>0</v>
      </c>
      <c r="AS8" s="45">
        <f>Fasce_Tot!K$43</f>
        <v>0</v>
      </c>
      <c r="AT8" s="45">
        <f>Fasce_Tot!K$44</f>
        <v>0</v>
      </c>
      <c r="AU8" s="45">
        <f>Fasce_Tot!K$45</f>
        <v>0</v>
      </c>
      <c r="AV8" s="45">
        <f>Fasce_Tot!K$46</f>
        <v>0</v>
      </c>
      <c r="AW8" s="45">
        <f>Fasce_Tot!K$47</f>
        <v>0</v>
      </c>
      <c r="AX8" s="45">
        <f>Fasce_Tot!K$48</f>
        <v>0</v>
      </c>
      <c r="AY8" s="45">
        <f>Fasce_Tot!K$49</f>
        <v>0</v>
      </c>
      <c r="AZ8" s="45">
        <f>Fasce_Tot!K$50</f>
        <v>0</v>
      </c>
      <c r="BA8" s="45">
        <f>Fasce_Tot!K$51</f>
        <v>0</v>
      </c>
      <c r="BB8" s="45">
        <f>Fasce_Tot!K$52</f>
        <v>0</v>
      </c>
      <c r="BC8" s="45">
        <f>Fasce_Tot!K$53</f>
        <v>0</v>
      </c>
      <c r="BD8" s="45">
        <f>Fasce_Tot!K$54</f>
        <v>0</v>
      </c>
      <c r="BE8" s="45">
        <f>Fasce_Tot!K$55</f>
        <v>0</v>
      </c>
      <c r="BF8" s="45">
        <f>Fasce_Tot!K$56</f>
        <v>0</v>
      </c>
      <c r="BG8" s="45">
        <f>Fasce_Tot!K$57</f>
        <v>0</v>
      </c>
      <c r="BH8" s="45">
        <f>Fasce_Tot!K$58</f>
        <v>0</v>
      </c>
      <c r="BI8" s="45">
        <f>Fasce_Tot!K$59</f>
        <v>0</v>
      </c>
      <c r="BJ8" s="45">
        <f>Fasce_Tot!K$60</f>
        <v>0</v>
      </c>
      <c r="BK8" s="45">
        <f>Fasce_Tot!K$61</f>
        <v>0</v>
      </c>
      <c r="BL8" s="45">
        <f>Fasce_Tot!K$62</f>
        <v>0</v>
      </c>
      <c r="BM8" s="45">
        <f>Fasce_Tot!K$63</f>
        <v>0</v>
      </c>
      <c r="BN8" s="45">
        <f>Fasce_Tot!K$64</f>
        <v>0</v>
      </c>
      <c r="BO8" s="45">
        <f>Fasce_Tot!K$65</f>
        <v>0</v>
      </c>
      <c r="BP8" s="45">
        <f>Fasce_Tot!K$66</f>
        <v>0</v>
      </c>
      <c r="BQ8" s="45">
        <f>SUM(Fasce_Tot!Q5:'Fasce_Tot'!Q6)</f>
        <v>0</v>
      </c>
      <c r="BR8" s="45">
        <f>SUM(Fasce_Tot!Q7:'Fasce_Tot'!Q8)</f>
        <v>0</v>
      </c>
      <c r="BS8" s="42"/>
    </row>
    <row r="9" spans="1:71" ht="39.950000000000003" customHeight="1" x14ac:dyDescent="0.25">
      <c r="A9" s="477" t="s">
        <v>301</v>
      </c>
      <c r="B9" s="478"/>
      <c r="C9" s="478"/>
      <c r="D9" s="478"/>
      <c r="E9" s="479"/>
      <c r="F9" s="43">
        <f>Fasce_Tot!L$4</f>
        <v>0</v>
      </c>
      <c r="G9" s="43">
        <f>Fasce_Tot!L$5</f>
        <v>0</v>
      </c>
      <c r="H9" s="43">
        <f>Fasce_Tot!L$6</f>
        <v>0</v>
      </c>
      <c r="I9" s="43">
        <f>Fasce_Tot!L$7</f>
        <v>0</v>
      </c>
      <c r="J9" s="43">
        <f>Fasce_Tot!L$8</f>
        <v>0</v>
      </c>
      <c r="K9" s="43">
        <f>Fasce_Tot!L$9</f>
        <v>0</v>
      </c>
      <c r="L9" s="43">
        <f>Fasce_Tot!L$10</f>
        <v>0</v>
      </c>
      <c r="M9" s="43">
        <f>Fasce_Tot!L$11</f>
        <v>0</v>
      </c>
      <c r="N9" s="43">
        <f>Fasce_Tot!L$12</f>
        <v>0</v>
      </c>
      <c r="O9" s="43">
        <f>Fasce_Tot!L$13</f>
        <v>0</v>
      </c>
      <c r="P9" s="43">
        <f>Fasce_Tot!L$14</f>
        <v>0</v>
      </c>
      <c r="Q9" s="43">
        <f>Fasce_Tot!L$15</f>
        <v>0</v>
      </c>
      <c r="R9" s="43">
        <f>Fasce_Tot!L$16</f>
        <v>0</v>
      </c>
      <c r="S9" s="43">
        <f>Fasce_Tot!L$17</f>
        <v>0</v>
      </c>
      <c r="T9" s="43">
        <f>Fasce_Tot!L$18</f>
        <v>0</v>
      </c>
      <c r="U9" s="43">
        <f>Fasce_Tot!L$19</f>
        <v>0</v>
      </c>
      <c r="V9" s="43">
        <f>Fasce_Tot!L$20</f>
        <v>0</v>
      </c>
      <c r="W9" s="43">
        <f>Fasce_Tot!L$21</f>
        <v>0</v>
      </c>
      <c r="X9" s="43">
        <f>Fasce_Tot!L$22</f>
        <v>0</v>
      </c>
      <c r="Y9" s="43">
        <f>Fasce_Tot!L$23</f>
        <v>0</v>
      </c>
      <c r="Z9" s="43">
        <f>Fasce_Tot!L$24</f>
        <v>0</v>
      </c>
      <c r="AA9" s="43">
        <f>Fasce_Tot!L$25</f>
        <v>0</v>
      </c>
      <c r="AB9" s="43">
        <f>Fasce_Tot!L$26</f>
        <v>0</v>
      </c>
      <c r="AC9" s="43">
        <f>Fasce_Tot!L$27</f>
        <v>0</v>
      </c>
      <c r="AD9" s="43">
        <f>Fasce_Tot!L$28</f>
        <v>0</v>
      </c>
      <c r="AE9" s="43">
        <f>Fasce_Tot!L$29</f>
        <v>0</v>
      </c>
      <c r="AF9" s="43">
        <f>Fasce_Tot!L$30</f>
        <v>0</v>
      </c>
      <c r="AG9" s="43">
        <f>Fasce_Tot!L$31</f>
        <v>0</v>
      </c>
      <c r="AH9" s="43">
        <f>Fasce_Tot!L$32</f>
        <v>0</v>
      </c>
      <c r="AI9" s="43">
        <f>Fasce_Tot!L$33</f>
        <v>0</v>
      </c>
      <c r="AJ9" s="43">
        <f>Fasce_Tot!L$34</f>
        <v>0</v>
      </c>
      <c r="AK9" s="43">
        <f>Fasce_Tot!L$35</f>
        <v>0</v>
      </c>
      <c r="AL9" s="43">
        <f>Fasce_Tot!L$36</f>
        <v>0</v>
      </c>
      <c r="AM9" s="43">
        <f>Fasce_Tot!L$37</f>
        <v>0</v>
      </c>
      <c r="AN9" s="43">
        <f>Fasce_Tot!L$38</f>
        <v>0</v>
      </c>
      <c r="AO9" s="43">
        <f>Fasce_Tot!L$39</f>
        <v>0</v>
      </c>
      <c r="AP9" s="43">
        <f>Fasce_Tot!L$40</f>
        <v>0</v>
      </c>
      <c r="AQ9" s="43">
        <f>Fasce_Tot!L$41</f>
        <v>0</v>
      </c>
      <c r="AR9" s="43">
        <f>Fasce_Tot!L$42</f>
        <v>0</v>
      </c>
      <c r="AS9" s="43">
        <f>Fasce_Tot!L$43</f>
        <v>0</v>
      </c>
      <c r="AT9" s="43">
        <f>Fasce_Tot!L$44</f>
        <v>0</v>
      </c>
      <c r="AU9" s="43">
        <f>Fasce_Tot!L$45</f>
        <v>0</v>
      </c>
      <c r="AV9" s="43">
        <f>Fasce_Tot!L$46</f>
        <v>0</v>
      </c>
      <c r="AW9" s="43">
        <f>Fasce_Tot!L$47</f>
        <v>0</v>
      </c>
      <c r="AX9" s="43">
        <f>Fasce_Tot!L$48</f>
        <v>0</v>
      </c>
      <c r="AY9" s="43">
        <f>Fasce_Tot!L$49</f>
        <v>0</v>
      </c>
      <c r="AZ9" s="43">
        <f>Fasce_Tot!L$50</f>
        <v>0</v>
      </c>
      <c r="BA9" s="43">
        <f>Fasce_Tot!L$51</f>
        <v>0</v>
      </c>
      <c r="BB9" s="43">
        <f>Fasce_Tot!L$52</f>
        <v>0</v>
      </c>
      <c r="BC9" s="43">
        <f>Fasce_Tot!L$53</f>
        <v>0</v>
      </c>
      <c r="BD9" s="43">
        <f>Fasce_Tot!L$54</f>
        <v>0</v>
      </c>
      <c r="BE9" s="43">
        <f>Fasce_Tot!L$55</f>
        <v>0</v>
      </c>
      <c r="BF9" s="43">
        <f>Fasce_Tot!L$56</f>
        <v>0</v>
      </c>
      <c r="BG9" s="43">
        <f>Fasce_Tot!F$57</f>
        <v>0</v>
      </c>
      <c r="BH9" s="43">
        <f>Fasce_Tot!L$58</f>
        <v>0</v>
      </c>
      <c r="BI9" s="43">
        <f>Fasce_Tot!L$59</f>
        <v>0</v>
      </c>
      <c r="BJ9" s="43">
        <f>Fasce_Tot!L$60</f>
        <v>0</v>
      </c>
      <c r="BK9" s="43">
        <f>Fasce_Tot!L$61</f>
        <v>0</v>
      </c>
      <c r="BL9" s="43">
        <f>Fasce_Tot!L$62</f>
        <v>0</v>
      </c>
      <c r="BM9" s="43">
        <f>Fasce_Tot!L$63</f>
        <v>0</v>
      </c>
      <c r="BN9" s="43">
        <f>Fasce_Tot!L$64</f>
        <v>0</v>
      </c>
      <c r="BO9" s="43">
        <f>Fasce_Tot!L$65</f>
        <v>0</v>
      </c>
      <c r="BP9" s="43">
        <f>Fasce_Tot!L$66</f>
        <v>0</v>
      </c>
      <c r="BQ9" s="43">
        <f>SUM(Fasce_Tot!R5:'Fasce_Tot'!R6)</f>
        <v>0</v>
      </c>
      <c r="BR9" s="43">
        <f>SUM(Fasce_Tot!R7:'Fasce_Tot'!R8)</f>
        <v>0</v>
      </c>
      <c r="BS9" s="42"/>
    </row>
    <row r="10" spans="1:71" ht="45" customHeight="1" x14ac:dyDescent="0.25">
      <c r="A10" s="447" t="s">
        <v>302</v>
      </c>
      <c r="B10" s="448"/>
      <c r="C10" s="448"/>
      <c r="D10" s="448"/>
      <c r="E10" s="449"/>
      <c r="F10" s="44" t="e">
        <f>F11</f>
        <v>#REF!</v>
      </c>
      <c r="G10" s="443" t="e">
        <f>SUM(G11:J11)</f>
        <v>#REF!</v>
      </c>
      <c r="H10" s="444"/>
      <c r="I10" s="444"/>
      <c r="J10" s="445"/>
      <c r="K10" s="446" t="e">
        <f>SUM(K11:L11)</f>
        <v>#REF!</v>
      </c>
      <c r="L10" s="446"/>
      <c r="M10" s="446" t="e">
        <f>SUM(M11:N11)</f>
        <v>#REF!</v>
      </c>
      <c r="N10" s="446"/>
      <c r="O10" s="446" t="e">
        <f>SUM(O11:P11)</f>
        <v>#REF!</v>
      </c>
      <c r="P10" s="446"/>
      <c r="Q10" s="446" t="e">
        <f>SUM(Q11:R11)</f>
        <v>#REF!</v>
      </c>
      <c r="R10" s="446"/>
      <c r="S10" s="446" t="e">
        <f>SUM(S11:U11)</f>
        <v>#REF!</v>
      </c>
      <c r="T10" s="446"/>
      <c r="U10" s="446"/>
      <c r="V10" s="446" t="e">
        <f>SUM(V11:Y11)</f>
        <v>#REF!</v>
      </c>
      <c r="W10" s="446"/>
      <c r="X10" s="446"/>
      <c r="Y10" s="446"/>
      <c r="Z10" s="446" t="e">
        <f>SUM(Z11:AC11)</f>
        <v>#REF!</v>
      </c>
      <c r="AA10" s="446"/>
      <c r="AB10" s="446"/>
      <c r="AC10" s="446"/>
      <c r="AD10" s="446" t="e">
        <f>SUM(AD11:AE11)</f>
        <v>#REF!</v>
      </c>
      <c r="AE10" s="446"/>
      <c r="AF10" s="446" t="e">
        <f>SUM(AF11:AG11)</f>
        <v>#REF!</v>
      </c>
      <c r="AG10" s="446"/>
      <c r="AH10" s="446" t="e">
        <f>SUM(AH11:AI11)</f>
        <v>#REF!</v>
      </c>
      <c r="AI10" s="446"/>
      <c r="AJ10" s="446" t="e">
        <f>SUM(AJ11:AK11)</f>
        <v>#REF!</v>
      </c>
      <c r="AK10" s="446"/>
      <c r="AL10" s="446" t="e">
        <f>SUM(AL11:AN11)</f>
        <v>#REF!</v>
      </c>
      <c r="AM10" s="446"/>
      <c r="AN10" s="446"/>
      <c r="AO10" s="446" t="e">
        <f>SUM(AO11:AR11)</f>
        <v>#REF!</v>
      </c>
      <c r="AP10" s="446"/>
      <c r="AQ10" s="446"/>
      <c r="AR10" s="446"/>
      <c r="AS10" s="446" t="e">
        <f>SUM(AS11:AV11)</f>
        <v>#REF!</v>
      </c>
      <c r="AT10" s="446"/>
      <c r="AU10" s="446"/>
      <c r="AV10" s="446"/>
      <c r="AW10" s="446" t="e">
        <f>SUM(AW11:AY11)</f>
        <v>#REF!</v>
      </c>
      <c r="AX10" s="446"/>
      <c r="AY10" s="446"/>
      <c r="AZ10" s="446" t="e">
        <f>SUM(AZ11:BA11)</f>
        <v>#REF!</v>
      </c>
      <c r="BA10" s="446"/>
      <c r="BB10" s="446" t="e">
        <f>SUM(BB11:BC11)</f>
        <v>#REF!</v>
      </c>
      <c r="BC10" s="446"/>
      <c r="BD10" s="446" t="e">
        <f>SUM(BD11:BF11)</f>
        <v>#REF!</v>
      </c>
      <c r="BE10" s="446"/>
      <c r="BF10" s="446"/>
      <c r="BG10" s="446" t="e">
        <f>SUM(BG11:BH11)</f>
        <v>#REF!</v>
      </c>
      <c r="BH10" s="446"/>
      <c r="BI10" s="446" t="e">
        <f>SUM(BI11:BJ11)</f>
        <v>#REF!</v>
      </c>
      <c r="BJ10" s="446"/>
      <c r="BK10" s="446" t="e">
        <f>SUM(BK11:BL11)</f>
        <v>#REF!</v>
      </c>
      <c r="BL10" s="446"/>
      <c r="BM10" s="446" t="e">
        <f>SUM(BM11:BN11)</f>
        <v>#REF!</v>
      </c>
      <c r="BN10" s="446"/>
      <c r="BO10" s="446" t="e">
        <f>SUM(BO11:BP11)</f>
        <v>#REF!</v>
      </c>
      <c r="BP10" s="446"/>
      <c r="BQ10" s="446" t="e">
        <f>BQ11</f>
        <v>#REF!</v>
      </c>
      <c r="BR10" s="446"/>
      <c r="BS10" s="42"/>
    </row>
    <row r="11" spans="1:71" ht="35.1" customHeight="1" x14ac:dyDescent="0.25">
      <c r="A11" s="450"/>
      <c r="B11" s="451"/>
      <c r="C11" s="451"/>
      <c r="D11" s="451"/>
      <c r="E11" s="45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53" t="s">
        <v>36</v>
      </c>
      <c r="B12" s="454"/>
      <c r="C12" s="454"/>
      <c r="D12" s="454"/>
      <c r="E12" s="45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18" t="e">
        <f>V$4*Percentuali!$M$10</f>
        <v>#REF!</v>
      </c>
      <c r="W12" s="419"/>
      <c r="X12" s="419"/>
      <c r="Y12" s="420"/>
      <c r="Z12" s="418" t="e">
        <f>Z$4*Percentuali!$M$11</f>
        <v>#REF!</v>
      </c>
      <c r="AA12" s="419"/>
      <c r="AB12" s="419"/>
      <c r="AC12" s="420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18" t="e">
        <f>AO$4*Percentuali!$M$17</f>
        <v>#REF!</v>
      </c>
      <c r="AP12" s="419"/>
      <c r="AQ12" s="419"/>
      <c r="AR12" s="420"/>
      <c r="AS12" s="418" t="e">
        <f>AS$4*Percentuali!$M$18</f>
        <v>#REF!</v>
      </c>
      <c r="AT12" s="419"/>
      <c r="AU12" s="419"/>
      <c r="AV12" s="420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56" t="s">
        <v>183</v>
      </c>
      <c r="B13" s="457"/>
      <c r="C13" s="457"/>
      <c r="D13" s="457"/>
      <c r="E13" s="458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15" t="e">
        <f>V$4*Percentuali!$N$10</f>
        <v>#REF!</v>
      </c>
      <c r="W13" s="416"/>
      <c r="X13" s="416"/>
      <c r="Y13" s="417"/>
      <c r="Z13" s="415" t="e">
        <f>Z$4*Percentuali!$N$11</f>
        <v>#REF!</v>
      </c>
      <c r="AA13" s="416"/>
      <c r="AB13" s="416"/>
      <c r="AC13" s="417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15" t="e">
        <f>AO$4*Percentuali!$N$17</f>
        <v>#REF!</v>
      </c>
      <c r="AP13" s="416"/>
      <c r="AQ13" s="416"/>
      <c r="AR13" s="417"/>
      <c r="AS13" s="415" t="e">
        <f>AS$4*Percentuali!$N$18</f>
        <v>#REF!</v>
      </c>
      <c r="AT13" s="416"/>
      <c r="AU13" s="416"/>
      <c r="AV13" s="417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53" t="s">
        <v>304</v>
      </c>
      <c r="B14" s="454"/>
      <c r="C14" s="454"/>
      <c r="D14" s="454"/>
      <c r="E14" s="45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53" t="s">
        <v>303</v>
      </c>
      <c r="B15" s="454"/>
      <c r="C15" s="454"/>
      <c r="D15" s="454"/>
      <c r="E15" s="45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51"/>
      <c r="B16" s="52"/>
      <c r="C16" s="52"/>
      <c r="D16" s="53"/>
      <c r="E16" s="440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130"/>
    </row>
    <row r="17" spans="1:71" ht="24.95" customHeight="1" x14ac:dyDescent="0.55000000000000004">
      <c r="A17" s="60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85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130"/>
    </row>
    <row r="18" spans="1:71" ht="32.1" customHeight="1" x14ac:dyDescent="0.55000000000000004">
      <c r="A18" s="51"/>
      <c r="B18" s="52"/>
      <c r="C18" s="66"/>
      <c r="D18" s="66"/>
      <c r="E18" s="485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130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85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130"/>
    </row>
    <row r="20" spans="1:71" ht="32.1" customHeight="1" x14ac:dyDescent="0.55000000000000004">
      <c r="A20" s="51"/>
      <c r="B20" s="52"/>
      <c r="C20" s="66"/>
      <c r="D20" s="66"/>
      <c r="E20" s="485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130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85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130"/>
    </row>
    <row r="22" spans="1:71" ht="32.1" customHeight="1" thickBot="1" x14ac:dyDescent="0.6">
      <c r="A22" s="68"/>
      <c r="B22" s="69"/>
      <c r="C22" s="70"/>
      <c r="D22" s="70"/>
      <c r="E22" s="486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130"/>
    </row>
    <row r="23" spans="1:71" ht="32.1" customHeight="1" x14ac:dyDescent="0.55000000000000004">
      <c r="A23" s="71"/>
      <c r="B23" s="72"/>
      <c r="C23" s="73"/>
      <c r="D23" s="73"/>
      <c r="E23" s="487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130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85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130"/>
    </row>
    <row r="25" spans="1:71" ht="32.1" customHeight="1" x14ac:dyDescent="0.55000000000000004">
      <c r="A25" s="51"/>
      <c r="B25" s="52"/>
      <c r="C25" s="66"/>
      <c r="D25" s="66"/>
      <c r="E25" s="485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130"/>
    </row>
    <row r="26" spans="1:71" ht="24.95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85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130"/>
    </row>
    <row r="27" spans="1:71" ht="32.1" customHeight="1" x14ac:dyDescent="0.55000000000000004">
      <c r="A27" s="51"/>
      <c r="B27" s="52"/>
      <c r="C27" s="66"/>
      <c r="D27" s="66"/>
      <c r="E27" s="485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130"/>
    </row>
    <row r="28" spans="1:71" ht="24.95" customHeight="1" x14ac:dyDescent="0.55000000000000004">
      <c r="A28" s="268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85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130"/>
    </row>
    <row r="29" spans="1:71" ht="32.1" customHeight="1" x14ac:dyDescent="0.55000000000000004">
      <c r="A29" s="51"/>
      <c r="B29" s="52"/>
      <c r="C29" s="66"/>
      <c r="D29" s="66"/>
      <c r="E29" s="485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130"/>
    </row>
    <row r="30" spans="1:71" ht="24.95" customHeight="1" x14ac:dyDescent="0.55000000000000004">
      <c r="A30" s="268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85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130"/>
    </row>
    <row r="31" spans="1:71" ht="32.1" customHeight="1" thickBot="1" x14ac:dyDescent="0.6">
      <c r="A31" s="98"/>
      <c r="B31" s="99"/>
      <c r="C31" s="100"/>
      <c r="D31" s="100"/>
      <c r="E31" s="486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30"/>
    </row>
    <row r="32" spans="1:71" ht="32.1" customHeight="1" x14ac:dyDescent="0.55000000000000004">
      <c r="A32" s="103"/>
      <c r="B32" s="104"/>
      <c r="C32" s="105"/>
      <c r="D32" s="105"/>
      <c r="E32" s="487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130"/>
    </row>
    <row r="33" spans="1:71" ht="24.95" customHeight="1" x14ac:dyDescent="0.55000000000000004">
      <c r="A33" s="268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85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130"/>
    </row>
    <row r="34" spans="1:71" ht="32.1" customHeight="1" x14ac:dyDescent="0.55000000000000004">
      <c r="A34" s="51"/>
      <c r="B34" s="52"/>
      <c r="C34" s="66"/>
      <c r="D34" s="66"/>
      <c r="E34" s="485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130"/>
    </row>
    <row r="35" spans="1:71" ht="24.95" customHeight="1" x14ac:dyDescent="0.55000000000000004">
      <c r="A35" s="268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85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130"/>
    </row>
    <row r="36" spans="1:71" ht="32.1" customHeight="1" x14ac:dyDescent="0.55000000000000004">
      <c r="A36" s="51"/>
      <c r="B36" s="52"/>
      <c r="C36" s="66"/>
      <c r="D36" s="66"/>
      <c r="E36" s="485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130"/>
    </row>
    <row r="37" spans="1:71" ht="24.95" customHeight="1" x14ac:dyDescent="0.55000000000000004">
      <c r="A37" s="268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85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130"/>
    </row>
    <row r="38" spans="1:71" ht="32.1" customHeight="1" x14ac:dyDescent="0.55000000000000004">
      <c r="A38" s="51"/>
      <c r="B38" s="52"/>
      <c r="C38" s="66"/>
      <c r="D38" s="66"/>
      <c r="E38" s="485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130"/>
    </row>
    <row r="39" spans="1:71" ht="24.95" customHeight="1" x14ac:dyDescent="0.55000000000000004">
      <c r="A39" s="268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85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130"/>
    </row>
    <row r="40" spans="1:71" ht="32.1" customHeight="1" x14ac:dyDescent="0.55000000000000004">
      <c r="A40" s="51"/>
      <c r="B40" s="52"/>
      <c r="C40" s="66"/>
      <c r="D40" s="66"/>
      <c r="E40" s="485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130"/>
    </row>
    <row r="41" spans="1:71" ht="24.95" customHeight="1" x14ac:dyDescent="0.55000000000000004">
      <c r="A41" s="268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85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130"/>
    </row>
    <row r="42" spans="1:71" ht="32.1" customHeight="1" x14ac:dyDescent="0.55000000000000004">
      <c r="A42" s="51"/>
      <c r="B42" s="52"/>
      <c r="C42" s="66"/>
      <c r="E42" s="485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130"/>
    </row>
    <row r="43" spans="1:71" ht="24.95" customHeight="1" x14ac:dyDescent="0.55000000000000004">
      <c r="A43" s="268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85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130"/>
    </row>
    <row r="44" spans="1:71" ht="32.1" customHeight="1" x14ac:dyDescent="0.55000000000000004">
      <c r="A44" s="51"/>
      <c r="B44" s="52"/>
      <c r="C44" s="66"/>
      <c r="D44" s="66"/>
      <c r="E44" s="485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130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85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130"/>
    </row>
    <row r="46" spans="1:71" ht="32.1" customHeight="1" thickBot="1" x14ac:dyDescent="0.6">
      <c r="A46" s="68"/>
      <c r="B46" s="69"/>
      <c r="C46" s="70"/>
      <c r="D46" s="70"/>
      <c r="E46" s="486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130"/>
    </row>
    <row r="47" spans="1:71" ht="32.1" customHeight="1" x14ac:dyDescent="0.55000000000000004">
      <c r="A47" s="71"/>
      <c r="B47" s="72"/>
      <c r="C47" s="73"/>
      <c r="D47" s="73"/>
      <c r="E47" s="423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130"/>
    </row>
    <row r="48" spans="1:71" ht="24.95" customHeight="1" x14ac:dyDescent="0.55000000000000004">
      <c r="A48" s="268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2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130"/>
    </row>
    <row r="49" spans="1:71" ht="32.1" customHeight="1" x14ac:dyDescent="0.55000000000000004">
      <c r="A49" s="51"/>
      <c r="B49" s="52"/>
      <c r="C49" s="66"/>
      <c r="D49" s="66"/>
      <c r="E49" s="424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130"/>
    </row>
    <row r="50" spans="1:71" ht="24.95" customHeight="1" x14ac:dyDescent="0.55000000000000004">
      <c r="A50" s="60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2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130"/>
    </row>
    <row r="51" spans="1:71" ht="32.1" customHeight="1" x14ac:dyDescent="0.55000000000000004">
      <c r="A51" s="51"/>
      <c r="B51" s="52"/>
      <c r="C51" s="66"/>
      <c r="D51" s="66"/>
      <c r="E51" s="424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130"/>
    </row>
    <row r="52" spans="1:71" ht="24.95" customHeight="1" x14ac:dyDescent="0.55000000000000004">
      <c r="A52" s="60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2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130"/>
    </row>
    <row r="53" spans="1:71" ht="32.1" customHeight="1" thickBot="1" x14ac:dyDescent="0.6">
      <c r="A53" s="98"/>
      <c r="B53" s="99"/>
      <c r="C53" s="100"/>
      <c r="D53" s="100"/>
      <c r="E53" s="441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30"/>
    </row>
    <row r="54" spans="1:71" ht="32.1" customHeight="1" x14ac:dyDescent="0.55000000000000004">
      <c r="A54" s="103"/>
      <c r="B54" s="104"/>
      <c r="C54" s="105"/>
      <c r="D54" s="105"/>
      <c r="E54" s="439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130"/>
    </row>
    <row r="55" spans="1:71" ht="24.95" customHeight="1" x14ac:dyDescent="0.55000000000000004">
      <c r="A55" s="268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24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130"/>
    </row>
    <row r="56" spans="1:71" ht="32.1" customHeight="1" x14ac:dyDescent="0.55000000000000004">
      <c r="A56" s="51"/>
      <c r="B56" s="52"/>
      <c r="C56" s="66"/>
      <c r="D56" s="66"/>
      <c r="E56" s="424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130"/>
    </row>
    <row r="57" spans="1:71" ht="24.95" customHeight="1" x14ac:dyDescent="0.55000000000000004">
      <c r="A57" s="60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24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130"/>
    </row>
    <row r="58" spans="1:71" ht="32.1" customHeight="1" x14ac:dyDescent="0.55000000000000004">
      <c r="A58" s="51"/>
      <c r="B58" s="52"/>
      <c r="C58" s="66"/>
      <c r="D58" s="66"/>
      <c r="E58" s="424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130"/>
    </row>
    <row r="59" spans="1:71" ht="24.95" customHeight="1" x14ac:dyDescent="0.55000000000000004">
      <c r="A59" s="60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24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130"/>
    </row>
    <row r="60" spans="1:71" ht="32.1" customHeight="1" x14ac:dyDescent="0.55000000000000004">
      <c r="A60" s="51"/>
      <c r="B60" s="52"/>
      <c r="C60" s="66"/>
      <c r="D60" s="66"/>
      <c r="E60" s="424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130"/>
    </row>
    <row r="61" spans="1:71" ht="24.95" customHeight="1" x14ac:dyDescent="0.55000000000000004">
      <c r="A61" s="60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24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130"/>
    </row>
    <row r="62" spans="1:71" ht="32.1" customHeight="1" x14ac:dyDescent="0.55000000000000004">
      <c r="A62" s="51"/>
      <c r="B62" s="52"/>
      <c r="C62" s="66"/>
      <c r="D62" s="66"/>
      <c r="E62" s="424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130"/>
    </row>
    <row r="63" spans="1:71" ht="24.95" customHeight="1" x14ac:dyDescent="0.55000000000000004">
      <c r="A63" s="60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24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130"/>
    </row>
    <row r="64" spans="1:71" ht="32.1" customHeight="1" x14ac:dyDescent="0.55000000000000004">
      <c r="A64" s="51"/>
      <c r="B64" s="52"/>
      <c r="C64" s="66"/>
      <c r="D64" s="66"/>
      <c r="E64" s="424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130"/>
    </row>
    <row r="65" spans="1:71" ht="24.95" customHeight="1" x14ac:dyDescent="0.55000000000000004">
      <c r="A65" s="60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24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130"/>
    </row>
    <row r="66" spans="1:71" ht="32.1" customHeight="1" thickBot="1" x14ac:dyDescent="0.6">
      <c r="A66" s="68"/>
      <c r="B66" s="69"/>
      <c r="C66" s="70"/>
      <c r="D66" s="70"/>
      <c r="E66" s="440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130"/>
    </row>
    <row r="67" spans="1:71" ht="32.1" customHeight="1" x14ac:dyDescent="0.55000000000000004">
      <c r="A67" s="71"/>
      <c r="B67" s="72"/>
      <c r="C67" s="73"/>
      <c r="D67" s="73"/>
      <c r="E67" s="423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130"/>
    </row>
    <row r="68" spans="1:71" ht="24.95" customHeight="1" x14ac:dyDescent="0.55000000000000004">
      <c r="A68" s="60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2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130"/>
    </row>
    <row r="69" spans="1:71" ht="32.1" customHeight="1" x14ac:dyDescent="0.55000000000000004">
      <c r="A69" s="51"/>
      <c r="B69" s="52"/>
      <c r="C69" s="66"/>
      <c r="D69" s="66"/>
      <c r="E69" s="424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130"/>
    </row>
    <row r="70" spans="1:71" ht="24.95" customHeight="1" x14ac:dyDescent="0.55000000000000004">
      <c r="A70" s="60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24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130"/>
    </row>
    <row r="71" spans="1:71" ht="32.1" customHeight="1" x14ac:dyDescent="0.55000000000000004">
      <c r="A71" s="51"/>
      <c r="B71" s="52"/>
      <c r="C71" s="66"/>
      <c r="D71" s="66"/>
      <c r="E71" s="424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130"/>
    </row>
    <row r="72" spans="1:71" ht="24.95" customHeight="1" x14ac:dyDescent="0.55000000000000004">
      <c r="A72" s="109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24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130"/>
    </row>
    <row r="73" spans="1:71" ht="32.1" customHeight="1" x14ac:dyDescent="0.55000000000000004">
      <c r="A73" s="51"/>
      <c r="B73" s="52"/>
      <c r="C73" s="66"/>
      <c r="D73" s="66"/>
      <c r="E73" s="424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130"/>
    </row>
    <row r="74" spans="1:71" ht="24.95" customHeight="1" x14ac:dyDescent="0.55000000000000004">
      <c r="A74" s="268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24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130"/>
    </row>
    <row r="75" spans="1:71" ht="32.1" customHeight="1" x14ac:dyDescent="0.55000000000000004">
      <c r="A75" s="51"/>
      <c r="B75" s="52"/>
      <c r="C75" s="66"/>
      <c r="D75" s="66"/>
      <c r="E75" s="424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130"/>
    </row>
    <row r="76" spans="1:71" ht="24.95" customHeight="1" x14ac:dyDescent="0.55000000000000004">
      <c r="A76" s="170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24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130"/>
    </row>
    <row r="77" spans="1:71" ht="32.1" customHeight="1" x14ac:dyDescent="0.55000000000000004">
      <c r="A77" s="51"/>
      <c r="B77" s="52"/>
      <c r="C77" s="66"/>
      <c r="D77" s="66"/>
      <c r="E77" s="424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130"/>
    </row>
    <row r="78" spans="1:71" ht="24.95" customHeight="1" x14ac:dyDescent="0.55000000000000004">
      <c r="A78" s="60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24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130"/>
    </row>
    <row r="79" spans="1:71" ht="32.1" customHeight="1" thickBot="1" x14ac:dyDescent="0.6">
      <c r="A79" s="98"/>
      <c r="B79" s="99"/>
      <c r="C79" s="100"/>
      <c r="D79" s="100"/>
      <c r="E79" s="441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130"/>
    </row>
    <row r="80" spans="1:71" ht="32.1" customHeight="1" x14ac:dyDescent="0.55000000000000004">
      <c r="A80" s="103"/>
      <c r="B80" s="104"/>
      <c r="C80" s="105"/>
      <c r="D80" s="105"/>
      <c r="E80" s="439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130"/>
    </row>
    <row r="81" spans="1:71" ht="24.95" customHeight="1" x14ac:dyDescent="0.55000000000000004">
      <c r="A81" s="60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2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130"/>
    </row>
    <row r="82" spans="1:71" ht="32.1" customHeight="1" x14ac:dyDescent="0.55000000000000004">
      <c r="A82" s="51"/>
      <c r="B82" s="52"/>
      <c r="C82" s="66"/>
      <c r="D82" s="66"/>
      <c r="E82" s="42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130"/>
    </row>
    <row r="83" spans="1:71" ht="24.95" customHeight="1" x14ac:dyDescent="0.55000000000000004">
      <c r="A83" s="60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24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130"/>
    </row>
    <row r="84" spans="1:71" ht="32.1" customHeight="1" x14ac:dyDescent="0.55000000000000004">
      <c r="A84" s="51"/>
      <c r="B84" s="52"/>
      <c r="C84" s="66"/>
      <c r="D84" s="66"/>
      <c r="E84" s="424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130"/>
    </row>
    <row r="85" spans="1:71" ht="24.95" customHeight="1" x14ac:dyDescent="0.55000000000000004">
      <c r="A85" s="109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2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130"/>
    </row>
    <row r="86" spans="1:71" ht="32.1" customHeight="1" thickBot="1" x14ac:dyDescent="0.6">
      <c r="A86" s="68"/>
      <c r="B86" s="69"/>
      <c r="C86" s="70"/>
      <c r="D86" s="70"/>
      <c r="E86" s="440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130"/>
    </row>
    <row r="87" spans="1:71" ht="36" x14ac:dyDescent="0.55000000000000004">
      <c r="A87" s="71"/>
      <c r="B87" s="72"/>
      <c r="C87" s="73"/>
      <c r="D87" s="73"/>
      <c r="E87" s="423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130"/>
    </row>
    <row r="88" spans="1:71" ht="24.95" customHeight="1" x14ac:dyDescent="0.55000000000000004">
      <c r="A88" s="60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2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130"/>
    </row>
    <row r="89" spans="1:71" ht="32.1" customHeight="1" x14ac:dyDescent="0.55000000000000004">
      <c r="A89" s="51"/>
      <c r="B89" s="52"/>
      <c r="C89" s="66"/>
      <c r="D89" s="66"/>
      <c r="E89" s="42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130"/>
    </row>
    <row r="90" spans="1:71" ht="24.95" customHeight="1" x14ac:dyDescent="0.55000000000000004">
      <c r="A90" s="60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2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130"/>
    </row>
    <row r="91" spans="1:71" ht="32.1" customHeight="1" x14ac:dyDescent="0.55000000000000004">
      <c r="A91" s="51"/>
      <c r="B91" s="52"/>
      <c r="C91" s="66"/>
      <c r="D91" s="66"/>
      <c r="E91" s="42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130"/>
    </row>
    <row r="92" spans="1:71" ht="24.95" customHeight="1" x14ac:dyDescent="0.55000000000000004">
      <c r="A92" s="60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2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130"/>
    </row>
    <row r="93" spans="1:71" s="117" customFormat="1" ht="32.1" customHeight="1" x14ac:dyDescent="0.55000000000000004">
      <c r="A93" s="51"/>
      <c r="B93" s="52"/>
      <c r="C93" s="66"/>
      <c r="D93" s="66"/>
      <c r="E93" s="42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52"/>
    </row>
    <row r="94" spans="1:71" ht="24.95" customHeight="1" x14ac:dyDescent="0.55000000000000004">
      <c r="A94" s="60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2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130"/>
    </row>
    <row r="95" spans="1:71" s="117" customFormat="1" ht="32.1" customHeight="1" x14ac:dyDescent="0.55000000000000004">
      <c r="A95" s="51"/>
      <c r="B95" s="52"/>
      <c r="C95" s="66"/>
      <c r="D95" s="66"/>
      <c r="E95" s="42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52"/>
    </row>
    <row r="96" spans="1:71" ht="24.95" customHeight="1" x14ac:dyDescent="0.55000000000000004">
      <c r="A96" s="60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2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130"/>
    </row>
    <row r="97" spans="1:71" s="117" customFormat="1" ht="32.1" customHeight="1" x14ac:dyDescent="0.55000000000000004">
      <c r="A97" s="51"/>
      <c r="B97" s="52"/>
      <c r="C97" s="66"/>
      <c r="D97" s="66"/>
      <c r="E97" s="42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52"/>
    </row>
    <row r="98" spans="1:71" ht="24.95" customHeight="1" x14ac:dyDescent="0.55000000000000004">
      <c r="A98" s="60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2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130"/>
    </row>
    <row r="99" spans="1:71" ht="32.1" customHeight="1" x14ac:dyDescent="0.55000000000000004">
      <c r="A99" s="51"/>
      <c r="B99" s="52"/>
      <c r="C99" s="66"/>
      <c r="D99" s="66"/>
      <c r="E99" s="42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130"/>
    </row>
    <row r="100" spans="1:71" ht="24.95" customHeight="1" x14ac:dyDescent="0.55000000000000004">
      <c r="A100" s="60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2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130"/>
    </row>
    <row r="101" spans="1:71" ht="32.1" customHeight="1" x14ac:dyDescent="0.55000000000000004">
      <c r="A101" s="51"/>
      <c r="B101" s="52"/>
      <c r="C101" s="66"/>
      <c r="D101" s="66"/>
      <c r="E101" s="42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130"/>
    </row>
    <row r="102" spans="1:71" ht="24.95" customHeight="1" x14ac:dyDescent="0.55000000000000004">
      <c r="A102" s="60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2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130"/>
    </row>
    <row r="103" spans="1:71" ht="32.1" customHeight="1" x14ac:dyDescent="0.55000000000000004">
      <c r="A103" s="51"/>
      <c r="B103" s="52"/>
      <c r="C103" s="66"/>
      <c r="D103" s="66"/>
      <c r="E103" s="42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130"/>
    </row>
    <row r="104" spans="1:71" ht="24.95" customHeight="1" x14ac:dyDescent="0.55000000000000004">
      <c r="A104" s="268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2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130"/>
    </row>
    <row r="105" spans="1:71" ht="32.1" customHeight="1" x14ac:dyDescent="0.55000000000000004">
      <c r="A105" s="51"/>
      <c r="B105" s="52"/>
      <c r="C105" s="66"/>
      <c r="D105" s="66"/>
      <c r="E105" s="42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130"/>
    </row>
    <row r="106" spans="1:71" ht="24.95" customHeight="1" x14ac:dyDescent="0.55000000000000004">
      <c r="A106" s="109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2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130"/>
    </row>
    <row r="107" spans="1:71" ht="32.1" customHeight="1" x14ac:dyDescent="0.55000000000000004">
      <c r="A107" s="51"/>
      <c r="B107" s="52"/>
      <c r="C107" s="66"/>
      <c r="D107" s="66"/>
      <c r="E107" s="42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130"/>
    </row>
    <row r="108" spans="1:71" ht="24.95" customHeight="1" x14ac:dyDescent="0.55000000000000004">
      <c r="A108" s="268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2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130"/>
    </row>
    <row r="109" spans="1:71" ht="32.1" customHeight="1" thickBot="1" x14ac:dyDescent="0.6">
      <c r="A109" s="98"/>
      <c r="B109" s="99"/>
      <c r="C109" s="100"/>
      <c r="D109" s="100"/>
      <c r="E109" s="44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130"/>
    </row>
    <row r="110" spans="1:71" ht="32.1" customHeight="1" x14ac:dyDescent="0.55000000000000004">
      <c r="A110" s="103"/>
      <c r="B110" s="104"/>
      <c r="C110" s="105"/>
      <c r="D110" s="105"/>
      <c r="E110" s="439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130"/>
    </row>
    <row r="111" spans="1:71" ht="24.95" customHeight="1" x14ac:dyDescent="0.55000000000000004">
      <c r="A111" s="60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2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130"/>
    </row>
    <row r="112" spans="1:71" ht="32.1" customHeight="1" x14ac:dyDescent="0.55000000000000004">
      <c r="B112" s="52"/>
      <c r="C112" s="66"/>
      <c r="D112" s="66"/>
      <c r="E112" s="42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130"/>
    </row>
    <row r="113" spans="1:71" ht="24.95" customHeight="1" x14ac:dyDescent="0.55000000000000004">
      <c r="A113" s="268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2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130"/>
    </row>
    <row r="114" spans="1:71" ht="32.1" customHeight="1" x14ac:dyDescent="0.55000000000000004">
      <c r="B114" s="52"/>
      <c r="C114" s="66"/>
      <c r="D114" s="66"/>
      <c r="E114" s="42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130"/>
    </row>
    <row r="115" spans="1:71" ht="24.95" customHeight="1" x14ac:dyDescent="0.55000000000000004">
      <c r="A115" s="268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2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130"/>
    </row>
    <row r="116" spans="1:71" ht="32.1" customHeight="1" x14ac:dyDescent="0.55000000000000004">
      <c r="A116" s="51"/>
      <c r="B116" s="52"/>
      <c r="C116" s="66"/>
      <c r="D116" s="66"/>
      <c r="E116" s="42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130"/>
    </row>
    <row r="117" spans="1:71" ht="24.95" customHeight="1" x14ac:dyDescent="0.55000000000000004">
      <c r="A117" s="60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2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130"/>
    </row>
    <row r="118" spans="1:71" ht="32.1" customHeight="1" x14ac:dyDescent="0.55000000000000004">
      <c r="A118" s="51"/>
      <c r="B118" s="52"/>
      <c r="C118" s="66"/>
      <c r="D118" s="66"/>
      <c r="E118" s="424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130"/>
    </row>
    <row r="119" spans="1:71" ht="24.95" customHeight="1" x14ac:dyDescent="0.55000000000000004">
      <c r="A119" s="268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2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130"/>
    </row>
    <row r="120" spans="1:71" ht="32.1" customHeight="1" x14ac:dyDescent="0.55000000000000004">
      <c r="A120" s="51"/>
      <c r="B120" s="52"/>
      <c r="C120" s="66"/>
      <c r="D120" s="66"/>
      <c r="E120" s="42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130"/>
    </row>
    <row r="121" spans="1:71" ht="24.95" customHeight="1" x14ac:dyDescent="0.55000000000000004">
      <c r="A121" s="268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2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130"/>
    </row>
    <row r="122" spans="1:71" ht="32.1" customHeight="1" x14ac:dyDescent="0.55000000000000004">
      <c r="A122" s="51"/>
      <c r="B122" s="52"/>
      <c r="C122" s="66"/>
      <c r="D122" s="66"/>
      <c r="E122" s="42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130"/>
    </row>
    <row r="123" spans="1:71" ht="24.95" customHeight="1" x14ac:dyDescent="0.55000000000000004">
      <c r="A123" s="268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2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130"/>
    </row>
    <row r="124" spans="1:71" ht="32.1" customHeight="1" x14ac:dyDescent="0.55000000000000004">
      <c r="A124" s="51"/>
      <c r="B124" s="52"/>
      <c r="C124" s="66"/>
      <c r="D124" s="66"/>
      <c r="E124" s="42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130"/>
    </row>
    <row r="125" spans="1:71" ht="24.95" customHeight="1" x14ac:dyDescent="0.55000000000000004">
      <c r="A125" s="268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2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130"/>
    </row>
    <row r="126" spans="1:71" ht="32.1" customHeight="1" x14ac:dyDescent="0.55000000000000004">
      <c r="A126" s="51"/>
      <c r="B126" s="52"/>
      <c r="C126" s="66"/>
      <c r="D126" s="66"/>
      <c r="E126" s="42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130"/>
    </row>
    <row r="127" spans="1:71" ht="24.95" customHeight="1" x14ac:dyDescent="0.55000000000000004">
      <c r="A127" s="60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2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130"/>
    </row>
    <row r="128" spans="1:71" ht="32.1" customHeight="1" x14ac:dyDescent="0.55000000000000004">
      <c r="A128" s="154"/>
      <c r="B128" s="52"/>
      <c r="C128" s="160"/>
      <c r="D128" s="66"/>
      <c r="E128" s="42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130"/>
    </row>
    <row r="129" spans="1:71" ht="24.95" customHeight="1" x14ac:dyDescent="0.55000000000000004">
      <c r="A129" s="268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2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130"/>
    </row>
    <row r="130" spans="1:71" ht="32.1" customHeight="1" x14ac:dyDescent="0.55000000000000004">
      <c r="A130" s="51"/>
      <c r="B130" s="52"/>
      <c r="C130" s="66"/>
      <c r="D130" s="66"/>
      <c r="E130" s="42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130"/>
    </row>
    <row r="131" spans="1:71" ht="24.95" customHeight="1" x14ac:dyDescent="0.55000000000000004">
      <c r="A131" s="60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2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130"/>
    </row>
    <row r="132" spans="1:71" ht="32.1" customHeight="1" x14ac:dyDescent="0.55000000000000004">
      <c r="A132" s="51"/>
      <c r="B132" s="52"/>
      <c r="C132" s="66"/>
      <c r="D132" s="66"/>
      <c r="E132" s="42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130"/>
    </row>
    <row r="133" spans="1:71" ht="24.95" customHeight="1" x14ac:dyDescent="0.55000000000000004">
      <c r="A133" s="60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2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130"/>
    </row>
    <row r="134" spans="1:71" ht="32.1" customHeight="1" x14ac:dyDescent="0.55000000000000004">
      <c r="A134" s="51"/>
      <c r="B134" s="52"/>
      <c r="C134" s="66"/>
      <c r="D134" s="66"/>
      <c r="E134" s="42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130"/>
    </row>
    <row r="135" spans="1:71" ht="24.95" customHeight="1" x14ac:dyDescent="0.55000000000000004">
      <c r="A135" s="60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2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130"/>
    </row>
    <row r="136" spans="1:71" ht="32.1" customHeight="1" x14ac:dyDescent="0.55000000000000004">
      <c r="A136" s="51"/>
      <c r="B136" s="52"/>
      <c r="C136" s="66"/>
      <c r="D136" s="66"/>
      <c r="E136" s="42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130"/>
    </row>
    <row r="137" spans="1:71" ht="24.95" customHeight="1" x14ac:dyDescent="0.55000000000000004">
      <c r="A137" s="268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2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130"/>
    </row>
    <row r="138" spans="1:71" ht="32.1" customHeight="1" x14ac:dyDescent="0.55000000000000004">
      <c r="A138" s="157"/>
      <c r="B138" s="52"/>
      <c r="C138" s="66"/>
      <c r="D138" s="66"/>
      <c r="E138" s="42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130"/>
    </row>
    <row r="139" spans="1:71" ht="24.95" customHeight="1" x14ac:dyDescent="0.55000000000000004">
      <c r="A139" s="269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2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130"/>
    </row>
    <row r="140" spans="1:71" ht="32.1" customHeight="1" x14ac:dyDescent="0.55000000000000004">
      <c r="A140" s="51"/>
      <c r="B140" s="52"/>
      <c r="C140" s="66"/>
      <c r="D140" s="66"/>
      <c r="E140" s="42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130"/>
    </row>
    <row r="141" spans="1:71" ht="24.95" customHeight="1" x14ac:dyDescent="0.55000000000000004">
      <c r="A141" s="268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24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130"/>
    </row>
    <row r="142" spans="1:71" ht="32.1" customHeight="1" x14ac:dyDescent="0.55000000000000004">
      <c r="A142" s="51"/>
      <c r="B142" s="52"/>
      <c r="C142" s="66"/>
      <c r="D142" s="66"/>
      <c r="E142" s="42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130"/>
    </row>
    <row r="143" spans="1:71" ht="24.95" customHeight="1" x14ac:dyDescent="0.55000000000000004">
      <c r="A143" s="60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2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130"/>
    </row>
    <row r="144" spans="1:71" ht="32.1" customHeight="1" x14ac:dyDescent="0.55000000000000004">
      <c r="A144" s="51"/>
      <c r="B144" s="52"/>
      <c r="C144" s="66"/>
      <c r="D144" s="66"/>
      <c r="E144" s="42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130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2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130"/>
    </row>
    <row r="146" spans="1:71" ht="32.1" customHeight="1" x14ac:dyDescent="0.55000000000000004">
      <c r="A146" s="51"/>
      <c r="B146" s="52"/>
      <c r="C146" s="66"/>
      <c r="D146" s="66"/>
      <c r="E146" s="42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130"/>
    </row>
    <row r="147" spans="1:71" ht="24.95" customHeight="1" x14ac:dyDescent="0.55000000000000004">
      <c r="A147" s="60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2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130"/>
    </row>
    <row r="148" spans="1:71" ht="32.1" customHeight="1" x14ac:dyDescent="0.55000000000000004">
      <c r="A148" s="51"/>
      <c r="B148" s="52"/>
      <c r="C148" s="66"/>
      <c r="D148" s="66"/>
      <c r="E148" s="42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130"/>
    </row>
    <row r="149" spans="1:71" ht="24.95" customHeight="1" x14ac:dyDescent="0.55000000000000004">
      <c r="A149" s="60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2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130"/>
    </row>
    <row r="150" spans="1:71" ht="32.1" customHeight="1" x14ac:dyDescent="0.55000000000000004">
      <c r="A150" s="51"/>
      <c r="B150" s="52"/>
      <c r="C150" s="66"/>
      <c r="D150" s="66"/>
      <c r="E150" s="424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130"/>
    </row>
    <row r="151" spans="1:71" ht="24.95" customHeight="1" x14ac:dyDescent="0.55000000000000004">
      <c r="A151" s="60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2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130"/>
    </row>
    <row r="152" spans="1:71" ht="32.1" customHeight="1" x14ac:dyDescent="0.55000000000000004">
      <c r="B152" s="52"/>
      <c r="C152" s="66"/>
      <c r="D152" s="66"/>
      <c r="E152" s="42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130"/>
    </row>
    <row r="153" spans="1:71" ht="24.95" customHeight="1" x14ac:dyDescent="0.55000000000000004">
      <c r="A153" s="60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2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130"/>
    </row>
    <row r="154" spans="1:71" ht="32.1" customHeight="1" thickBot="1" x14ac:dyDescent="0.6">
      <c r="A154" s="68"/>
      <c r="B154" s="69"/>
      <c r="C154" s="70"/>
      <c r="D154" s="70"/>
      <c r="E154" s="440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130"/>
    </row>
    <row r="155" spans="1:71" ht="32.1" customHeight="1" x14ac:dyDescent="0.55000000000000004">
      <c r="A155" s="71"/>
      <c r="B155" s="72"/>
      <c r="C155" s="73"/>
      <c r="D155" s="73"/>
      <c r="E155" s="423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130"/>
    </row>
    <row r="156" spans="1:71" ht="24.95" customHeight="1" x14ac:dyDescent="0.55000000000000004">
      <c r="A156" s="268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2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130"/>
    </row>
    <row r="157" spans="1:71" ht="32.1" customHeight="1" x14ac:dyDescent="0.55000000000000004">
      <c r="A157" s="51"/>
      <c r="B157" s="52"/>
      <c r="C157" s="66"/>
      <c r="D157" s="66"/>
      <c r="E157" s="42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130"/>
    </row>
    <row r="158" spans="1:71" ht="24.95" customHeight="1" x14ac:dyDescent="0.55000000000000004">
      <c r="A158" s="268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2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130"/>
    </row>
    <row r="159" spans="1:71" ht="32.1" customHeight="1" x14ac:dyDescent="0.55000000000000004">
      <c r="A159" s="51"/>
      <c r="B159" s="52"/>
      <c r="C159" s="66"/>
      <c r="D159" s="66"/>
      <c r="E159" s="424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130"/>
    </row>
    <row r="160" spans="1:71" ht="24.95" customHeight="1" x14ac:dyDescent="0.55000000000000004">
      <c r="A160" s="109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2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130"/>
    </row>
    <row r="161" spans="1:71" ht="32.1" customHeight="1" x14ac:dyDescent="0.55000000000000004">
      <c r="A161" s="51"/>
      <c r="B161" s="52"/>
      <c r="C161" s="66"/>
      <c r="D161" s="66"/>
      <c r="E161" s="42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130"/>
    </row>
    <row r="162" spans="1:71" ht="24.95" customHeight="1" x14ac:dyDescent="0.55000000000000004">
      <c r="A162" s="109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2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130"/>
    </row>
    <row r="163" spans="1:71" ht="32.1" customHeight="1" x14ac:dyDescent="0.55000000000000004">
      <c r="A163" s="51"/>
      <c r="B163" s="52"/>
      <c r="C163" s="66"/>
      <c r="D163" s="66"/>
      <c r="E163" s="42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130"/>
    </row>
    <row r="164" spans="1:71" ht="24.95" customHeight="1" x14ac:dyDescent="0.55000000000000004">
      <c r="A164" s="109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2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130"/>
    </row>
    <row r="165" spans="1:71" ht="32.1" customHeight="1" x14ac:dyDescent="0.55000000000000004">
      <c r="A165" s="51"/>
      <c r="B165" s="52"/>
      <c r="C165" s="52"/>
      <c r="D165" s="52"/>
      <c r="E165" s="424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130"/>
    </row>
    <row r="166" spans="1:71" ht="42.75" customHeight="1" x14ac:dyDescent="0.25">
      <c r="A166" s="427" t="s">
        <v>259</v>
      </c>
      <c r="B166" s="428"/>
      <c r="C166" s="428"/>
      <c r="D166" s="428"/>
      <c r="E166" s="429"/>
      <c r="F166" s="201">
        <f t="shared" ref="F166:K166" si="1">(COUNTIF(F16:F165,"N")+COUNTIF(F16:F165,"I"))</f>
        <v>0</v>
      </c>
      <c r="G166" s="201">
        <f t="shared" si="1"/>
        <v>0</v>
      </c>
      <c r="H166" s="201">
        <f t="shared" si="1"/>
        <v>0</v>
      </c>
      <c r="I166" s="201">
        <f t="shared" si="1"/>
        <v>0</v>
      </c>
      <c r="J166" s="201">
        <f t="shared" si="1"/>
        <v>0</v>
      </c>
      <c r="K166" s="201">
        <f t="shared" si="1"/>
        <v>0</v>
      </c>
      <c r="L166" s="201">
        <f>(COUNTIF(L16:L165,"N")+COUNTIF(L16:L165,"I"))/2</f>
        <v>0.5</v>
      </c>
      <c r="M166" s="201">
        <f>(COUNTIF(M16:M165,"N")+COUNTIF(M16:M165,"I"))</f>
        <v>1</v>
      </c>
      <c r="N166" s="201">
        <f>(COUNTIF(N16:N165,"N")+COUNTIF(N16:N165,"I"))</f>
        <v>1</v>
      </c>
      <c r="O166" s="201">
        <f>(COUNTIF(O14:O163,"N")+COUNTIF(O14:O163,"I"))</f>
        <v>1</v>
      </c>
      <c r="P166" s="201">
        <f>(COUNTIF(P16:P165,"N")+COUNTIF(P16:P165,"I"))</f>
        <v>1</v>
      </c>
      <c r="Q166" s="201">
        <f>(COUNTIF(Q16:Q165,"N")+COUNTIF(Q16:Q165,"I"))</f>
        <v>1</v>
      </c>
      <c r="R166" s="201">
        <f>(COUNTIF(R16:R165,"N")+COUNTIF(R16:R165,"I"))</f>
        <v>1</v>
      </c>
      <c r="S166" s="201">
        <f t="shared" ref="S166:AX166" si="2">(COUNTIF(S14:S163,"N")+COUNTIF(S14:S163,"I"))</f>
        <v>0</v>
      </c>
      <c r="T166" s="201">
        <f t="shared" si="2"/>
        <v>1</v>
      </c>
      <c r="U166" s="201">
        <f t="shared" si="2"/>
        <v>1</v>
      </c>
      <c r="V166" s="201">
        <f t="shared" si="2"/>
        <v>1</v>
      </c>
      <c r="W166" s="201">
        <f t="shared" si="2"/>
        <v>1</v>
      </c>
      <c r="X166" s="201">
        <f t="shared" si="2"/>
        <v>1</v>
      </c>
      <c r="Y166" s="201">
        <f t="shared" si="2"/>
        <v>1</v>
      </c>
      <c r="Z166" s="201">
        <f t="shared" si="2"/>
        <v>1</v>
      </c>
      <c r="AA166" s="201">
        <f t="shared" si="2"/>
        <v>1</v>
      </c>
      <c r="AB166" s="201">
        <f t="shared" si="2"/>
        <v>1</v>
      </c>
      <c r="AC166" s="201">
        <f t="shared" si="2"/>
        <v>0</v>
      </c>
      <c r="AD166" s="201">
        <f t="shared" si="2"/>
        <v>0</v>
      </c>
      <c r="AE166" s="201">
        <f t="shared" si="2"/>
        <v>0</v>
      </c>
      <c r="AF166" s="201">
        <f t="shared" si="2"/>
        <v>0</v>
      </c>
      <c r="AG166" s="201">
        <f t="shared" si="2"/>
        <v>0</v>
      </c>
      <c r="AH166" s="201">
        <f t="shared" si="2"/>
        <v>0</v>
      </c>
      <c r="AI166" s="201">
        <f t="shared" si="2"/>
        <v>0</v>
      </c>
      <c r="AJ166" s="201">
        <f t="shared" si="2"/>
        <v>0</v>
      </c>
      <c r="AK166" s="201">
        <f t="shared" si="2"/>
        <v>0</v>
      </c>
      <c r="AL166" s="201">
        <f t="shared" si="2"/>
        <v>0</v>
      </c>
      <c r="AM166" s="201">
        <f t="shared" si="2"/>
        <v>0</v>
      </c>
      <c r="AN166" s="201">
        <f t="shared" si="2"/>
        <v>0</v>
      </c>
      <c r="AO166" s="201">
        <f t="shared" si="2"/>
        <v>0</v>
      </c>
      <c r="AP166" s="201">
        <f t="shared" si="2"/>
        <v>0</v>
      </c>
      <c r="AQ166" s="201">
        <f t="shared" si="2"/>
        <v>0</v>
      </c>
      <c r="AR166" s="201">
        <f t="shared" si="2"/>
        <v>0</v>
      </c>
      <c r="AS166" s="201">
        <f t="shared" si="2"/>
        <v>0</v>
      </c>
      <c r="AT166" s="201">
        <f t="shared" si="2"/>
        <v>0</v>
      </c>
      <c r="AU166" s="201">
        <f t="shared" si="2"/>
        <v>0</v>
      </c>
      <c r="AV166" s="201">
        <f t="shared" si="2"/>
        <v>0</v>
      </c>
      <c r="AW166" s="201">
        <f t="shared" si="2"/>
        <v>0</v>
      </c>
      <c r="AX166" s="201">
        <f t="shared" si="2"/>
        <v>0</v>
      </c>
      <c r="AY166" s="201">
        <f t="shared" ref="AY166:BR166" si="3">(COUNTIF(AY14:AY163,"N")+COUNTIF(AY14:AY163,"I"))</f>
        <v>0</v>
      </c>
      <c r="AZ166" s="201">
        <f t="shared" si="3"/>
        <v>0</v>
      </c>
      <c r="BA166" s="201">
        <f t="shared" si="3"/>
        <v>0</v>
      </c>
      <c r="BB166" s="201">
        <f t="shared" si="3"/>
        <v>0</v>
      </c>
      <c r="BC166" s="201">
        <f t="shared" si="3"/>
        <v>0</v>
      </c>
      <c r="BD166" s="201">
        <f t="shared" si="3"/>
        <v>0</v>
      </c>
      <c r="BE166" s="201">
        <f t="shared" si="3"/>
        <v>0</v>
      </c>
      <c r="BF166" s="201">
        <f t="shared" si="3"/>
        <v>0</v>
      </c>
      <c r="BG166" s="201">
        <f t="shared" si="3"/>
        <v>0</v>
      </c>
      <c r="BH166" s="201">
        <f t="shared" si="3"/>
        <v>0</v>
      </c>
      <c r="BI166" s="201">
        <f t="shared" si="3"/>
        <v>0</v>
      </c>
      <c r="BJ166" s="201">
        <f t="shared" si="3"/>
        <v>0</v>
      </c>
      <c r="BK166" s="201">
        <f t="shared" si="3"/>
        <v>0</v>
      </c>
      <c r="BL166" s="201">
        <f t="shared" si="3"/>
        <v>0</v>
      </c>
      <c r="BM166" s="201">
        <f t="shared" si="3"/>
        <v>0</v>
      </c>
      <c r="BN166" s="201">
        <f t="shared" si="3"/>
        <v>0</v>
      </c>
      <c r="BO166" s="201">
        <f t="shared" si="3"/>
        <v>0</v>
      </c>
      <c r="BP166" s="201">
        <f t="shared" si="3"/>
        <v>0</v>
      </c>
      <c r="BQ166" s="201">
        <f t="shared" si="3"/>
        <v>0</v>
      </c>
      <c r="BR166" s="201">
        <f t="shared" si="3"/>
        <v>0</v>
      </c>
      <c r="BS166" s="130"/>
    </row>
    <row r="167" spans="1:71" ht="45" customHeight="1" x14ac:dyDescent="0.25">
      <c r="A167" s="425" t="s">
        <v>42</v>
      </c>
      <c r="B167" s="426"/>
      <c r="C167" s="426"/>
      <c r="D167" s="426"/>
      <c r="E167" s="426"/>
      <c r="F167" s="124">
        <f>F168</f>
        <v>0</v>
      </c>
      <c r="G167" s="422">
        <f>SUM(G168:J168)</f>
        <v>0</v>
      </c>
      <c r="H167" s="422"/>
      <c r="I167" s="422"/>
      <c r="J167" s="422"/>
      <c r="K167" s="422">
        <f>SUM(K168:L168)</f>
        <v>0.5</v>
      </c>
      <c r="L167" s="422"/>
      <c r="M167" s="422">
        <f>SUM(M168:N168)</f>
        <v>1</v>
      </c>
      <c r="N167" s="422"/>
      <c r="O167" s="422">
        <f>SUM(O168:P168)</f>
        <v>1</v>
      </c>
      <c r="P167" s="422"/>
      <c r="Q167" s="422">
        <f>SUM(Q168:R168)</f>
        <v>1</v>
      </c>
      <c r="R167" s="422"/>
      <c r="S167" s="422">
        <f>SUM(S168:U168)</f>
        <v>0.5</v>
      </c>
      <c r="T167" s="422"/>
      <c r="U167" s="422"/>
      <c r="V167" s="422">
        <f>SUM(V168:Y168)</f>
        <v>1</v>
      </c>
      <c r="W167" s="422"/>
      <c r="X167" s="422"/>
      <c r="Y167" s="422"/>
      <c r="Z167" s="422">
        <f>SUM(Z168:AC168)</f>
        <v>0.75</v>
      </c>
      <c r="AA167" s="422"/>
      <c r="AB167" s="422"/>
      <c r="AC167" s="422"/>
      <c r="AD167" s="422">
        <f>SUM(AD168:AE168)</f>
        <v>0</v>
      </c>
      <c r="AE167" s="422"/>
      <c r="AF167" s="422">
        <f>SUM(AF168:AG168)</f>
        <v>0</v>
      </c>
      <c r="AG167" s="422"/>
      <c r="AH167" s="422">
        <f>SUM(AH168:AI168)</f>
        <v>0</v>
      </c>
      <c r="AI167" s="422"/>
      <c r="AJ167" s="422">
        <f>SUM(AJ168:AK168)</f>
        <v>0</v>
      </c>
      <c r="AK167" s="422"/>
      <c r="AL167" s="422">
        <f>SUM(AL168:AN168)</f>
        <v>0</v>
      </c>
      <c r="AM167" s="422"/>
      <c r="AN167" s="422"/>
      <c r="AO167" s="422">
        <f>SUM(AO168:AR168)</f>
        <v>0</v>
      </c>
      <c r="AP167" s="422"/>
      <c r="AQ167" s="422"/>
      <c r="AR167" s="422"/>
      <c r="AS167" s="422">
        <f>SUM(AS168:AV168)</f>
        <v>0</v>
      </c>
      <c r="AT167" s="422"/>
      <c r="AU167" s="422"/>
      <c r="AV167" s="422"/>
      <c r="AW167" s="422">
        <f>SUM(AW168:AY168)</f>
        <v>0</v>
      </c>
      <c r="AX167" s="422"/>
      <c r="AY167" s="422"/>
      <c r="AZ167" s="422">
        <f>SUM(AZ168:BA168)</f>
        <v>0</v>
      </c>
      <c r="BA167" s="422"/>
      <c r="BB167" s="422">
        <f>SUM(BB168:BC168)</f>
        <v>0</v>
      </c>
      <c r="BC167" s="422"/>
      <c r="BD167" s="422">
        <f>SUM(BD168:BF168)</f>
        <v>0</v>
      </c>
      <c r="BE167" s="422"/>
      <c r="BF167" s="422"/>
      <c r="BG167" s="422">
        <f>SUM(BG168:BH168)</f>
        <v>0</v>
      </c>
      <c r="BH167" s="422"/>
      <c r="BI167" s="422">
        <f>SUM(BI168:BJ168)</f>
        <v>0</v>
      </c>
      <c r="BJ167" s="422"/>
      <c r="BK167" s="422">
        <f>SUM(BK168:BL168)</f>
        <v>0</v>
      </c>
      <c r="BL167" s="422"/>
      <c r="BM167" s="422">
        <f>SUM(BM168:BN168)</f>
        <v>0</v>
      </c>
      <c r="BN167" s="422"/>
      <c r="BO167" s="422">
        <f>SUM(BO168:BP168)</f>
        <v>0</v>
      </c>
      <c r="BP167" s="422"/>
      <c r="BQ167" s="422">
        <f>SUM(BQ168:BR168)</f>
        <v>0</v>
      </c>
      <c r="BR167" s="422"/>
      <c r="BS167" s="130"/>
    </row>
    <row r="168" spans="1:71" ht="35.1" customHeight="1" x14ac:dyDescent="0.25">
      <c r="A168" s="425"/>
      <c r="B168" s="426"/>
      <c r="C168" s="426"/>
      <c r="D168" s="426"/>
      <c r="E168" s="426"/>
      <c r="F168" s="125">
        <f>(COUNTIF(F16:F165,"N")+COUNTIF(F16:F165,"I"))/4</f>
        <v>0</v>
      </c>
      <c r="G168" s="125">
        <f>(COUNTIF(G16:G165,"N")+COUNTIF(G16:G165,"I"))/4</f>
        <v>0</v>
      </c>
      <c r="H168" s="125">
        <f>(COUNTIF(H16:H165,"N")+COUNTIF(H16:H165,"I"))/4</f>
        <v>0</v>
      </c>
      <c r="I168" s="125">
        <f>(COUNTIF(I16:I165,"N")+COUNTIF(I16:I165,"I"))/4</f>
        <v>0</v>
      </c>
      <c r="J168" s="125">
        <f>(COUNTIF(J16:J165,"N")+COUNTIF(J16:J165,"I"))/4</f>
        <v>0</v>
      </c>
      <c r="K168" s="125">
        <f t="shared" ref="K168:S168" si="4">(COUNTIF(K16:K165,"N")+COUNTIF(K16:K165,"I"))/2</f>
        <v>0</v>
      </c>
      <c r="L168" s="125">
        <f t="shared" si="4"/>
        <v>0.5</v>
      </c>
      <c r="M168" s="125">
        <f t="shared" si="4"/>
        <v>0.5</v>
      </c>
      <c r="N168" s="125">
        <f t="shared" si="4"/>
        <v>0.5</v>
      </c>
      <c r="O168" s="125">
        <f t="shared" si="4"/>
        <v>0.5</v>
      </c>
      <c r="P168" s="125">
        <f t="shared" si="4"/>
        <v>0.5</v>
      </c>
      <c r="Q168" s="125">
        <f t="shared" si="4"/>
        <v>0.5</v>
      </c>
      <c r="R168" s="125">
        <f t="shared" si="4"/>
        <v>0.5</v>
      </c>
      <c r="S168" s="125">
        <f t="shared" si="4"/>
        <v>0</v>
      </c>
      <c r="T168" s="125">
        <f t="shared" ref="T168:AC168" si="5">(COUNTIF(T16:T165,"N")+COUNTIF(T16:T165,"I"))/4</f>
        <v>0.25</v>
      </c>
      <c r="U168" s="125">
        <f t="shared" si="5"/>
        <v>0.25</v>
      </c>
      <c r="V168" s="125">
        <f t="shared" si="5"/>
        <v>0.25</v>
      </c>
      <c r="W168" s="125">
        <f t="shared" si="5"/>
        <v>0.25</v>
      </c>
      <c r="X168" s="125">
        <f t="shared" si="5"/>
        <v>0.25</v>
      </c>
      <c r="Y168" s="125">
        <f t="shared" si="5"/>
        <v>0.25</v>
      </c>
      <c r="Z168" s="125">
        <f t="shared" si="5"/>
        <v>0.25</v>
      </c>
      <c r="AA168" s="125">
        <f t="shared" si="5"/>
        <v>0.25</v>
      </c>
      <c r="AB168" s="125">
        <f t="shared" si="5"/>
        <v>0.25</v>
      </c>
      <c r="AC168" s="125">
        <f t="shared" si="5"/>
        <v>0</v>
      </c>
      <c r="AD168" s="125">
        <f t="shared" ref="AD168:AL168" si="6">(COUNTIF(AD16:AD165,"N")+COUNTIF(AD16:AD165,"I"))/2</f>
        <v>0</v>
      </c>
      <c r="AE168" s="125">
        <f t="shared" si="6"/>
        <v>0</v>
      </c>
      <c r="AF168" s="125">
        <f t="shared" si="6"/>
        <v>0</v>
      </c>
      <c r="AG168" s="125">
        <f t="shared" si="6"/>
        <v>0</v>
      </c>
      <c r="AH168" s="125">
        <f t="shared" si="6"/>
        <v>0</v>
      </c>
      <c r="AI168" s="125">
        <f t="shared" si="6"/>
        <v>0</v>
      </c>
      <c r="AJ168" s="125">
        <f t="shared" si="6"/>
        <v>0</v>
      </c>
      <c r="AK168" s="125">
        <f t="shared" si="6"/>
        <v>0</v>
      </c>
      <c r="AL168" s="125">
        <f t="shared" si="6"/>
        <v>0</v>
      </c>
      <c r="AM168" s="125">
        <f t="shared" ref="AM168:AX168" si="7">(COUNTIF(AM16:AM165,"N")+COUNTIF(AM16:AM165,"I"))/4</f>
        <v>0</v>
      </c>
      <c r="AN168" s="125">
        <f t="shared" si="7"/>
        <v>0</v>
      </c>
      <c r="AO168" s="125">
        <f t="shared" si="7"/>
        <v>0</v>
      </c>
      <c r="AP168" s="125">
        <f t="shared" si="7"/>
        <v>0</v>
      </c>
      <c r="AQ168" s="125">
        <f t="shared" si="7"/>
        <v>0</v>
      </c>
      <c r="AR168" s="125">
        <f t="shared" si="7"/>
        <v>0</v>
      </c>
      <c r="AS168" s="125">
        <f t="shared" si="7"/>
        <v>0</v>
      </c>
      <c r="AT168" s="125">
        <f t="shared" si="7"/>
        <v>0</v>
      </c>
      <c r="AU168" s="125">
        <f t="shared" si="7"/>
        <v>0</v>
      </c>
      <c r="AV168" s="125">
        <f t="shared" si="7"/>
        <v>0</v>
      </c>
      <c r="AW168" s="125">
        <f t="shared" si="7"/>
        <v>0</v>
      </c>
      <c r="AX168" s="125">
        <f t="shared" si="7"/>
        <v>0</v>
      </c>
      <c r="AY168" s="125">
        <f>(COUNTIF(AY16:AY165,"N")+COUNTIF(AY16:AY165,"I"))/2</f>
        <v>0</v>
      </c>
      <c r="AZ168" s="125">
        <f>(COUNTIF(AZ16:AZ165,"N")+COUNTIF(AZ16:AZ165,"I"))/2</f>
        <v>0</v>
      </c>
      <c r="BA168" s="125">
        <f>(COUNTIF(BA16:BA165,"N")+COUNTIF(BA16:BA165,"I"))/2</f>
        <v>0</v>
      </c>
      <c r="BB168" s="125">
        <f>(COUNTIF(BB16:BB165,"N")+COUNTIF(BB16:BB165,"I"))/2</f>
        <v>0</v>
      </c>
      <c r="BC168" s="125">
        <f>(COUNTIF(BC16:BC165,"N")+COUNTIF(BC16:BC165,"I"))/2</f>
        <v>0</v>
      </c>
      <c r="BD168" s="125">
        <f>(COUNTIF(BD16:BD165,"N")+COUNTIF(BD16:BD165,"I"))/4</f>
        <v>0</v>
      </c>
      <c r="BE168" s="125">
        <f>(COUNTIF(BE16:BE165,"N")+COUNTIF(BE16:BE165,"I"))/4</f>
        <v>0</v>
      </c>
      <c r="BF168" s="125">
        <f t="shared" ref="BF168:BR168" si="8">(COUNTIF(BF16:BF165,"N")+COUNTIF(BF16:BF165,"I"))/2</f>
        <v>0</v>
      </c>
      <c r="BG168" s="125">
        <f t="shared" si="8"/>
        <v>0</v>
      </c>
      <c r="BH168" s="125">
        <f t="shared" si="8"/>
        <v>0</v>
      </c>
      <c r="BI168" s="125">
        <f t="shared" si="8"/>
        <v>0</v>
      </c>
      <c r="BJ168" s="125">
        <f t="shared" si="8"/>
        <v>0</v>
      </c>
      <c r="BK168" s="125">
        <f t="shared" si="8"/>
        <v>0</v>
      </c>
      <c r="BL168" s="125">
        <f t="shared" si="8"/>
        <v>0</v>
      </c>
      <c r="BM168" s="125">
        <f t="shared" si="8"/>
        <v>0</v>
      </c>
      <c r="BN168" s="125">
        <f t="shared" si="8"/>
        <v>0</v>
      </c>
      <c r="BO168" s="125">
        <f t="shared" si="8"/>
        <v>0</v>
      </c>
      <c r="BP168" s="125">
        <f t="shared" si="8"/>
        <v>0</v>
      </c>
      <c r="BQ168" s="125">
        <f t="shared" si="8"/>
        <v>0</v>
      </c>
      <c r="BR168" s="125">
        <f t="shared" si="8"/>
        <v>0</v>
      </c>
      <c r="BS168" s="130"/>
    </row>
    <row r="169" spans="1:71" ht="57" customHeight="1" x14ac:dyDescent="0.25">
      <c r="A169" s="427" t="s">
        <v>250</v>
      </c>
      <c r="B169" s="428"/>
      <c r="C169" s="428"/>
      <c r="D169" s="428"/>
      <c r="E169" s="429"/>
      <c r="F169" s="180">
        <f t="shared" ref="F169:AK169" si="9">IFERROR(F2/F167,0)</f>
        <v>0</v>
      </c>
      <c r="G169" s="484">
        <f t="shared" si="9"/>
        <v>0</v>
      </c>
      <c r="H169" s="484">
        <f t="shared" si="9"/>
        <v>0</v>
      </c>
      <c r="I169" s="484">
        <f t="shared" si="9"/>
        <v>0</v>
      </c>
      <c r="J169" s="484">
        <f t="shared" si="9"/>
        <v>0</v>
      </c>
      <c r="K169" s="484">
        <f t="shared" si="9"/>
        <v>0</v>
      </c>
      <c r="L169" s="484">
        <f t="shared" si="9"/>
        <v>0</v>
      </c>
      <c r="M169" s="484">
        <f t="shared" si="9"/>
        <v>0</v>
      </c>
      <c r="N169" s="484">
        <f t="shared" si="9"/>
        <v>0</v>
      </c>
      <c r="O169" s="484">
        <f t="shared" si="9"/>
        <v>0</v>
      </c>
      <c r="P169" s="484">
        <f t="shared" si="9"/>
        <v>0</v>
      </c>
      <c r="Q169" s="484">
        <f t="shared" si="9"/>
        <v>0</v>
      </c>
      <c r="R169" s="484">
        <f t="shared" si="9"/>
        <v>0</v>
      </c>
      <c r="S169" s="484">
        <f t="shared" si="9"/>
        <v>0</v>
      </c>
      <c r="T169" s="484">
        <f t="shared" si="9"/>
        <v>0</v>
      </c>
      <c r="U169" s="484">
        <f t="shared" si="9"/>
        <v>0</v>
      </c>
      <c r="V169" s="484">
        <f t="shared" si="9"/>
        <v>0</v>
      </c>
      <c r="W169" s="484">
        <f t="shared" si="9"/>
        <v>0</v>
      </c>
      <c r="X169" s="484">
        <f t="shared" si="9"/>
        <v>0</v>
      </c>
      <c r="Y169" s="484">
        <f t="shared" si="9"/>
        <v>0</v>
      </c>
      <c r="Z169" s="484">
        <f t="shared" si="9"/>
        <v>0</v>
      </c>
      <c r="AA169" s="484">
        <f t="shared" si="9"/>
        <v>0</v>
      </c>
      <c r="AB169" s="484">
        <f t="shared" si="9"/>
        <v>0</v>
      </c>
      <c r="AC169" s="484">
        <f t="shared" si="9"/>
        <v>0</v>
      </c>
      <c r="AD169" s="484">
        <f t="shared" si="9"/>
        <v>0</v>
      </c>
      <c r="AE169" s="484">
        <f t="shared" si="9"/>
        <v>0</v>
      </c>
      <c r="AF169" s="484">
        <f t="shared" si="9"/>
        <v>0</v>
      </c>
      <c r="AG169" s="484">
        <f t="shared" si="9"/>
        <v>0</v>
      </c>
      <c r="AH169" s="484">
        <f t="shared" si="9"/>
        <v>0</v>
      </c>
      <c r="AI169" s="484">
        <f t="shared" si="9"/>
        <v>0</v>
      </c>
      <c r="AJ169" s="484">
        <f t="shared" si="9"/>
        <v>0</v>
      </c>
      <c r="AK169" s="484">
        <f t="shared" si="9"/>
        <v>0</v>
      </c>
      <c r="AL169" s="484">
        <f t="shared" ref="AL169:BR169" si="10">IFERROR(AL2/AL167,0)</f>
        <v>0</v>
      </c>
      <c r="AM169" s="484">
        <f t="shared" si="10"/>
        <v>0</v>
      </c>
      <c r="AN169" s="484">
        <f t="shared" si="10"/>
        <v>0</v>
      </c>
      <c r="AO169" s="484">
        <f t="shared" si="10"/>
        <v>0</v>
      </c>
      <c r="AP169" s="484">
        <f t="shared" si="10"/>
        <v>0</v>
      </c>
      <c r="AQ169" s="484">
        <f t="shared" si="10"/>
        <v>0</v>
      </c>
      <c r="AR169" s="484">
        <f t="shared" si="10"/>
        <v>0</v>
      </c>
      <c r="AS169" s="484">
        <f t="shared" si="10"/>
        <v>0</v>
      </c>
      <c r="AT169" s="484">
        <f t="shared" si="10"/>
        <v>0</v>
      </c>
      <c r="AU169" s="484">
        <f t="shared" si="10"/>
        <v>0</v>
      </c>
      <c r="AV169" s="484">
        <f t="shared" si="10"/>
        <v>0</v>
      </c>
      <c r="AW169" s="484">
        <f t="shared" si="10"/>
        <v>0</v>
      </c>
      <c r="AX169" s="484">
        <f t="shared" si="10"/>
        <v>0</v>
      </c>
      <c r="AY169" s="484">
        <f t="shared" si="10"/>
        <v>0</v>
      </c>
      <c r="AZ169" s="484">
        <f t="shared" si="10"/>
        <v>0</v>
      </c>
      <c r="BA169" s="484">
        <f t="shared" si="10"/>
        <v>0</v>
      </c>
      <c r="BB169" s="484">
        <f t="shared" si="10"/>
        <v>0</v>
      </c>
      <c r="BC169" s="484">
        <f t="shared" si="10"/>
        <v>0</v>
      </c>
      <c r="BD169" s="484">
        <f t="shared" si="10"/>
        <v>0</v>
      </c>
      <c r="BE169" s="484">
        <f t="shared" si="10"/>
        <v>0</v>
      </c>
      <c r="BF169" s="484">
        <f t="shared" si="10"/>
        <v>0</v>
      </c>
      <c r="BG169" s="180">
        <f t="shared" si="10"/>
        <v>0</v>
      </c>
      <c r="BH169" s="180">
        <f t="shared" si="10"/>
        <v>0</v>
      </c>
      <c r="BI169" s="484">
        <f t="shared" si="10"/>
        <v>0</v>
      </c>
      <c r="BJ169" s="484">
        <f t="shared" si="10"/>
        <v>0</v>
      </c>
      <c r="BK169" s="484">
        <f t="shared" si="10"/>
        <v>0</v>
      </c>
      <c r="BL169" s="484">
        <f t="shared" si="10"/>
        <v>0</v>
      </c>
      <c r="BM169" s="484">
        <f t="shared" si="10"/>
        <v>0</v>
      </c>
      <c r="BN169" s="484">
        <f t="shared" si="10"/>
        <v>0</v>
      </c>
      <c r="BO169" s="484">
        <f t="shared" si="10"/>
        <v>0</v>
      </c>
      <c r="BP169" s="484">
        <f t="shared" si="10"/>
        <v>0</v>
      </c>
      <c r="BQ169" s="484">
        <f t="shared" si="10"/>
        <v>0</v>
      </c>
      <c r="BR169" s="484">
        <f t="shared" si="10"/>
        <v>0</v>
      </c>
      <c r="BS169" s="130"/>
    </row>
    <row r="170" spans="1:71" ht="45" customHeight="1" x14ac:dyDescent="0.25">
      <c r="A170" s="126"/>
      <c r="B170" s="430"/>
      <c r="C170" s="430"/>
      <c r="D170" s="406"/>
      <c r="E170" s="408"/>
      <c r="F170" s="406"/>
      <c r="G170" s="407"/>
      <c r="H170" s="407"/>
      <c r="I170" s="408"/>
      <c r="J170" s="406"/>
      <c r="K170" s="407"/>
      <c r="L170" s="407"/>
      <c r="M170" s="408"/>
      <c r="N170" s="406"/>
      <c r="O170" s="407"/>
      <c r="P170" s="407"/>
      <c r="Q170" s="408"/>
      <c r="R170" s="406"/>
      <c r="S170" s="407"/>
      <c r="T170" s="407"/>
      <c r="U170" s="408"/>
      <c r="V170" s="406"/>
      <c r="W170" s="407"/>
      <c r="X170" s="407"/>
      <c r="Y170" s="408"/>
      <c r="Z170" s="406"/>
      <c r="AA170" s="407"/>
      <c r="AB170" s="408"/>
      <c r="AC170" s="430"/>
      <c r="AD170" s="430"/>
      <c r="AE170" s="430"/>
      <c r="AF170" s="430"/>
      <c r="AG170" s="435"/>
      <c r="AH170" s="436"/>
      <c r="AI170" s="436"/>
      <c r="AJ170" s="436"/>
      <c r="AK170" s="436"/>
      <c r="AL170" s="436"/>
      <c r="AM170" s="437"/>
      <c r="AN170" s="480"/>
      <c r="AO170" s="481"/>
      <c r="AP170" s="481"/>
      <c r="AQ170" s="481"/>
      <c r="AR170" s="481"/>
      <c r="AS170" s="481"/>
      <c r="AT170" s="481"/>
      <c r="AU170" s="481"/>
      <c r="AV170" s="481"/>
      <c r="AW170" s="481"/>
      <c r="AX170" s="481"/>
      <c r="AY170" s="481"/>
      <c r="AZ170" s="481"/>
      <c r="BA170" s="481"/>
      <c r="BB170" s="481"/>
      <c r="BC170" s="481"/>
      <c r="BD170" s="481"/>
      <c r="BE170" s="481"/>
      <c r="BF170" s="481"/>
      <c r="BG170" s="481"/>
      <c r="BH170" s="481"/>
      <c r="BI170" s="481"/>
      <c r="BJ170" s="481"/>
      <c r="BK170" s="481"/>
      <c r="BL170" s="481"/>
      <c r="BM170" s="481"/>
      <c r="BN170" s="481"/>
      <c r="BO170" s="481"/>
      <c r="BP170" s="481"/>
      <c r="BQ170" s="481"/>
      <c r="BR170" s="481"/>
      <c r="BS170" s="130"/>
    </row>
    <row r="171" spans="1:71" ht="45" customHeight="1" thickBot="1" x14ac:dyDescent="0.3">
      <c r="A171" s="127">
        <f>J171/D171</f>
        <v>0</v>
      </c>
      <c r="B171" s="431">
        <f>F171/D171</f>
        <v>0</v>
      </c>
      <c r="C171" s="431"/>
      <c r="D171" s="403">
        <f>SUM(F168:BR168)+12</f>
        <v>17.75</v>
      </c>
      <c r="E171" s="404"/>
      <c r="F171" s="404">
        <f>SUM(F3:BR3)</f>
        <v>0</v>
      </c>
      <c r="G171" s="404"/>
      <c r="H171" s="404"/>
      <c r="I171" s="405"/>
      <c r="J171" s="403">
        <f>SUM(F5:BR5)</f>
        <v>0</v>
      </c>
      <c r="K171" s="404"/>
      <c r="L171" s="404"/>
      <c r="M171" s="405"/>
      <c r="N171" s="403">
        <f>SUM(F7:BR7)</f>
        <v>0</v>
      </c>
      <c r="O171" s="404"/>
      <c r="P171" s="404"/>
      <c r="Q171" s="405"/>
      <c r="R171" s="403">
        <f>SUM(F8:BR8)</f>
        <v>0</v>
      </c>
      <c r="S171" s="404"/>
      <c r="T171" s="404"/>
      <c r="U171" s="405"/>
      <c r="V171" s="403">
        <f>SUM(F9:BR9)</f>
        <v>0</v>
      </c>
      <c r="W171" s="404"/>
      <c r="X171" s="404"/>
      <c r="Y171" s="405"/>
      <c r="Z171" s="403" t="e">
        <f>SUM(F11:BR11)</f>
        <v>#REF!</v>
      </c>
      <c r="AA171" s="404"/>
      <c r="AB171" s="405"/>
      <c r="AC171" s="431" t="e">
        <f>SUM(F12:BR12)</f>
        <v>#REF!</v>
      </c>
      <c r="AD171" s="431"/>
      <c r="AE171" s="431"/>
      <c r="AF171" s="431"/>
      <c r="AG171" s="403" t="e">
        <f>SUM(F13:BR13)</f>
        <v>#REF!</v>
      </c>
      <c r="AH171" s="438"/>
      <c r="AI171" s="438"/>
      <c r="AJ171" s="438"/>
      <c r="AK171" s="438"/>
      <c r="AL171" s="438"/>
      <c r="AM171" s="405"/>
      <c r="AN171" s="482"/>
      <c r="AO171" s="483"/>
      <c r="AP171" s="483"/>
      <c r="AQ171" s="483"/>
      <c r="AR171" s="483"/>
      <c r="AS171" s="483"/>
      <c r="AT171" s="483"/>
      <c r="AU171" s="483"/>
      <c r="AV171" s="483"/>
      <c r="AW171" s="483"/>
      <c r="AX171" s="483"/>
      <c r="AY171" s="483"/>
      <c r="AZ171" s="483"/>
      <c r="BA171" s="483"/>
      <c r="BB171" s="483"/>
      <c r="BC171" s="483"/>
      <c r="BD171" s="483"/>
      <c r="BE171" s="483"/>
      <c r="BF171" s="483"/>
      <c r="BG171" s="483"/>
      <c r="BH171" s="483"/>
      <c r="BI171" s="483"/>
      <c r="BJ171" s="483"/>
      <c r="BK171" s="483"/>
      <c r="BL171" s="483"/>
      <c r="BM171" s="483"/>
      <c r="BN171" s="483"/>
      <c r="BO171" s="483"/>
      <c r="BP171" s="483"/>
      <c r="BQ171" s="483"/>
      <c r="BR171" s="483"/>
      <c r="BS171" s="130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O170:BR171 AM170:AN170 AL171:AN171" name="Intervallo1_5"/>
    <protectedRange sqref="C130:C165 B17:B165 C17:C127 D43:D165 D17:D41" name="Intervallo1"/>
    <protectedRange sqref="AE28:AE35 AL161:BR165 K16:M18 K19:L25 M19:M24 BR22:BR160 AM91:BJ91 BM22:BQ91 BJ22:BL54 BI84:BJ84 M142:M160 BI85:BI90 BJ87:BL90 BJ85:BJ86 BK84:BL85 AD153:AK165 AL153:BQ160 J16:J84 K26:K83 AX92:BK116 AL83:BH90 BI83 AE37:AE54 AL22:BI25 AK108:AK135 T16:BR20 AJ92:AJ137 J85:K160 L26:L160 M26:M78 N16:S54 F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F161:P165" name="Intervallo1_1"/>
    <protectedRange sqref="AL91" name="Intervallo1_2"/>
  </protectedRanges>
  <mergeCells count="202">
    <mergeCell ref="BQ2:BR2"/>
    <mergeCell ref="BQ4:BR4"/>
    <mergeCell ref="BQ6:BR6"/>
    <mergeCell ref="BQ10:BR10"/>
    <mergeCell ref="BQ167:BR167"/>
    <mergeCell ref="AC171:AF171"/>
    <mergeCell ref="AC170:AF170"/>
    <mergeCell ref="BD167:BF167"/>
    <mergeCell ref="BG167:BH167"/>
    <mergeCell ref="BI167:BJ167"/>
    <mergeCell ref="BK167:BL167"/>
    <mergeCell ref="BM167:BN167"/>
    <mergeCell ref="BO167:BP167"/>
    <mergeCell ref="AL167:AN167"/>
    <mergeCell ref="AO167:AR167"/>
    <mergeCell ref="AS167:AV167"/>
    <mergeCell ref="AW167:AY167"/>
    <mergeCell ref="AZ167:BA167"/>
    <mergeCell ref="BB167:BC167"/>
    <mergeCell ref="BO10:BP10"/>
    <mergeCell ref="BG4:BH4"/>
    <mergeCell ref="AH167:AI167"/>
    <mergeCell ref="AJ167:AK167"/>
    <mergeCell ref="BO4:BP4"/>
    <mergeCell ref="B171:C171"/>
    <mergeCell ref="A169:E169"/>
    <mergeCell ref="B170:C170"/>
    <mergeCell ref="G169:J169"/>
    <mergeCell ref="K169:L169"/>
    <mergeCell ref="M169:N169"/>
    <mergeCell ref="O169:P169"/>
    <mergeCell ref="Q169:R169"/>
    <mergeCell ref="S169:U169"/>
    <mergeCell ref="D170:E170"/>
    <mergeCell ref="D171:E171"/>
    <mergeCell ref="J170:M170"/>
    <mergeCell ref="F170:I170"/>
    <mergeCell ref="F171:I171"/>
    <mergeCell ref="J171:M171"/>
    <mergeCell ref="N170:Q170"/>
    <mergeCell ref="N171:Q171"/>
    <mergeCell ref="V167:Y167"/>
    <mergeCell ref="Z167:AC167"/>
    <mergeCell ref="AD167:AE167"/>
    <mergeCell ref="AF167:AG167"/>
    <mergeCell ref="A15:E15"/>
    <mergeCell ref="E16:E22"/>
    <mergeCell ref="E23:E31"/>
    <mergeCell ref="E32:E46"/>
    <mergeCell ref="E47:E53"/>
    <mergeCell ref="E54:E66"/>
    <mergeCell ref="E67:E79"/>
    <mergeCell ref="E80:E86"/>
    <mergeCell ref="E87:E109"/>
    <mergeCell ref="G167:J167"/>
    <mergeCell ref="K167:L167"/>
    <mergeCell ref="M167:N167"/>
    <mergeCell ref="O167:P167"/>
    <mergeCell ref="Q167:R167"/>
    <mergeCell ref="S167:U167"/>
    <mergeCell ref="E110:E154"/>
    <mergeCell ref="E155:E165"/>
    <mergeCell ref="A167:E168"/>
    <mergeCell ref="A166:E166"/>
    <mergeCell ref="A12:E12"/>
    <mergeCell ref="A13:E13"/>
    <mergeCell ref="A14:E14"/>
    <mergeCell ref="BB10:BC10"/>
    <mergeCell ref="BD10:BF10"/>
    <mergeCell ref="BG10:BH10"/>
    <mergeCell ref="BI10:BJ10"/>
    <mergeCell ref="BK10:BL10"/>
    <mergeCell ref="BM10:BN10"/>
    <mergeCell ref="AJ10:AK10"/>
    <mergeCell ref="AL10:AN10"/>
    <mergeCell ref="AD10:AE10"/>
    <mergeCell ref="AF10:AG10"/>
    <mergeCell ref="AH10:AI10"/>
    <mergeCell ref="V12:Y12"/>
    <mergeCell ref="Z12:AC12"/>
    <mergeCell ref="V13:Y13"/>
    <mergeCell ref="Z13:AC13"/>
    <mergeCell ref="AO12:AR12"/>
    <mergeCell ref="AO13:AR13"/>
    <mergeCell ref="AS12:AV12"/>
    <mergeCell ref="AS13:AV13"/>
    <mergeCell ref="K10:L10"/>
    <mergeCell ref="M10:N10"/>
    <mergeCell ref="O10:P10"/>
    <mergeCell ref="Q10:R10"/>
    <mergeCell ref="AZ6:BA6"/>
    <mergeCell ref="AH6:AI6"/>
    <mergeCell ref="AJ6:AK6"/>
    <mergeCell ref="AL6:AN6"/>
    <mergeCell ref="AO6:AR6"/>
    <mergeCell ref="AS6:AV6"/>
    <mergeCell ref="AW6:AY6"/>
    <mergeCell ref="Q6:R6"/>
    <mergeCell ref="S6:U6"/>
    <mergeCell ref="AO10:AR10"/>
    <mergeCell ref="AS10:AV10"/>
    <mergeCell ref="AW10:AY10"/>
    <mergeCell ref="AZ10:BA10"/>
    <mergeCell ref="S10:U10"/>
    <mergeCell ref="V10:Y10"/>
    <mergeCell ref="Z10:AC10"/>
    <mergeCell ref="V6:Y6"/>
    <mergeCell ref="Z6:AC6"/>
    <mergeCell ref="AD6:AE6"/>
    <mergeCell ref="AF6:AG6"/>
    <mergeCell ref="BD4:BF4"/>
    <mergeCell ref="BM6:BN6"/>
    <mergeCell ref="BO6:BP6"/>
    <mergeCell ref="BB6:BC6"/>
    <mergeCell ref="BD6:BF6"/>
    <mergeCell ref="BG6:BH6"/>
    <mergeCell ref="BI6:BJ6"/>
    <mergeCell ref="BK6:BL6"/>
    <mergeCell ref="BI4:BJ4"/>
    <mergeCell ref="BK4:BL4"/>
    <mergeCell ref="BM4:BN4"/>
    <mergeCell ref="AW4:AY4"/>
    <mergeCell ref="AZ4:BA4"/>
    <mergeCell ref="Z4:AC4"/>
    <mergeCell ref="AD4:AE4"/>
    <mergeCell ref="AF4:AG4"/>
    <mergeCell ref="AH4:AI4"/>
    <mergeCell ref="AJ4:AK4"/>
    <mergeCell ref="AL4:AN4"/>
    <mergeCell ref="BB4:BC4"/>
    <mergeCell ref="BM2:BN2"/>
    <mergeCell ref="BO2:BP2"/>
    <mergeCell ref="A4:E5"/>
    <mergeCell ref="G4:J4"/>
    <mergeCell ref="K4:L4"/>
    <mergeCell ref="M4:N4"/>
    <mergeCell ref="O4:P4"/>
    <mergeCell ref="Q4:R4"/>
    <mergeCell ref="S4:U4"/>
    <mergeCell ref="V4:Y4"/>
    <mergeCell ref="AZ2:BA2"/>
    <mergeCell ref="BB2:BC2"/>
    <mergeCell ref="BD2:BF2"/>
    <mergeCell ref="BG2:BH2"/>
    <mergeCell ref="BI2:BJ2"/>
    <mergeCell ref="BK2:BL2"/>
    <mergeCell ref="AH2:AI2"/>
    <mergeCell ref="AJ2:AK2"/>
    <mergeCell ref="AL2:AN2"/>
    <mergeCell ref="AO2:AR2"/>
    <mergeCell ref="AS2:AV2"/>
    <mergeCell ref="AW2:AY2"/>
    <mergeCell ref="Q2:R2"/>
    <mergeCell ref="S2:U2"/>
    <mergeCell ref="AL169:AN169"/>
    <mergeCell ref="AO169:AR169"/>
    <mergeCell ref="AS169:AV169"/>
    <mergeCell ref="V2:Y2"/>
    <mergeCell ref="Z2:AC2"/>
    <mergeCell ref="AD2:AE2"/>
    <mergeCell ref="AF2:AG2"/>
    <mergeCell ref="A1:E1"/>
    <mergeCell ref="A2:E3"/>
    <mergeCell ref="G2:J2"/>
    <mergeCell ref="K2:L2"/>
    <mergeCell ref="M2:N2"/>
    <mergeCell ref="O2:P2"/>
    <mergeCell ref="A6:E7"/>
    <mergeCell ref="G6:J6"/>
    <mergeCell ref="K6:L6"/>
    <mergeCell ref="M6:N6"/>
    <mergeCell ref="O6:P6"/>
    <mergeCell ref="AO4:AR4"/>
    <mergeCell ref="AS4:AV4"/>
    <mergeCell ref="A8:E8"/>
    <mergeCell ref="A9:E9"/>
    <mergeCell ref="A10:E11"/>
    <mergeCell ref="G10:J10"/>
    <mergeCell ref="AG170:AM170"/>
    <mergeCell ref="AG171:AM171"/>
    <mergeCell ref="AN170:BR171"/>
    <mergeCell ref="BQ169:BR169"/>
    <mergeCell ref="Z171:AB171"/>
    <mergeCell ref="Z170:AB170"/>
    <mergeCell ref="V170:Y170"/>
    <mergeCell ref="V171:Y171"/>
    <mergeCell ref="R170:U170"/>
    <mergeCell ref="R171:U171"/>
    <mergeCell ref="BK169:BL169"/>
    <mergeCell ref="BM169:BN169"/>
    <mergeCell ref="BO169:BP169"/>
    <mergeCell ref="AW169:AY169"/>
    <mergeCell ref="AZ169:BA169"/>
    <mergeCell ref="BB169:BC169"/>
    <mergeCell ref="BD169:BF169"/>
    <mergeCell ref="BI169:BJ169"/>
    <mergeCell ref="V169:Y169"/>
    <mergeCell ref="Z169:AC169"/>
    <mergeCell ref="AD169:AE169"/>
    <mergeCell ref="AF169:AG169"/>
    <mergeCell ref="AH169:AI169"/>
    <mergeCell ref="AJ169:AK169"/>
  </mergeCells>
  <conditionalFormatting sqref="A152">
    <cfRule type="cellIs" dxfId="244" priority="32" operator="equal">
      <formula>"F"</formula>
    </cfRule>
    <cfRule type="cellIs" dxfId="243" priority="33" operator="equal">
      <formula>"N"</formula>
    </cfRule>
    <cfRule type="cellIs" dxfId="242" priority="34" operator="equal">
      <formula>"I"</formula>
    </cfRule>
  </conditionalFormatting>
  <conditionalFormatting sqref="A140:A151 A153:A165 A115:A138 A113 A16:A111">
    <cfRule type="duplicateValues" dxfId="241" priority="206"/>
  </conditionalFormatting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240" priority="19" operator="equal">
      <formula>"F"</formula>
    </cfRule>
    <cfRule type="cellIs" dxfId="239" priority="20" operator="equal">
      <formula>"N"</formula>
    </cfRule>
    <cfRule type="cellIs" dxfId="238" priority="21" operator="equal">
      <formula>"I"</formula>
    </cfRule>
  </conditionalFormatting>
  <conditionalFormatting sqref="AE95">
    <cfRule type="cellIs" dxfId="237" priority="16" operator="equal">
      <formula>"F"</formula>
    </cfRule>
    <cfRule type="cellIs" dxfId="236" priority="17" operator="equal">
      <formula>"N"</formula>
    </cfRule>
    <cfRule type="cellIs" dxfId="235" priority="18" operator="equal">
      <formula>"I"</formula>
    </cfRule>
  </conditionalFormatting>
  <conditionalFormatting sqref="AL91">
    <cfRule type="cellIs" dxfId="234" priority="13" operator="equal">
      <formula>"F"</formula>
    </cfRule>
    <cfRule type="cellIs" dxfId="233" priority="14" operator="equal">
      <formula>"N"</formula>
    </cfRule>
    <cfRule type="cellIs" dxfId="232" priority="15" operator="equal">
      <formula>"I"</formula>
    </cfRule>
  </conditionalFormatting>
  <conditionalFormatting sqref="AE134">
    <cfRule type="cellIs" dxfId="231" priority="10" operator="equal">
      <formula>"F"</formula>
    </cfRule>
    <cfRule type="cellIs" dxfId="230" priority="11" operator="equal">
      <formula>"N"</formula>
    </cfRule>
    <cfRule type="cellIs" dxfId="229" priority="12" operator="equal">
      <formula>"I"</formula>
    </cfRule>
  </conditionalFormatting>
  <conditionalFormatting sqref="AF34">
    <cfRule type="cellIs" dxfId="228" priority="7" operator="equal">
      <formula>"F"</formula>
    </cfRule>
    <cfRule type="cellIs" dxfId="227" priority="8" operator="equal">
      <formula>"N"</formula>
    </cfRule>
    <cfRule type="cellIs" dxfId="226" priority="9" operator="equal">
      <formula>"I"</formula>
    </cfRule>
  </conditionalFormatting>
  <conditionalFormatting sqref="AE93">
    <cfRule type="cellIs" dxfId="225" priority="4" operator="equal">
      <formula>"F"</formula>
    </cfRule>
    <cfRule type="cellIs" dxfId="224" priority="5" operator="equal">
      <formula>"N"</formula>
    </cfRule>
    <cfRule type="cellIs" dxfId="223" priority="6" operator="equal">
      <formula>"I"</formula>
    </cfRule>
  </conditionalFormatting>
  <conditionalFormatting sqref="AF99">
    <cfRule type="cellIs" dxfId="222" priority="1" operator="equal">
      <formula>"F"</formula>
    </cfRule>
    <cfRule type="cellIs" dxfId="221" priority="2" operator="equal">
      <formula>"N"</formula>
    </cfRule>
    <cfRule type="cellIs" dxfId="220" priority="3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5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14B44B-B973-41A6-9D86-B1331A72C73C}">
          <x14:formula1>
            <xm:f>TOT!$B$4:$B$11</xm:f>
          </x14:formula1>
          <xm:sqref>A16:A165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neareMER">
    <tabColor rgb="FF00B050"/>
    <pageSetUpPr fitToPage="1"/>
  </sheetPr>
  <dimension ref="A1:BS284"/>
  <sheetViews>
    <sheetView zoomScale="40" zoomScaleNormal="40" zoomScaleSheetLayoutView="18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62">
        <f>LUN!A1+2</f>
        <v>45889</v>
      </c>
      <c r="B1" s="463"/>
      <c r="C1" s="463"/>
      <c r="D1" s="463"/>
      <c r="E1" s="464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65" t="s">
        <v>35</v>
      </c>
      <c r="B2" s="466"/>
      <c r="C2" s="466"/>
      <c r="D2" s="466"/>
      <c r="E2" s="467"/>
      <c r="F2" s="41">
        <f>F3</f>
        <v>0</v>
      </c>
      <c r="G2" s="442">
        <f>SUM(G3:J3)</f>
        <v>0</v>
      </c>
      <c r="H2" s="442"/>
      <c r="I2" s="442"/>
      <c r="J2" s="442"/>
      <c r="K2" s="442">
        <f>SUM(K3:L3)</f>
        <v>0</v>
      </c>
      <c r="L2" s="442"/>
      <c r="M2" s="442">
        <f>SUM(M3:N3)</f>
        <v>0</v>
      </c>
      <c r="N2" s="442"/>
      <c r="O2" s="442">
        <f>SUM(O3:P3)</f>
        <v>0</v>
      </c>
      <c r="P2" s="442"/>
      <c r="Q2" s="442">
        <f>SUM(Q3:R3)</f>
        <v>0</v>
      </c>
      <c r="R2" s="442"/>
      <c r="S2" s="442">
        <f>SUM(S3:U3)</f>
        <v>0</v>
      </c>
      <c r="T2" s="442"/>
      <c r="U2" s="442"/>
      <c r="V2" s="442">
        <f>SUM(V3:Y3)</f>
        <v>0</v>
      </c>
      <c r="W2" s="442"/>
      <c r="X2" s="442"/>
      <c r="Y2" s="442"/>
      <c r="Z2" s="442">
        <f>SUM(Z3:AC3)</f>
        <v>0</v>
      </c>
      <c r="AA2" s="442"/>
      <c r="AB2" s="442"/>
      <c r="AC2" s="442"/>
      <c r="AD2" s="442">
        <f>SUM(AD3:AE3)</f>
        <v>0</v>
      </c>
      <c r="AE2" s="442"/>
      <c r="AF2" s="442">
        <f>SUM(AF3:AG3)</f>
        <v>0</v>
      </c>
      <c r="AG2" s="442"/>
      <c r="AH2" s="442">
        <f>SUM(AH3:AI3)</f>
        <v>0</v>
      </c>
      <c r="AI2" s="442"/>
      <c r="AJ2" s="442">
        <f>SUM(AJ3:AK3)</f>
        <v>0</v>
      </c>
      <c r="AK2" s="442"/>
      <c r="AL2" s="442">
        <f>SUM(AL3:AN3)</f>
        <v>0</v>
      </c>
      <c r="AM2" s="442"/>
      <c r="AN2" s="442"/>
      <c r="AO2" s="442">
        <f>SUM(AO3:AR3)</f>
        <v>0</v>
      </c>
      <c r="AP2" s="442"/>
      <c r="AQ2" s="442"/>
      <c r="AR2" s="442"/>
      <c r="AS2" s="442">
        <f>SUM(AS3:AV3)</f>
        <v>0</v>
      </c>
      <c r="AT2" s="442"/>
      <c r="AU2" s="442"/>
      <c r="AV2" s="442"/>
      <c r="AW2" s="442">
        <f>SUM(AW3:AY3)</f>
        <v>0</v>
      </c>
      <c r="AX2" s="442"/>
      <c r="AY2" s="442"/>
      <c r="AZ2" s="442">
        <f>SUM(AZ3:BA3)</f>
        <v>0</v>
      </c>
      <c r="BA2" s="442"/>
      <c r="BB2" s="442">
        <f>SUM(BB3:BC3)</f>
        <v>0</v>
      </c>
      <c r="BC2" s="442"/>
      <c r="BD2" s="442">
        <f>SUM(BD3:BF3)</f>
        <v>0</v>
      </c>
      <c r="BE2" s="442"/>
      <c r="BF2" s="442"/>
      <c r="BG2" s="442">
        <f>SUM(BG3:BH3)</f>
        <v>0</v>
      </c>
      <c r="BH2" s="442"/>
      <c r="BI2" s="442">
        <f>SUM(BI3:BJ3)</f>
        <v>0</v>
      </c>
      <c r="BJ2" s="442"/>
      <c r="BK2" s="442">
        <f>SUM(BK3:BL3)</f>
        <v>0</v>
      </c>
      <c r="BL2" s="442"/>
      <c r="BM2" s="442">
        <f>SUM(BM3:BN3)</f>
        <v>0</v>
      </c>
      <c r="BN2" s="442"/>
      <c r="BO2" s="442">
        <f>SUM(BO3:BP3)</f>
        <v>0</v>
      </c>
      <c r="BP2" s="442"/>
      <c r="BQ2" s="442">
        <f>BQ3</f>
        <v>0</v>
      </c>
      <c r="BR2" s="442"/>
      <c r="BS2" s="42"/>
    </row>
    <row r="3" spans="1:71" ht="35.1" customHeight="1" x14ac:dyDescent="0.25">
      <c r="A3" s="468"/>
      <c r="B3" s="469"/>
      <c r="C3" s="469"/>
      <c r="D3" s="469"/>
      <c r="E3" s="470"/>
      <c r="F3" s="43">
        <f>Fasce_Tot!O4</f>
        <v>0</v>
      </c>
      <c r="G3" s="43">
        <f>Fasce_Tot!O5</f>
        <v>0</v>
      </c>
      <c r="H3" s="43">
        <f>Fasce_Tot!O6</f>
        <v>0</v>
      </c>
      <c r="I3" s="43">
        <f>Fasce_Tot!O7</f>
        <v>0</v>
      </c>
      <c r="J3" s="43">
        <f>Fasce_Tot!O8</f>
        <v>0</v>
      </c>
      <c r="K3" s="43">
        <f>Fasce_Tot!O9</f>
        <v>0</v>
      </c>
      <c r="L3" s="43">
        <f>Fasce_Tot!O10</f>
        <v>0</v>
      </c>
      <c r="M3" s="43">
        <f>Fasce_Tot!O11</f>
        <v>0</v>
      </c>
      <c r="N3" s="43">
        <f>Fasce_Tot!O12</f>
        <v>0</v>
      </c>
      <c r="O3" s="43">
        <f>Fasce_Tot!O13</f>
        <v>0</v>
      </c>
      <c r="P3" s="43">
        <f>Fasce_Tot!O14</f>
        <v>0</v>
      </c>
      <c r="Q3" s="43">
        <f>Fasce_Tot!O15</f>
        <v>0</v>
      </c>
      <c r="R3" s="43">
        <f>Fasce_Tot!O16</f>
        <v>0</v>
      </c>
      <c r="S3" s="43">
        <f>Fasce_Tot!O17</f>
        <v>0</v>
      </c>
      <c r="T3" s="43">
        <f>Fasce_Tot!O18</f>
        <v>0</v>
      </c>
      <c r="U3" s="43">
        <f>Fasce_Tot!O19</f>
        <v>0</v>
      </c>
      <c r="V3" s="43">
        <f>Fasce_Tot!O20</f>
        <v>0</v>
      </c>
      <c r="W3" s="43">
        <f>Fasce_Tot!O21</f>
        <v>0</v>
      </c>
      <c r="X3" s="43">
        <f>Fasce_Tot!O22</f>
        <v>0</v>
      </c>
      <c r="Y3" s="43">
        <f>Fasce_Tot!O23</f>
        <v>0</v>
      </c>
      <c r="Z3" s="43">
        <f>Fasce_Tot!O24</f>
        <v>0</v>
      </c>
      <c r="AA3" s="43">
        <f>Fasce_Tot!O25</f>
        <v>0</v>
      </c>
      <c r="AB3" s="43">
        <f>Fasce_Tot!O26</f>
        <v>0</v>
      </c>
      <c r="AC3" s="43">
        <f>Fasce_Tot!O27</f>
        <v>0</v>
      </c>
      <c r="AD3" s="43">
        <f>Fasce_Tot!O28</f>
        <v>0</v>
      </c>
      <c r="AE3" s="43">
        <f>Fasce_Tot!O29</f>
        <v>0</v>
      </c>
      <c r="AF3" s="43">
        <f>Fasce_Tot!O30</f>
        <v>0</v>
      </c>
      <c r="AG3" s="43">
        <f>Fasce_Tot!O31</f>
        <v>0</v>
      </c>
      <c r="AH3" s="43">
        <f>Fasce_Tot!O32</f>
        <v>0</v>
      </c>
      <c r="AI3" s="43">
        <f>Fasce_Tot!O33</f>
        <v>0</v>
      </c>
      <c r="AJ3" s="43">
        <f>Fasce_Tot!O34</f>
        <v>0</v>
      </c>
      <c r="AK3" s="43">
        <f>Fasce_Tot!O35</f>
        <v>0</v>
      </c>
      <c r="AL3" s="43">
        <f>Fasce_Tot!O36</f>
        <v>0</v>
      </c>
      <c r="AM3" s="43">
        <f>Fasce_Tot!O37</f>
        <v>0</v>
      </c>
      <c r="AN3" s="43">
        <f>Fasce_Tot!O38</f>
        <v>0</v>
      </c>
      <c r="AO3" s="43">
        <f>Fasce_Tot!O39</f>
        <v>0</v>
      </c>
      <c r="AP3" s="43">
        <f>Fasce_Tot!O40</f>
        <v>0</v>
      </c>
      <c r="AQ3" s="43">
        <f>Fasce_Tot!O41</f>
        <v>0</v>
      </c>
      <c r="AR3" s="43">
        <f>Fasce_Tot!O42</f>
        <v>0</v>
      </c>
      <c r="AS3" s="43">
        <f>Fasce_Tot!O43</f>
        <v>0</v>
      </c>
      <c r="AT3" s="43">
        <f>Fasce_Tot!O44</f>
        <v>0</v>
      </c>
      <c r="AU3" s="43">
        <f>Fasce_Tot!O45</f>
        <v>0</v>
      </c>
      <c r="AV3" s="43">
        <f>Fasce_Tot!O46</f>
        <v>0</v>
      </c>
      <c r="AW3" s="43">
        <f>Fasce_Tot!O47</f>
        <v>0</v>
      </c>
      <c r="AX3" s="43">
        <f>Fasce_Tot!O48</f>
        <v>0</v>
      </c>
      <c r="AY3" s="43">
        <f>Fasce_Tot!O49</f>
        <v>0</v>
      </c>
      <c r="AZ3" s="43">
        <f>Fasce_Tot!O50</f>
        <v>0</v>
      </c>
      <c r="BA3" s="43">
        <f>Fasce_Tot!O51</f>
        <v>0</v>
      </c>
      <c r="BB3" s="43">
        <f>Fasce_Tot!O52</f>
        <v>0</v>
      </c>
      <c r="BC3" s="43">
        <f>Fasce_Tot!O53</f>
        <v>0</v>
      </c>
      <c r="BD3" s="43">
        <f>Fasce_Tot!O54</f>
        <v>0</v>
      </c>
      <c r="BE3" s="43">
        <f>Fasce_Tot!O55</f>
        <v>0</v>
      </c>
      <c r="BF3" s="43">
        <f>Fasce_Tot!O56</f>
        <v>0</v>
      </c>
      <c r="BG3" s="43">
        <f>Fasce_Tot!O57</f>
        <v>0</v>
      </c>
      <c r="BH3" s="43">
        <f>Fasce_Tot!O58</f>
        <v>0</v>
      </c>
      <c r="BI3" s="43">
        <f>Fasce_Tot!O59</f>
        <v>0</v>
      </c>
      <c r="BJ3" s="43">
        <f>Fasce_Tot!O60</f>
        <v>0</v>
      </c>
      <c r="BK3" s="43">
        <f>Fasce_Tot!O61</f>
        <v>0</v>
      </c>
      <c r="BL3" s="43">
        <f>Fasce_Tot!O62</f>
        <v>0</v>
      </c>
      <c r="BM3" s="43">
        <f>Fasce_Tot!O63</f>
        <v>0</v>
      </c>
      <c r="BN3" s="43">
        <f>Fasce_Tot!O64</f>
        <v>0</v>
      </c>
      <c r="BO3" s="43">
        <f>Fasce_Tot!O65</f>
        <v>0</v>
      </c>
      <c r="BP3" s="43">
        <f>Fasce_Tot!O66</f>
        <v>0</v>
      </c>
      <c r="BQ3" s="43">
        <f>SUM(Fasce_Tot!U5:'Fasce_Tot'!U6)</f>
        <v>0</v>
      </c>
      <c r="BR3" s="43">
        <f>SUM(Fasce_Tot!U7:'Fasce_Tot'!U8)</f>
        <v>0</v>
      </c>
      <c r="BS3" s="42"/>
    </row>
    <row r="4" spans="1:71" ht="45" customHeight="1" x14ac:dyDescent="0.25">
      <c r="A4" s="471" t="s">
        <v>299</v>
      </c>
      <c r="B4" s="472"/>
      <c r="C4" s="472"/>
      <c r="D4" s="472"/>
      <c r="E4" s="473"/>
      <c r="F4" s="44">
        <f>F5</f>
        <v>0</v>
      </c>
      <c r="G4" s="443">
        <f>SUM(G5:J5)</f>
        <v>0</v>
      </c>
      <c r="H4" s="444"/>
      <c r="I4" s="444"/>
      <c r="J4" s="445"/>
      <c r="K4" s="446">
        <f>SUM(K5:L5)</f>
        <v>0</v>
      </c>
      <c r="L4" s="446"/>
      <c r="M4" s="446">
        <f>SUM(M5:N5)</f>
        <v>0</v>
      </c>
      <c r="N4" s="446"/>
      <c r="O4" s="446">
        <f>SUM(O5:P5)</f>
        <v>0</v>
      </c>
      <c r="P4" s="446"/>
      <c r="Q4" s="446">
        <f>SUM(Q5:R5)</f>
        <v>0</v>
      </c>
      <c r="R4" s="446"/>
      <c r="S4" s="446">
        <f>SUM(S5:U5)</f>
        <v>0</v>
      </c>
      <c r="T4" s="446"/>
      <c r="U4" s="446"/>
      <c r="V4" s="446">
        <f>SUM(V5:Y5)</f>
        <v>0</v>
      </c>
      <c r="W4" s="446"/>
      <c r="X4" s="446"/>
      <c r="Y4" s="446"/>
      <c r="Z4" s="446">
        <f>SUM(Z5:AC5)</f>
        <v>0</v>
      </c>
      <c r="AA4" s="446"/>
      <c r="AB4" s="446"/>
      <c r="AC4" s="446"/>
      <c r="AD4" s="446">
        <f>SUM(AD5:AE5)</f>
        <v>0</v>
      </c>
      <c r="AE4" s="446"/>
      <c r="AF4" s="446">
        <f>SUM(AF5:AG5)</f>
        <v>0</v>
      </c>
      <c r="AG4" s="446"/>
      <c r="AH4" s="446">
        <f>SUM(AH5:AI5)</f>
        <v>0</v>
      </c>
      <c r="AI4" s="446"/>
      <c r="AJ4" s="446">
        <f>SUM(AJ5:AK5)</f>
        <v>0</v>
      </c>
      <c r="AK4" s="446"/>
      <c r="AL4" s="446">
        <f>SUM(AL5:AN5)</f>
        <v>0</v>
      </c>
      <c r="AM4" s="446"/>
      <c r="AN4" s="446"/>
      <c r="AO4" s="446">
        <f>SUM(AO5:AR5)</f>
        <v>0</v>
      </c>
      <c r="AP4" s="446"/>
      <c r="AQ4" s="446"/>
      <c r="AR4" s="446"/>
      <c r="AS4" s="446">
        <f>SUM(AS5:AV5)</f>
        <v>0</v>
      </c>
      <c r="AT4" s="446"/>
      <c r="AU4" s="446"/>
      <c r="AV4" s="446"/>
      <c r="AW4" s="446">
        <f>SUM(AW5:AY5)</f>
        <v>0</v>
      </c>
      <c r="AX4" s="446"/>
      <c r="AY4" s="446"/>
      <c r="AZ4" s="446">
        <f>SUM(AZ5:BA5)</f>
        <v>0</v>
      </c>
      <c r="BA4" s="446"/>
      <c r="BB4" s="446">
        <f>SUM(BB5:BC5)</f>
        <v>0</v>
      </c>
      <c r="BC4" s="446"/>
      <c r="BD4" s="446">
        <f>SUM(BD5:BF5)</f>
        <v>0</v>
      </c>
      <c r="BE4" s="446"/>
      <c r="BF4" s="446"/>
      <c r="BG4" s="446">
        <f>SUM(BG5:BH5)</f>
        <v>0</v>
      </c>
      <c r="BH4" s="446"/>
      <c r="BI4" s="446">
        <f>SUM(BI5:BJ5)</f>
        <v>0</v>
      </c>
      <c r="BJ4" s="446"/>
      <c r="BK4" s="446">
        <f>SUM(BK5:BL5)</f>
        <v>0</v>
      </c>
      <c r="BL4" s="446"/>
      <c r="BM4" s="446">
        <f>SUM(BM5:BN5)</f>
        <v>0</v>
      </c>
      <c r="BN4" s="446"/>
      <c r="BO4" s="446">
        <f>SUM(BO5:BP5)</f>
        <v>0</v>
      </c>
      <c r="BP4" s="446"/>
      <c r="BQ4" s="446">
        <f>BQ5</f>
        <v>0</v>
      </c>
      <c r="BR4" s="446"/>
      <c r="BS4" s="42"/>
    </row>
    <row r="5" spans="1:71" ht="35.1" customHeight="1" x14ac:dyDescent="0.25">
      <c r="A5" s="474"/>
      <c r="B5" s="475"/>
      <c r="C5" s="475"/>
      <c r="D5" s="475"/>
      <c r="E5" s="476"/>
      <c r="F5" s="45">
        <f>Fasce_Tot!P$4</f>
        <v>0</v>
      </c>
      <c r="G5" s="45">
        <f>Fasce_Tot!P$5</f>
        <v>0</v>
      </c>
      <c r="H5" s="45">
        <f>Fasce_Tot!P$6</f>
        <v>0</v>
      </c>
      <c r="I5" s="45">
        <f>Fasce_Tot!P$7</f>
        <v>0</v>
      </c>
      <c r="J5" s="45">
        <f>Fasce_Tot!P$8</f>
        <v>0</v>
      </c>
      <c r="K5" s="45">
        <f>Fasce_Tot!P$9</f>
        <v>0</v>
      </c>
      <c r="L5" s="45">
        <f>Fasce_Tot!P$10</f>
        <v>0</v>
      </c>
      <c r="M5" s="45">
        <f>Fasce_Tot!P$11</f>
        <v>0</v>
      </c>
      <c r="N5" s="45">
        <f>Fasce_Tot!P$12</f>
        <v>0</v>
      </c>
      <c r="O5" s="45">
        <f>Fasce_Tot!P$13</f>
        <v>0</v>
      </c>
      <c r="P5" s="45">
        <f>Fasce_Tot!P$14</f>
        <v>0</v>
      </c>
      <c r="Q5" s="45">
        <f>Fasce_Tot!P$15</f>
        <v>0</v>
      </c>
      <c r="R5" s="45">
        <f>Fasce_Tot!P$16</f>
        <v>0</v>
      </c>
      <c r="S5" s="45">
        <f>Fasce_Tot!P$17</f>
        <v>0</v>
      </c>
      <c r="T5" s="45">
        <f>Fasce_Tot!P$18</f>
        <v>0</v>
      </c>
      <c r="U5" s="45">
        <f>Fasce_Tot!P$19</f>
        <v>0</v>
      </c>
      <c r="V5" s="45">
        <f>Fasce_Tot!P$20</f>
        <v>0</v>
      </c>
      <c r="W5" s="45">
        <f>Fasce_Tot!P$21</f>
        <v>0</v>
      </c>
      <c r="X5" s="45">
        <f>Fasce_Tot!P$22</f>
        <v>0</v>
      </c>
      <c r="Y5" s="45">
        <f>Fasce_Tot!P$23</f>
        <v>0</v>
      </c>
      <c r="Z5" s="45">
        <f>Fasce_Tot!P$24</f>
        <v>0</v>
      </c>
      <c r="AA5" s="45">
        <f>Fasce_Tot!P$25</f>
        <v>0</v>
      </c>
      <c r="AB5" s="45">
        <f>Fasce_Tot!P$26</f>
        <v>0</v>
      </c>
      <c r="AC5" s="45">
        <f>Fasce_Tot!P$27</f>
        <v>0</v>
      </c>
      <c r="AD5" s="45">
        <f>Fasce_Tot!P$28</f>
        <v>0</v>
      </c>
      <c r="AE5" s="45">
        <f>Fasce_Tot!P$29</f>
        <v>0</v>
      </c>
      <c r="AF5" s="45">
        <f>Fasce_Tot!P$30</f>
        <v>0</v>
      </c>
      <c r="AG5" s="45">
        <f>Fasce_Tot!P$31</f>
        <v>0</v>
      </c>
      <c r="AH5" s="45">
        <f>Fasce_Tot!P$32</f>
        <v>0</v>
      </c>
      <c r="AI5" s="45">
        <f>Fasce_Tot!P$33</f>
        <v>0</v>
      </c>
      <c r="AJ5" s="45">
        <f>Fasce_Tot!P$34</f>
        <v>0</v>
      </c>
      <c r="AK5" s="45">
        <f>Fasce_Tot!P$35</f>
        <v>0</v>
      </c>
      <c r="AL5" s="45">
        <f>Fasce_Tot!P$36</f>
        <v>0</v>
      </c>
      <c r="AM5" s="45">
        <f>Fasce_Tot!P$37</f>
        <v>0</v>
      </c>
      <c r="AN5" s="45">
        <f>Fasce_Tot!P$38</f>
        <v>0</v>
      </c>
      <c r="AO5" s="45">
        <f>Fasce_Tot!P$39</f>
        <v>0</v>
      </c>
      <c r="AP5" s="45">
        <f>Fasce_Tot!P$40</f>
        <v>0</v>
      </c>
      <c r="AQ5" s="45">
        <f>Fasce_Tot!P$41</f>
        <v>0</v>
      </c>
      <c r="AR5" s="45">
        <f>Fasce_Tot!P$42</f>
        <v>0</v>
      </c>
      <c r="AS5" s="45">
        <f>Fasce_Tot!P$43</f>
        <v>0</v>
      </c>
      <c r="AT5" s="45">
        <f>Fasce_Tot!P$44</f>
        <v>0</v>
      </c>
      <c r="AU5" s="45">
        <f>Fasce_Tot!P$45</f>
        <v>0</v>
      </c>
      <c r="AV5" s="45">
        <f>Fasce_Tot!P$46</f>
        <v>0</v>
      </c>
      <c r="AW5" s="45">
        <f>Fasce_Tot!P$47</f>
        <v>0</v>
      </c>
      <c r="AX5" s="45">
        <f>Fasce_Tot!P$48</f>
        <v>0</v>
      </c>
      <c r="AY5" s="45">
        <f>Fasce_Tot!P$49</f>
        <v>0</v>
      </c>
      <c r="AZ5" s="45">
        <f>Fasce_Tot!P$50</f>
        <v>0</v>
      </c>
      <c r="BA5" s="45">
        <f>Fasce_Tot!P$51</f>
        <v>0</v>
      </c>
      <c r="BB5" s="45">
        <f>Fasce_Tot!P$52</f>
        <v>0</v>
      </c>
      <c r="BC5" s="45">
        <f>Fasce_Tot!P$53</f>
        <v>0</v>
      </c>
      <c r="BD5" s="45">
        <f>Fasce_Tot!P$54</f>
        <v>0</v>
      </c>
      <c r="BE5" s="45">
        <f>Fasce_Tot!P$55</f>
        <v>0</v>
      </c>
      <c r="BF5" s="45">
        <f>Fasce_Tot!P$56</f>
        <v>0</v>
      </c>
      <c r="BG5" s="45">
        <f>Fasce_Tot!P$57</f>
        <v>0</v>
      </c>
      <c r="BH5" s="45">
        <f>Fasce_Tot!P$58</f>
        <v>0</v>
      </c>
      <c r="BI5" s="45">
        <f>Fasce_Tot!P$59</f>
        <v>0</v>
      </c>
      <c r="BJ5" s="45">
        <f>Fasce_Tot!P$60</f>
        <v>0</v>
      </c>
      <c r="BK5" s="45">
        <f>Fasce_Tot!P$61</f>
        <v>0</v>
      </c>
      <c r="BL5" s="45">
        <f>Fasce_Tot!P$62</f>
        <v>0</v>
      </c>
      <c r="BM5" s="45">
        <f>Fasce_Tot!P$63</f>
        <v>0</v>
      </c>
      <c r="BN5" s="45">
        <f>Fasce_Tot!P$64</f>
        <v>0</v>
      </c>
      <c r="BO5" s="45">
        <f>Fasce_Tot!P$65</f>
        <v>0</v>
      </c>
      <c r="BP5" s="45">
        <f>Fasce_Tot!P$66</f>
        <v>0</v>
      </c>
      <c r="BQ5" s="45">
        <f>SUM(Fasce_Tot!V5:'Fasce_Tot'!V6)</f>
        <v>0</v>
      </c>
      <c r="BR5" s="45">
        <f>SUM(Fasce_Tot!V7:'Fasce_Tot'!V8)</f>
        <v>0</v>
      </c>
      <c r="BS5" s="42"/>
    </row>
    <row r="6" spans="1:71" ht="45" customHeight="1" x14ac:dyDescent="0.25">
      <c r="A6" s="465" t="s">
        <v>308</v>
      </c>
      <c r="B6" s="466"/>
      <c r="C6" s="466"/>
      <c r="D6" s="466"/>
      <c r="E6" s="467"/>
      <c r="F6" s="41">
        <f>F7</f>
        <v>0</v>
      </c>
      <c r="G6" s="459">
        <f>SUM(G7:J7)</f>
        <v>0</v>
      </c>
      <c r="H6" s="460"/>
      <c r="I6" s="460"/>
      <c r="J6" s="461"/>
      <c r="K6" s="442">
        <f>SUM(K7:L7)</f>
        <v>0</v>
      </c>
      <c r="L6" s="442"/>
      <c r="M6" s="442">
        <f>SUM(M7:N7)</f>
        <v>0</v>
      </c>
      <c r="N6" s="442"/>
      <c r="O6" s="442">
        <f>SUM(O7:P7)</f>
        <v>0</v>
      </c>
      <c r="P6" s="442"/>
      <c r="Q6" s="442">
        <f>SUM(Q7:R7)</f>
        <v>0</v>
      </c>
      <c r="R6" s="442"/>
      <c r="S6" s="442">
        <f>SUM(S7:U7)</f>
        <v>0</v>
      </c>
      <c r="T6" s="442"/>
      <c r="U6" s="442"/>
      <c r="V6" s="442">
        <f>SUM(V7:Y7)</f>
        <v>0</v>
      </c>
      <c r="W6" s="442"/>
      <c r="X6" s="442"/>
      <c r="Y6" s="442"/>
      <c r="Z6" s="442">
        <f>SUM(Z7:AC7)</f>
        <v>0</v>
      </c>
      <c r="AA6" s="442"/>
      <c r="AB6" s="442"/>
      <c r="AC6" s="442"/>
      <c r="AD6" s="442">
        <f>SUM(AD7:AE7)</f>
        <v>0</v>
      </c>
      <c r="AE6" s="442"/>
      <c r="AF6" s="442">
        <f>SUM(AF7:AG7)</f>
        <v>0</v>
      </c>
      <c r="AG6" s="442"/>
      <c r="AH6" s="442">
        <f>SUM(AH7:AI7)</f>
        <v>0</v>
      </c>
      <c r="AI6" s="442"/>
      <c r="AJ6" s="442">
        <f>SUM(AJ7:AK7)</f>
        <v>0</v>
      </c>
      <c r="AK6" s="442"/>
      <c r="AL6" s="442">
        <f>SUM(AL7:AN7)</f>
        <v>0</v>
      </c>
      <c r="AM6" s="442"/>
      <c r="AN6" s="442"/>
      <c r="AO6" s="442">
        <f>SUM(AO7:AR7)</f>
        <v>0</v>
      </c>
      <c r="AP6" s="442"/>
      <c r="AQ6" s="442"/>
      <c r="AR6" s="442"/>
      <c r="AS6" s="442">
        <f>SUM(AS7:AV7)</f>
        <v>0</v>
      </c>
      <c r="AT6" s="442"/>
      <c r="AU6" s="442"/>
      <c r="AV6" s="442"/>
      <c r="AW6" s="442">
        <f>SUM(AW7:AY7)</f>
        <v>0</v>
      </c>
      <c r="AX6" s="442"/>
      <c r="AY6" s="442"/>
      <c r="AZ6" s="442">
        <f>SUM(AZ7:BA7)</f>
        <v>0</v>
      </c>
      <c r="BA6" s="442"/>
      <c r="BB6" s="442">
        <f>SUM(BB7:BC7)</f>
        <v>0</v>
      </c>
      <c r="BC6" s="442"/>
      <c r="BD6" s="442">
        <f>SUM(BD7:BF7)</f>
        <v>0</v>
      </c>
      <c r="BE6" s="442"/>
      <c r="BF6" s="442"/>
      <c r="BG6" s="442">
        <f>SUM(BG7:BH7)</f>
        <v>0</v>
      </c>
      <c r="BH6" s="442"/>
      <c r="BI6" s="442">
        <f>SUM(BI7:BJ7)</f>
        <v>0</v>
      </c>
      <c r="BJ6" s="442"/>
      <c r="BK6" s="442">
        <f>SUM(BK7:BL7)</f>
        <v>0</v>
      </c>
      <c r="BL6" s="442"/>
      <c r="BM6" s="442">
        <f>SUM(BM7:BN7)</f>
        <v>0</v>
      </c>
      <c r="BN6" s="442"/>
      <c r="BO6" s="442">
        <f>SUM(BO7:BP7)</f>
        <v>0</v>
      </c>
      <c r="BP6" s="442"/>
      <c r="BQ6" s="442">
        <f>BQ7</f>
        <v>0</v>
      </c>
      <c r="BR6" s="442"/>
      <c r="BS6" s="42"/>
    </row>
    <row r="7" spans="1:71" ht="35.1" customHeight="1" x14ac:dyDescent="0.25">
      <c r="A7" s="468"/>
      <c r="B7" s="469"/>
      <c r="C7" s="469"/>
      <c r="D7" s="469"/>
      <c r="E7" s="470"/>
      <c r="F7" s="43">
        <f>IF((F5-F8-F9)&lt;0,0,F5-F8-F9)</f>
        <v>0</v>
      </c>
      <c r="G7" s="43">
        <f t="shared" ref="G7:BR7" si="0">IF((G5-G8-G9)&lt;0,0,G5-G8-G9)</f>
        <v>0</v>
      </c>
      <c r="H7" s="43">
        <f t="shared" si="0"/>
        <v>0</v>
      </c>
      <c r="I7" s="43">
        <f t="shared" si="0"/>
        <v>0</v>
      </c>
      <c r="J7" s="43">
        <f t="shared" si="0"/>
        <v>0</v>
      </c>
      <c r="K7" s="43">
        <f t="shared" si="0"/>
        <v>0</v>
      </c>
      <c r="L7" s="43">
        <f t="shared" si="0"/>
        <v>0</v>
      </c>
      <c r="M7" s="43">
        <f t="shared" si="0"/>
        <v>0</v>
      </c>
      <c r="N7" s="43">
        <f t="shared" si="0"/>
        <v>0</v>
      </c>
      <c r="O7" s="43">
        <f t="shared" si="0"/>
        <v>0</v>
      </c>
      <c r="P7" s="43">
        <f t="shared" si="0"/>
        <v>0</v>
      </c>
      <c r="Q7" s="43">
        <f t="shared" si="0"/>
        <v>0</v>
      </c>
      <c r="R7" s="43">
        <f t="shared" si="0"/>
        <v>0</v>
      </c>
      <c r="S7" s="43">
        <f t="shared" si="0"/>
        <v>0</v>
      </c>
      <c r="T7" s="43">
        <f t="shared" si="0"/>
        <v>0</v>
      </c>
      <c r="U7" s="43">
        <f t="shared" si="0"/>
        <v>0</v>
      </c>
      <c r="V7" s="43">
        <f t="shared" si="0"/>
        <v>0</v>
      </c>
      <c r="W7" s="43">
        <f t="shared" si="0"/>
        <v>0</v>
      </c>
      <c r="X7" s="43">
        <f t="shared" si="0"/>
        <v>0</v>
      </c>
      <c r="Y7" s="43">
        <f t="shared" si="0"/>
        <v>0</v>
      </c>
      <c r="Z7" s="43">
        <f t="shared" si="0"/>
        <v>0</v>
      </c>
      <c r="AA7" s="43">
        <f t="shared" si="0"/>
        <v>0</v>
      </c>
      <c r="AB7" s="43">
        <f t="shared" si="0"/>
        <v>0</v>
      </c>
      <c r="AC7" s="43">
        <f t="shared" si="0"/>
        <v>0</v>
      </c>
      <c r="AD7" s="43">
        <f t="shared" si="0"/>
        <v>0</v>
      </c>
      <c r="AE7" s="43">
        <f t="shared" si="0"/>
        <v>0</v>
      </c>
      <c r="AF7" s="43">
        <f t="shared" si="0"/>
        <v>0</v>
      </c>
      <c r="AG7" s="43">
        <f t="shared" si="0"/>
        <v>0</v>
      </c>
      <c r="AH7" s="43">
        <f t="shared" si="0"/>
        <v>0</v>
      </c>
      <c r="AI7" s="43">
        <f t="shared" si="0"/>
        <v>0</v>
      </c>
      <c r="AJ7" s="43">
        <f t="shared" si="0"/>
        <v>0</v>
      </c>
      <c r="AK7" s="43">
        <f t="shared" si="0"/>
        <v>0</v>
      </c>
      <c r="AL7" s="43">
        <f t="shared" si="0"/>
        <v>0</v>
      </c>
      <c r="AM7" s="43">
        <f t="shared" si="0"/>
        <v>0</v>
      </c>
      <c r="AN7" s="43">
        <f t="shared" si="0"/>
        <v>0</v>
      </c>
      <c r="AO7" s="43">
        <f t="shared" si="0"/>
        <v>0</v>
      </c>
      <c r="AP7" s="43">
        <f t="shared" si="0"/>
        <v>0</v>
      </c>
      <c r="AQ7" s="43">
        <f t="shared" si="0"/>
        <v>0</v>
      </c>
      <c r="AR7" s="43">
        <f t="shared" si="0"/>
        <v>0</v>
      </c>
      <c r="AS7" s="43">
        <f t="shared" si="0"/>
        <v>0</v>
      </c>
      <c r="AT7" s="43">
        <f t="shared" si="0"/>
        <v>0</v>
      </c>
      <c r="AU7" s="43">
        <f t="shared" si="0"/>
        <v>0</v>
      </c>
      <c r="AV7" s="43">
        <f t="shared" si="0"/>
        <v>0</v>
      </c>
      <c r="AW7" s="43">
        <f t="shared" si="0"/>
        <v>0</v>
      </c>
      <c r="AX7" s="43">
        <f t="shared" si="0"/>
        <v>0</v>
      </c>
      <c r="AY7" s="43">
        <f t="shared" si="0"/>
        <v>0</v>
      </c>
      <c r="AZ7" s="43">
        <f t="shared" si="0"/>
        <v>0</v>
      </c>
      <c r="BA7" s="43">
        <f t="shared" si="0"/>
        <v>0</v>
      </c>
      <c r="BB7" s="43">
        <f t="shared" si="0"/>
        <v>0</v>
      </c>
      <c r="BC7" s="43">
        <f t="shared" si="0"/>
        <v>0</v>
      </c>
      <c r="BD7" s="43">
        <f t="shared" si="0"/>
        <v>0</v>
      </c>
      <c r="BE7" s="43">
        <f t="shared" si="0"/>
        <v>0</v>
      </c>
      <c r="BF7" s="43">
        <f t="shared" si="0"/>
        <v>0</v>
      </c>
      <c r="BG7" s="43">
        <f t="shared" si="0"/>
        <v>0</v>
      </c>
      <c r="BH7" s="43">
        <f t="shared" si="0"/>
        <v>0</v>
      </c>
      <c r="BI7" s="43">
        <f t="shared" si="0"/>
        <v>0</v>
      </c>
      <c r="BJ7" s="43">
        <f t="shared" si="0"/>
        <v>0</v>
      </c>
      <c r="BK7" s="43">
        <f t="shared" si="0"/>
        <v>0</v>
      </c>
      <c r="BL7" s="43">
        <f t="shared" si="0"/>
        <v>0</v>
      </c>
      <c r="BM7" s="43">
        <f t="shared" si="0"/>
        <v>0</v>
      </c>
      <c r="BN7" s="43">
        <f t="shared" si="0"/>
        <v>0</v>
      </c>
      <c r="BO7" s="43">
        <f t="shared" si="0"/>
        <v>0</v>
      </c>
      <c r="BP7" s="43">
        <f t="shared" si="0"/>
        <v>0</v>
      </c>
      <c r="BQ7" s="43">
        <f t="shared" si="0"/>
        <v>0</v>
      </c>
      <c r="BR7" s="43">
        <f t="shared" si="0"/>
        <v>0</v>
      </c>
      <c r="BS7" s="42"/>
    </row>
    <row r="8" spans="1:71" ht="39.950000000000003" customHeight="1" x14ac:dyDescent="0.25">
      <c r="A8" s="456" t="s">
        <v>300</v>
      </c>
      <c r="B8" s="457"/>
      <c r="C8" s="457"/>
      <c r="D8" s="457"/>
      <c r="E8" s="458"/>
      <c r="F8" s="45">
        <f>Fasce_Tot!Q$4</f>
        <v>0</v>
      </c>
      <c r="G8" s="45">
        <f>Fasce_Tot!Q$5</f>
        <v>0</v>
      </c>
      <c r="H8" s="45">
        <f>Fasce_Tot!Q$6</f>
        <v>0</v>
      </c>
      <c r="I8" s="45">
        <f>Fasce_Tot!Q$7</f>
        <v>0</v>
      </c>
      <c r="J8" s="45">
        <f>Fasce_Tot!Q$8</f>
        <v>0</v>
      </c>
      <c r="K8" s="45">
        <f>Fasce_Tot!Q$9</f>
        <v>0</v>
      </c>
      <c r="L8" s="45">
        <f>Fasce_Tot!Q$10</f>
        <v>0</v>
      </c>
      <c r="M8" s="45">
        <f>Fasce_Tot!Q$11</f>
        <v>0</v>
      </c>
      <c r="N8" s="45">
        <f>Fasce_Tot!Q$12</f>
        <v>0</v>
      </c>
      <c r="O8" s="45">
        <f>Fasce_Tot!Q$13</f>
        <v>0</v>
      </c>
      <c r="P8" s="45">
        <f>Fasce_Tot!Q$14</f>
        <v>0</v>
      </c>
      <c r="Q8" s="45">
        <f>Fasce_Tot!Q$15</f>
        <v>0</v>
      </c>
      <c r="R8" s="45">
        <f>Fasce_Tot!Q$16</f>
        <v>0</v>
      </c>
      <c r="S8" s="45">
        <f>Fasce_Tot!Q$17</f>
        <v>0</v>
      </c>
      <c r="T8" s="45">
        <f>Fasce_Tot!Q$18</f>
        <v>0</v>
      </c>
      <c r="U8" s="45">
        <f>Fasce_Tot!Q$19</f>
        <v>0</v>
      </c>
      <c r="V8" s="45">
        <f>Fasce_Tot!Q$20</f>
        <v>0</v>
      </c>
      <c r="W8" s="45">
        <f>Fasce_Tot!Q$21</f>
        <v>0</v>
      </c>
      <c r="X8" s="45">
        <f>Fasce_Tot!Q$22</f>
        <v>0</v>
      </c>
      <c r="Y8" s="45">
        <f>Fasce_Tot!Q$23</f>
        <v>0</v>
      </c>
      <c r="Z8" s="45">
        <f>Fasce_Tot!Q$24</f>
        <v>0</v>
      </c>
      <c r="AA8" s="45">
        <f>Fasce_Tot!Q$25</f>
        <v>0</v>
      </c>
      <c r="AB8" s="45">
        <f>Fasce_Tot!Q$26</f>
        <v>0</v>
      </c>
      <c r="AC8" s="45">
        <f>Fasce_Tot!Q$27</f>
        <v>0</v>
      </c>
      <c r="AD8" s="45">
        <f>Fasce_Tot!Q$28</f>
        <v>0</v>
      </c>
      <c r="AE8" s="45">
        <f>Fasce_Tot!Q$29</f>
        <v>0</v>
      </c>
      <c r="AF8" s="45">
        <f>Fasce_Tot!Q$30</f>
        <v>0</v>
      </c>
      <c r="AG8" s="45">
        <f>Fasce_Tot!Q$31</f>
        <v>0</v>
      </c>
      <c r="AH8" s="45">
        <f>Fasce_Tot!Q$32</f>
        <v>0</v>
      </c>
      <c r="AI8" s="45">
        <f>Fasce_Tot!Q$33</f>
        <v>0</v>
      </c>
      <c r="AJ8" s="45">
        <f>Fasce_Tot!Q$34</f>
        <v>0</v>
      </c>
      <c r="AK8" s="45">
        <f>Fasce_Tot!Q$35</f>
        <v>0</v>
      </c>
      <c r="AL8" s="45">
        <f>Fasce_Tot!Q$36</f>
        <v>0</v>
      </c>
      <c r="AM8" s="45">
        <f>Fasce_Tot!Q$37</f>
        <v>0</v>
      </c>
      <c r="AN8" s="45">
        <f>Fasce_Tot!Q$38</f>
        <v>0</v>
      </c>
      <c r="AO8" s="45">
        <f>Fasce_Tot!Q$39</f>
        <v>0</v>
      </c>
      <c r="AP8" s="45">
        <f>Fasce_Tot!Q$40</f>
        <v>0</v>
      </c>
      <c r="AQ8" s="45">
        <f>Fasce_Tot!Q$41</f>
        <v>0</v>
      </c>
      <c r="AR8" s="45">
        <f>Fasce_Tot!Q$42</f>
        <v>0</v>
      </c>
      <c r="AS8" s="45">
        <f>Fasce_Tot!Q$43</f>
        <v>0</v>
      </c>
      <c r="AT8" s="45">
        <f>Fasce_Tot!Q$44</f>
        <v>0</v>
      </c>
      <c r="AU8" s="45">
        <f>Fasce_Tot!Q$45</f>
        <v>0</v>
      </c>
      <c r="AV8" s="45">
        <f>Fasce_Tot!Q$46</f>
        <v>0</v>
      </c>
      <c r="AW8" s="45">
        <f>Fasce_Tot!Q$47</f>
        <v>0</v>
      </c>
      <c r="AX8" s="45">
        <f>Fasce_Tot!Q$48</f>
        <v>0</v>
      </c>
      <c r="AY8" s="45">
        <f>Fasce_Tot!Q$49</f>
        <v>0</v>
      </c>
      <c r="AZ8" s="45">
        <f>Fasce_Tot!Q$50</f>
        <v>0</v>
      </c>
      <c r="BA8" s="45">
        <f>Fasce_Tot!Q$51</f>
        <v>0</v>
      </c>
      <c r="BB8" s="45">
        <f>Fasce_Tot!Q$52</f>
        <v>0</v>
      </c>
      <c r="BC8" s="45">
        <f>Fasce_Tot!Q$53</f>
        <v>0</v>
      </c>
      <c r="BD8" s="45">
        <f>Fasce_Tot!Q$54</f>
        <v>0</v>
      </c>
      <c r="BE8" s="45">
        <f>Fasce_Tot!Q$55</f>
        <v>0</v>
      </c>
      <c r="BF8" s="45">
        <f>Fasce_Tot!Q$56</f>
        <v>0</v>
      </c>
      <c r="BG8" s="45">
        <f>Fasce_Tot!Q$57</f>
        <v>0</v>
      </c>
      <c r="BH8" s="45">
        <f>Fasce_Tot!Q$58</f>
        <v>0</v>
      </c>
      <c r="BI8" s="45">
        <f>Fasce_Tot!Q$59</f>
        <v>0</v>
      </c>
      <c r="BJ8" s="45">
        <f>Fasce_Tot!Q$60</f>
        <v>0</v>
      </c>
      <c r="BK8" s="45">
        <f>Fasce_Tot!Q$61</f>
        <v>0</v>
      </c>
      <c r="BL8" s="45">
        <f>Fasce_Tot!Q$62</f>
        <v>0</v>
      </c>
      <c r="BM8" s="45">
        <f>Fasce_Tot!Q$63</f>
        <v>0</v>
      </c>
      <c r="BN8" s="45">
        <f>Fasce_Tot!Q$64</f>
        <v>0</v>
      </c>
      <c r="BO8" s="45">
        <f>Fasce_Tot!Q$65</f>
        <v>0</v>
      </c>
      <c r="BP8" s="45">
        <f>Fasce_Tot!Q$66</f>
        <v>0</v>
      </c>
      <c r="BQ8" s="45">
        <f>SUM(Fasce_Tot!W5:'Fasce_Tot'!W6)</f>
        <v>0</v>
      </c>
      <c r="BR8" s="45">
        <f>SUM(Fasce_Tot!W7:'Fasce_Tot'!W8)</f>
        <v>0</v>
      </c>
      <c r="BS8" s="42"/>
    </row>
    <row r="9" spans="1:71" ht="39.950000000000003" customHeight="1" x14ac:dyDescent="0.25">
      <c r="A9" s="477" t="s">
        <v>301</v>
      </c>
      <c r="B9" s="478"/>
      <c r="C9" s="478"/>
      <c r="D9" s="478"/>
      <c r="E9" s="479"/>
      <c r="F9" s="43">
        <f>Fasce_Tot!R$4</f>
        <v>0</v>
      </c>
      <c r="G9" s="43">
        <f>Fasce_Tot!R$5</f>
        <v>0</v>
      </c>
      <c r="H9" s="43">
        <f>Fasce_Tot!R$6</f>
        <v>0</v>
      </c>
      <c r="I9" s="43">
        <f>Fasce_Tot!R$7</f>
        <v>0</v>
      </c>
      <c r="J9" s="43">
        <f>Fasce_Tot!R$8</f>
        <v>0</v>
      </c>
      <c r="K9" s="43">
        <f>Fasce_Tot!R$9</f>
        <v>0</v>
      </c>
      <c r="L9" s="43">
        <f>Fasce_Tot!R$10</f>
        <v>0</v>
      </c>
      <c r="M9" s="43">
        <f>Fasce_Tot!R$11</f>
        <v>0</v>
      </c>
      <c r="N9" s="43">
        <f>Fasce_Tot!R$12</f>
        <v>0</v>
      </c>
      <c r="O9" s="43">
        <f>Fasce_Tot!R$13</f>
        <v>0</v>
      </c>
      <c r="P9" s="43">
        <f>Fasce_Tot!R$14</f>
        <v>0</v>
      </c>
      <c r="Q9" s="43">
        <f>Fasce_Tot!R$15</f>
        <v>0</v>
      </c>
      <c r="R9" s="43">
        <f>Fasce_Tot!R$16</f>
        <v>0</v>
      </c>
      <c r="S9" s="43">
        <f>Fasce_Tot!R$17</f>
        <v>0</v>
      </c>
      <c r="T9" s="43">
        <f>Fasce_Tot!R$18</f>
        <v>0</v>
      </c>
      <c r="U9" s="43">
        <f>Fasce_Tot!R$19</f>
        <v>0</v>
      </c>
      <c r="V9" s="43">
        <f>Fasce_Tot!R$20</f>
        <v>0</v>
      </c>
      <c r="W9" s="43">
        <f>Fasce_Tot!R$21</f>
        <v>0</v>
      </c>
      <c r="X9" s="43">
        <f>Fasce_Tot!R$22</f>
        <v>0</v>
      </c>
      <c r="Y9" s="43">
        <f>Fasce_Tot!R$23</f>
        <v>0</v>
      </c>
      <c r="Z9" s="43">
        <f>Fasce_Tot!R$24</f>
        <v>0</v>
      </c>
      <c r="AA9" s="43">
        <f>Fasce_Tot!R$25</f>
        <v>0</v>
      </c>
      <c r="AB9" s="43">
        <f>Fasce_Tot!R$26</f>
        <v>0</v>
      </c>
      <c r="AC9" s="43">
        <f>Fasce_Tot!R$27</f>
        <v>0</v>
      </c>
      <c r="AD9" s="43">
        <f>Fasce_Tot!R$28</f>
        <v>0</v>
      </c>
      <c r="AE9" s="43">
        <f>Fasce_Tot!R$29</f>
        <v>0</v>
      </c>
      <c r="AF9" s="43">
        <f>Fasce_Tot!R$30</f>
        <v>0</v>
      </c>
      <c r="AG9" s="43">
        <f>Fasce_Tot!R$31</f>
        <v>0</v>
      </c>
      <c r="AH9" s="43">
        <f>Fasce_Tot!R$32</f>
        <v>0</v>
      </c>
      <c r="AI9" s="43">
        <f>Fasce_Tot!R$33</f>
        <v>0</v>
      </c>
      <c r="AJ9" s="43">
        <f>Fasce_Tot!R$34</f>
        <v>0</v>
      </c>
      <c r="AK9" s="43">
        <f>Fasce_Tot!R$35</f>
        <v>0</v>
      </c>
      <c r="AL9" s="43">
        <f>Fasce_Tot!R$36</f>
        <v>0</v>
      </c>
      <c r="AM9" s="43">
        <f>Fasce_Tot!R$37</f>
        <v>0</v>
      </c>
      <c r="AN9" s="43">
        <f>Fasce_Tot!R$38</f>
        <v>0</v>
      </c>
      <c r="AO9" s="43">
        <f>Fasce_Tot!R$39</f>
        <v>0</v>
      </c>
      <c r="AP9" s="43">
        <f>Fasce_Tot!R$40</f>
        <v>0</v>
      </c>
      <c r="AQ9" s="43">
        <f>Fasce_Tot!R$41</f>
        <v>0</v>
      </c>
      <c r="AR9" s="43">
        <f>Fasce_Tot!R$42</f>
        <v>0</v>
      </c>
      <c r="AS9" s="43">
        <f>Fasce_Tot!R$43</f>
        <v>0</v>
      </c>
      <c r="AT9" s="43">
        <f>Fasce_Tot!R$44</f>
        <v>0</v>
      </c>
      <c r="AU9" s="43">
        <f>Fasce_Tot!R$45</f>
        <v>0</v>
      </c>
      <c r="AV9" s="43">
        <f>Fasce_Tot!R$46</f>
        <v>0</v>
      </c>
      <c r="AW9" s="43">
        <f>Fasce_Tot!R$47</f>
        <v>0</v>
      </c>
      <c r="AX9" s="43">
        <f>Fasce_Tot!R$48</f>
        <v>0</v>
      </c>
      <c r="AY9" s="43">
        <f>Fasce_Tot!R$49</f>
        <v>0</v>
      </c>
      <c r="AZ9" s="43">
        <f>Fasce_Tot!R$50</f>
        <v>0</v>
      </c>
      <c r="BA9" s="43">
        <f>Fasce_Tot!R$51</f>
        <v>0</v>
      </c>
      <c r="BB9" s="43">
        <f>Fasce_Tot!R$52</f>
        <v>0</v>
      </c>
      <c r="BC9" s="43">
        <f>Fasce_Tot!R$53</f>
        <v>0</v>
      </c>
      <c r="BD9" s="43">
        <f>Fasce_Tot!R$54</f>
        <v>0</v>
      </c>
      <c r="BE9" s="43">
        <f>Fasce_Tot!R$55</f>
        <v>0</v>
      </c>
      <c r="BF9" s="43">
        <f>Fasce_Tot!R$56</f>
        <v>0</v>
      </c>
      <c r="BG9" s="43">
        <f>Fasce_Tot!F$57</f>
        <v>0</v>
      </c>
      <c r="BH9" s="43">
        <f>Fasce_Tot!R$58</f>
        <v>0</v>
      </c>
      <c r="BI9" s="43">
        <f>Fasce_Tot!R$59</f>
        <v>0</v>
      </c>
      <c r="BJ9" s="43">
        <f>Fasce_Tot!R$60</f>
        <v>0</v>
      </c>
      <c r="BK9" s="43">
        <f>Fasce_Tot!R$61</f>
        <v>0</v>
      </c>
      <c r="BL9" s="43">
        <f>Fasce_Tot!R$62</f>
        <v>0</v>
      </c>
      <c r="BM9" s="43">
        <f>Fasce_Tot!R$63</f>
        <v>0</v>
      </c>
      <c r="BN9" s="43">
        <f>Fasce_Tot!R$64</f>
        <v>0</v>
      </c>
      <c r="BO9" s="43">
        <f>Fasce_Tot!R$65</f>
        <v>0</v>
      </c>
      <c r="BP9" s="43">
        <f>Fasce_Tot!R$66</f>
        <v>0</v>
      </c>
      <c r="BQ9" s="43">
        <f>SUM(Fasce_Tot!X5:'Fasce_Tot'!X6)</f>
        <v>0</v>
      </c>
      <c r="BR9" s="43">
        <f>SUM(Fasce_Tot!X7:'Fasce_Tot'!X8)</f>
        <v>0</v>
      </c>
      <c r="BS9" s="42"/>
    </row>
    <row r="10" spans="1:71" ht="45" customHeight="1" x14ac:dyDescent="0.25">
      <c r="A10" s="447" t="s">
        <v>302</v>
      </c>
      <c r="B10" s="448"/>
      <c r="C10" s="448"/>
      <c r="D10" s="448"/>
      <c r="E10" s="449"/>
      <c r="F10" s="44" t="e">
        <f>F11</f>
        <v>#REF!</v>
      </c>
      <c r="G10" s="443" t="e">
        <f>SUM(G11:J11)</f>
        <v>#REF!</v>
      </c>
      <c r="H10" s="444"/>
      <c r="I10" s="444"/>
      <c r="J10" s="445"/>
      <c r="K10" s="446" t="e">
        <f>SUM(K11:L11)</f>
        <v>#REF!</v>
      </c>
      <c r="L10" s="446"/>
      <c r="M10" s="446" t="e">
        <f>SUM(M11:N11)</f>
        <v>#REF!</v>
      </c>
      <c r="N10" s="446"/>
      <c r="O10" s="446" t="e">
        <f>SUM(O11:P11)</f>
        <v>#REF!</v>
      </c>
      <c r="P10" s="446"/>
      <c r="Q10" s="446" t="e">
        <f>SUM(Q11:R11)</f>
        <v>#REF!</v>
      </c>
      <c r="R10" s="446"/>
      <c r="S10" s="446" t="e">
        <f>SUM(S11:U11)</f>
        <v>#REF!</v>
      </c>
      <c r="T10" s="446"/>
      <c r="U10" s="446"/>
      <c r="V10" s="446" t="e">
        <f>SUM(V11:Y11)</f>
        <v>#REF!</v>
      </c>
      <c r="W10" s="446"/>
      <c r="X10" s="446"/>
      <c r="Y10" s="446"/>
      <c r="Z10" s="446" t="e">
        <f>SUM(Z11:AC11)</f>
        <v>#REF!</v>
      </c>
      <c r="AA10" s="446"/>
      <c r="AB10" s="446"/>
      <c r="AC10" s="446"/>
      <c r="AD10" s="446" t="e">
        <f>SUM(AD11:AE11)</f>
        <v>#REF!</v>
      </c>
      <c r="AE10" s="446"/>
      <c r="AF10" s="446" t="e">
        <f>SUM(AF11:AG11)</f>
        <v>#REF!</v>
      </c>
      <c r="AG10" s="446"/>
      <c r="AH10" s="446" t="e">
        <f>SUM(AH11:AI11)</f>
        <v>#REF!</v>
      </c>
      <c r="AI10" s="446"/>
      <c r="AJ10" s="446" t="e">
        <f>SUM(AJ11:AK11)</f>
        <v>#REF!</v>
      </c>
      <c r="AK10" s="446"/>
      <c r="AL10" s="446" t="e">
        <f>SUM(AL11:AN11)</f>
        <v>#REF!</v>
      </c>
      <c r="AM10" s="446"/>
      <c r="AN10" s="446"/>
      <c r="AO10" s="446" t="e">
        <f>SUM(AO11:AR11)</f>
        <v>#REF!</v>
      </c>
      <c r="AP10" s="446"/>
      <c r="AQ10" s="446"/>
      <c r="AR10" s="446"/>
      <c r="AS10" s="446" t="e">
        <f>SUM(AS11:AV11)</f>
        <v>#REF!</v>
      </c>
      <c r="AT10" s="446"/>
      <c r="AU10" s="446"/>
      <c r="AV10" s="446"/>
      <c r="AW10" s="446" t="e">
        <f>SUM(AW11:AY11)</f>
        <v>#REF!</v>
      </c>
      <c r="AX10" s="446"/>
      <c r="AY10" s="446"/>
      <c r="AZ10" s="446" t="e">
        <f>SUM(AZ11:BA11)</f>
        <v>#REF!</v>
      </c>
      <c r="BA10" s="446"/>
      <c r="BB10" s="446" t="e">
        <f>SUM(BB11:BC11)</f>
        <v>#REF!</v>
      </c>
      <c r="BC10" s="446"/>
      <c r="BD10" s="446" t="e">
        <f>SUM(BD11:BF11)</f>
        <v>#REF!</v>
      </c>
      <c r="BE10" s="446"/>
      <c r="BF10" s="446"/>
      <c r="BG10" s="446" t="e">
        <f>SUM(BG11:BH11)</f>
        <v>#REF!</v>
      </c>
      <c r="BH10" s="446"/>
      <c r="BI10" s="446" t="e">
        <f>SUM(BI11:BJ11)</f>
        <v>#REF!</v>
      </c>
      <c r="BJ10" s="446"/>
      <c r="BK10" s="446" t="e">
        <f>SUM(BK11:BL11)</f>
        <v>#REF!</v>
      </c>
      <c r="BL10" s="446"/>
      <c r="BM10" s="446" t="e">
        <f>SUM(BM11:BN11)</f>
        <v>#REF!</v>
      </c>
      <c r="BN10" s="446"/>
      <c r="BO10" s="446" t="e">
        <f>SUM(BO11:BP11)</f>
        <v>#REF!</v>
      </c>
      <c r="BP10" s="446"/>
      <c r="BQ10" s="446" t="e">
        <f>BQ11</f>
        <v>#REF!</v>
      </c>
      <c r="BR10" s="446"/>
      <c r="BS10" s="42"/>
    </row>
    <row r="11" spans="1:71" ht="35.1" customHeight="1" x14ac:dyDescent="0.25">
      <c r="A11" s="450"/>
      <c r="B11" s="451"/>
      <c r="C11" s="451"/>
      <c r="D11" s="451"/>
      <c r="E11" s="45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53" t="s">
        <v>36</v>
      </c>
      <c r="B12" s="454"/>
      <c r="C12" s="454"/>
      <c r="D12" s="454"/>
      <c r="E12" s="45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18" t="e">
        <f>V$4*Percentuali!$M$10</f>
        <v>#REF!</v>
      </c>
      <c r="W12" s="419"/>
      <c r="X12" s="419"/>
      <c r="Y12" s="420"/>
      <c r="Z12" s="418" t="e">
        <f>Z$4*Percentuali!$M$11</f>
        <v>#REF!</v>
      </c>
      <c r="AA12" s="419"/>
      <c r="AB12" s="419"/>
      <c r="AC12" s="420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18" t="e">
        <f>AO$4*Percentuali!$M$17</f>
        <v>#REF!</v>
      </c>
      <c r="AP12" s="419"/>
      <c r="AQ12" s="419"/>
      <c r="AR12" s="420"/>
      <c r="AS12" s="418" t="e">
        <f>AS$4*Percentuali!$M$18</f>
        <v>#REF!</v>
      </c>
      <c r="AT12" s="419"/>
      <c r="AU12" s="419"/>
      <c r="AV12" s="420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56" t="s">
        <v>183</v>
      </c>
      <c r="B13" s="457"/>
      <c r="C13" s="457"/>
      <c r="D13" s="457"/>
      <c r="E13" s="458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15" t="e">
        <f>V$4*Percentuali!$N$10</f>
        <v>#REF!</v>
      </c>
      <c r="W13" s="416"/>
      <c r="X13" s="416"/>
      <c r="Y13" s="417"/>
      <c r="Z13" s="415" t="e">
        <f>Z$4*Percentuali!$N$11</f>
        <v>#REF!</v>
      </c>
      <c r="AA13" s="416"/>
      <c r="AB13" s="416"/>
      <c r="AC13" s="417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15" t="e">
        <f>AO$4*Percentuali!$N$17</f>
        <v>#REF!</v>
      </c>
      <c r="AP13" s="416"/>
      <c r="AQ13" s="416"/>
      <c r="AR13" s="417"/>
      <c r="AS13" s="415" t="e">
        <f>AS$4*Percentuali!$N$18</f>
        <v>#REF!</v>
      </c>
      <c r="AT13" s="416"/>
      <c r="AU13" s="416"/>
      <c r="AV13" s="417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53" t="s">
        <v>304</v>
      </c>
      <c r="B14" s="454"/>
      <c r="C14" s="454"/>
      <c r="D14" s="454"/>
      <c r="E14" s="45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53" t="s">
        <v>303</v>
      </c>
      <c r="B15" s="454"/>
      <c r="C15" s="454"/>
      <c r="D15" s="454"/>
      <c r="E15" s="45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154"/>
      <c r="B16" s="52"/>
      <c r="C16" s="52"/>
      <c r="D16" s="53"/>
      <c r="E16" s="440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130"/>
    </row>
    <row r="17" spans="1:71" ht="24.95" customHeight="1" x14ac:dyDescent="0.55000000000000004">
      <c r="A17" s="60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85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130"/>
    </row>
    <row r="18" spans="1:71" ht="32.1" customHeight="1" x14ac:dyDescent="0.55000000000000004">
      <c r="A18" s="51"/>
      <c r="B18" s="52"/>
      <c r="C18" s="66"/>
      <c r="D18" s="66"/>
      <c r="E18" s="485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130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85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130"/>
    </row>
    <row r="20" spans="1:71" ht="32.1" customHeight="1" x14ac:dyDescent="0.55000000000000004">
      <c r="A20" s="51"/>
      <c r="B20" s="52"/>
      <c r="C20" s="66"/>
      <c r="D20" s="66"/>
      <c r="E20" s="485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130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85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130"/>
    </row>
    <row r="22" spans="1:71" ht="32.1" customHeight="1" thickBot="1" x14ac:dyDescent="0.6">
      <c r="A22" s="68"/>
      <c r="B22" s="69"/>
      <c r="C22" s="70"/>
      <c r="D22" s="70"/>
      <c r="E22" s="486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130"/>
    </row>
    <row r="23" spans="1:71" ht="32.1" customHeight="1" x14ac:dyDescent="0.55000000000000004">
      <c r="A23" s="158"/>
      <c r="B23" s="72"/>
      <c r="C23" s="73"/>
      <c r="D23" s="73"/>
      <c r="E23" s="487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130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85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130"/>
    </row>
    <row r="25" spans="1:71" ht="32.1" customHeight="1" x14ac:dyDescent="0.55000000000000004">
      <c r="A25" s="51"/>
      <c r="B25" s="52"/>
      <c r="C25" s="66"/>
      <c r="D25" s="66"/>
      <c r="E25" s="485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130"/>
    </row>
    <row r="26" spans="1:71" ht="24.95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85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130"/>
    </row>
    <row r="27" spans="1:71" ht="32.1" customHeight="1" x14ac:dyDescent="0.55000000000000004">
      <c r="A27" s="51"/>
      <c r="B27" s="52"/>
      <c r="C27" s="66"/>
      <c r="D27" s="66"/>
      <c r="E27" s="485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130"/>
    </row>
    <row r="28" spans="1:71" ht="24.95" customHeight="1" x14ac:dyDescent="0.55000000000000004">
      <c r="A28" s="60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85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130"/>
    </row>
    <row r="29" spans="1:71" ht="32.1" customHeight="1" x14ac:dyDescent="0.55000000000000004">
      <c r="A29" s="51"/>
      <c r="B29" s="52"/>
      <c r="C29" s="66"/>
      <c r="D29" s="66"/>
      <c r="E29" s="485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130"/>
    </row>
    <row r="30" spans="1:71" ht="24.95" customHeight="1" x14ac:dyDescent="0.55000000000000004">
      <c r="A30" s="268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85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130"/>
    </row>
    <row r="31" spans="1:71" ht="32.1" customHeight="1" thickBot="1" x14ac:dyDescent="0.6">
      <c r="A31" s="98"/>
      <c r="B31" s="99"/>
      <c r="C31" s="100"/>
      <c r="D31" s="100"/>
      <c r="E31" s="486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30"/>
    </row>
    <row r="32" spans="1:71" ht="32.1" customHeight="1" x14ac:dyDescent="0.55000000000000004">
      <c r="A32" s="103"/>
      <c r="B32" s="104"/>
      <c r="C32" s="105"/>
      <c r="D32" s="105"/>
      <c r="E32" s="487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130"/>
    </row>
    <row r="33" spans="1:71" ht="24.95" customHeight="1" x14ac:dyDescent="0.55000000000000004">
      <c r="A33" s="268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85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130"/>
    </row>
    <row r="34" spans="1:71" ht="32.1" customHeight="1" x14ac:dyDescent="0.55000000000000004">
      <c r="A34" s="51"/>
      <c r="B34" s="52"/>
      <c r="C34" s="66"/>
      <c r="D34" s="66"/>
      <c r="E34" s="485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130"/>
    </row>
    <row r="35" spans="1:71" ht="24.95" customHeight="1" x14ac:dyDescent="0.55000000000000004">
      <c r="A35" s="268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85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130"/>
    </row>
    <row r="36" spans="1:71" ht="32.1" customHeight="1" x14ac:dyDescent="0.55000000000000004">
      <c r="A36" s="51"/>
      <c r="B36" s="52"/>
      <c r="C36" s="66"/>
      <c r="D36" s="66"/>
      <c r="E36" s="485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130"/>
    </row>
    <row r="37" spans="1:71" ht="24.95" customHeight="1" x14ac:dyDescent="0.55000000000000004">
      <c r="A37" s="268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85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130"/>
    </row>
    <row r="38" spans="1:71" ht="32.1" customHeight="1" x14ac:dyDescent="0.55000000000000004">
      <c r="A38" s="51"/>
      <c r="B38" s="52"/>
      <c r="C38" s="66"/>
      <c r="D38" s="66"/>
      <c r="E38" s="485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130"/>
    </row>
    <row r="39" spans="1:71" ht="24.95" customHeight="1" x14ac:dyDescent="0.55000000000000004">
      <c r="A39" s="169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85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130"/>
    </row>
    <row r="40" spans="1:71" ht="32.1" customHeight="1" x14ac:dyDescent="0.55000000000000004">
      <c r="B40" s="52"/>
      <c r="C40" s="66"/>
      <c r="E40" s="485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130"/>
    </row>
    <row r="41" spans="1:71" ht="24.95" customHeight="1" x14ac:dyDescent="0.55000000000000004">
      <c r="A41" s="268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85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130"/>
    </row>
    <row r="42" spans="1:71" ht="32.1" customHeight="1" x14ac:dyDescent="0.55000000000000004">
      <c r="A42" s="51"/>
      <c r="B42" s="52"/>
      <c r="C42" s="66"/>
      <c r="D42" s="66"/>
      <c r="E42" s="485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130"/>
    </row>
    <row r="43" spans="1:71" ht="24.95" customHeight="1" x14ac:dyDescent="0.55000000000000004">
      <c r="A43" s="268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85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130"/>
    </row>
    <row r="44" spans="1:71" ht="32.1" customHeight="1" x14ac:dyDescent="0.55000000000000004">
      <c r="A44" s="51"/>
      <c r="B44" s="52"/>
      <c r="C44" s="66"/>
      <c r="D44" s="66"/>
      <c r="E44" s="485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130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85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130"/>
    </row>
    <row r="46" spans="1:71" ht="32.1" customHeight="1" thickBot="1" x14ac:dyDescent="0.6">
      <c r="A46" s="159"/>
      <c r="B46" s="69"/>
      <c r="C46" s="70"/>
      <c r="D46" s="70"/>
      <c r="E46" s="486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130"/>
    </row>
    <row r="47" spans="1:71" ht="32.1" customHeight="1" x14ac:dyDescent="0.55000000000000004">
      <c r="A47" s="71"/>
      <c r="B47" s="72"/>
      <c r="C47" s="73"/>
      <c r="D47" s="73"/>
      <c r="E47" s="487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130"/>
    </row>
    <row r="48" spans="1:71" ht="24.6" customHeight="1" x14ac:dyDescent="0.55000000000000004">
      <c r="A48" s="268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85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130"/>
    </row>
    <row r="49" spans="1:71" ht="32.1" customHeight="1" x14ac:dyDescent="0.55000000000000004">
      <c r="A49" s="51"/>
      <c r="B49" s="52"/>
      <c r="C49" s="66"/>
      <c r="D49" s="66"/>
      <c r="E49" s="485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130"/>
    </row>
    <row r="50" spans="1:71" ht="24.95" customHeight="1" x14ac:dyDescent="0.55000000000000004">
      <c r="A50" s="60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85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130"/>
    </row>
    <row r="51" spans="1:71" ht="32.1" customHeight="1" x14ac:dyDescent="0.55000000000000004">
      <c r="A51" s="51"/>
      <c r="B51" s="52"/>
      <c r="C51" s="66"/>
      <c r="D51" s="66"/>
      <c r="E51" s="485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130"/>
    </row>
    <row r="52" spans="1:71" ht="24.95" customHeight="1" x14ac:dyDescent="0.55000000000000004">
      <c r="A52" s="268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85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130"/>
    </row>
    <row r="53" spans="1:71" ht="32.1" customHeight="1" thickBot="1" x14ac:dyDescent="0.6">
      <c r="A53" s="98"/>
      <c r="B53" s="99"/>
      <c r="C53" s="100"/>
      <c r="D53" s="100"/>
      <c r="E53" s="486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30"/>
    </row>
    <row r="54" spans="1:71" ht="32.1" customHeight="1" x14ac:dyDescent="0.55000000000000004">
      <c r="A54" s="103"/>
      <c r="B54" s="104"/>
      <c r="C54" s="105"/>
      <c r="D54" s="105"/>
      <c r="E54" s="487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130"/>
    </row>
    <row r="55" spans="1:71" ht="24.95" customHeight="1" x14ac:dyDescent="0.55000000000000004">
      <c r="A55" s="60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85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130"/>
    </row>
    <row r="56" spans="1:71" ht="32.1" customHeight="1" x14ac:dyDescent="0.55000000000000004">
      <c r="A56" s="51"/>
      <c r="B56" s="52"/>
      <c r="C56" s="66"/>
      <c r="D56" s="66"/>
      <c r="E56" s="485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130"/>
    </row>
    <row r="57" spans="1:71" ht="24.95" customHeight="1" x14ac:dyDescent="0.55000000000000004">
      <c r="A57" s="60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85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130"/>
    </row>
    <row r="58" spans="1:71" ht="32.1" customHeight="1" x14ac:dyDescent="0.55000000000000004">
      <c r="A58" s="51"/>
      <c r="B58" s="52"/>
      <c r="C58" s="66"/>
      <c r="D58" s="66"/>
      <c r="E58" s="485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130"/>
    </row>
    <row r="59" spans="1:71" ht="24.95" customHeight="1" x14ac:dyDescent="0.55000000000000004">
      <c r="A59" s="60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85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130"/>
    </row>
    <row r="60" spans="1:71" ht="32.1" customHeight="1" x14ac:dyDescent="0.55000000000000004">
      <c r="A60" s="51"/>
      <c r="B60" s="52"/>
      <c r="C60" s="66"/>
      <c r="D60" s="66"/>
      <c r="E60" s="485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130"/>
    </row>
    <row r="61" spans="1:71" ht="24.95" customHeight="1" x14ac:dyDescent="0.55000000000000004">
      <c r="A61" s="268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85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130"/>
    </row>
    <row r="62" spans="1:71" ht="32.1" customHeight="1" x14ac:dyDescent="0.55000000000000004">
      <c r="A62" s="51"/>
      <c r="B62" s="52"/>
      <c r="C62" s="66"/>
      <c r="D62" s="66"/>
      <c r="E62" s="485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130"/>
    </row>
    <row r="63" spans="1:71" ht="24.95" customHeight="1" x14ac:dyDescent="0.55000000000000004">
      <c r="A63" s="268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85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130"/>
    </row>
    <row r="64" spans="1:71" ht="32.1" customHeight="1" x14ac:dyDescent="0.55000000000000004">
      <c r="A64" s="51"/>
      <c r="B64" s="52"/>
      <c r="C64" s="66"/>
      <c r="D64" s="66"/>
      <c r="E64" s="485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130"/>
    </row>
    <row r="65" spans="1:71" ht="24.95" customHeight="1" x14ac:dyDescent="0.55000000000000004">
      <c r="A65" s="268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85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130"/>
    </row>
    <row r="66" spans="1:71" ht="32.1" customHeight="1" thickBot="1" x14ac:dyDescent="0.6">
      <c r="A66" s="68"/>
      <c r="B66" s="69"/>
      <c r="C66" s="70"/>
      <c r="D66" s="70"/>
      <c r="E66" s="486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130"/>
    </row>
    <row r="67" spans="1:71" ht="32.1" customHeight="1" x14ac:dyDescent="0.55000000000000004">
      <c r="A67" s="71"/>
      <c r="B67" s="72"/>
      <c r="C67" s="73"/>
      <c r="D67" s="73"/>
      <c r="E67" s="487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130"/>
    </row>
    <row r="68" spans="1:71" ht="24.95" customHeight="1" x14ac:dyDescent="0.55000000000000004">
      <c r="A68" s="268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85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130"/>
    </row>
    <row r="69" spans="1:71" ht="32.1" customHeight="1" x14ac:dyDescent="0.55000000000000004">
      <c r="A69" s="51"/>
      <c r="B69" s="52"/>
      <c r="C69" s="66"/>
      <c r="D69" s="66"/>
      <c r="E69" s="485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130"/>
    </row>
    <row r="70" spans="1:71" ht="24.95" customHeight="1" x14ac:dyDescent="0.55000000000000004">
      <c r="A70" s="60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85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130"/>
    </row>
    <row r="71" spans="1:71" ht="32.1" customHeight="1" x14ac:dyDescent="0.55000000000000004">
      <c r="A71" s="51"/>
      <c r="B71" s="52"/>
      <c r="C71" s="66"/>
      <c r="D71" s="66"/>
      <c r="E71" s="485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130"/>
    </row>
    <row r="72" spans="1:71" ht="24.95" customHeight="1" x14ac:dyDescent="0.55000000000000004">
      <c r="A72" s="60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85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130"/>
    </row>
    <row r="73" spans="1:71" ht="31.9" customHeight="1" x14ac:dyDescent="0.55000000000000004">
      <c r="A73" s="51"/>
      <c r="B73" s="52"/>
      <c r="C73" s="66"/>
      <c r="D73" s="66"/>
      <c r="E73" s="485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130"/>
    </row>
    <row r="74" spans="1:71" ht="24.6" customHeight="1" x14ac:dyDescent="0.55000000000000004">
      <c r="A74" s="60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85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130"/>
    </row>
    <row r="75" spans="1:71" ht="32.1" customHeight="1" x14ac:dyDescent="0.55000000000000004">
      <c r="A75" s="51"/>
      <c r="B75" s="52"/>
      <c r="C75" s="66"/>
      <c r="D75" s="66"/>
      <c r="E75" s="485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130"/>
    </row>
    <row r="76" spans="1:71" ht="24.95" customHeight="1" x14ac:dyDescent="0.55000000000000004">
      <c r="A76" s="268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85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130"/>
    </row>
    <row r="77" spans="1:71" ht="32.1" customHeight="1" x14ac:dyDescent="0.55000000000000004">
      <c r="A77" s="51"/>
      <c r="B77" s="52"/>
      <c r="C77" s="66"/>
      <c r="D77" s="66"/>
      <c r="E77" s="485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130"/>
    </row>
    <row r="78" spans="1:71" ht="24.95" customHeight="1" x14ac:dyDescent="0.55000000000000004">
      <c r="A78" s="60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85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130"/>
    </row>
    <row r="79" spans="1:71" ht="31.9" customHeight="1" thickBot="1" x14ac:dyDescent="0.6">
      <c r="A79" s="98"/>
      <c r="B79" s="99"/>
      <c r="C79" s="100"/>
      <c r="D79" s="100"/>
      <c r="E79" s="486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130"/>
    </row>
    <row r="80" spans="1:71" ht="32.1" customHeight="1" x14ac:dyDescent="0.55000000000000004">
      <c r="A80" s="103"/>
      <c r="B80" s="104"/>
      <c r="C80" s="105"/>
      <c r="D80" s="105"/>
      <c r="E80" s="487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130"/>
    </row>
    <row r="81" spans="1:71" ht="24.95" customHeight="1" x14ac:dyDescent="0.55000000000000004">
      <c r="A81" s="60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85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130"/>
    </row>
    <row r="82" spans="1:71" ht="32.1" customHeight="1" x14ac:dyDescent="0.55000000000000004">
      <c r="A82" s="51"/>
      <c r="B82" s="52"/>
      <c r="C82" s="66"/>
      <c r="D82" s="66"/>
      <c r="E82" s="485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130"/>
    </row>
    <row r="83" spans="1:71" ht="24.95" customHeight="1" x14ac:dyDescent="0.55000000000000004">
      <c r="A83" s="60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85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130"/>
    </row>
    <row r="84" spans="1:71" ht="32.1" customHeight="1" x14ac:dyDescent="0.55000000000000004">
      <c r="A84" s="51"/>
      <c r="B84" s="52"/>
      <c r="C84" s="66"/>
      <c r="D84" s="66"/>
      <c r="E84" s="485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130"/>
    </row>
    <row r="85" spans="1:71" ht="24.95" customHeight="1" x14ac:dyDescent="0.55000000000000004">
      <c r="A85" s="60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85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130"/>
    </row>
    <row r="86" spans="1:71" ht="32.1" customHeight="1" thickBot="1" x14ac:dyDescent="0.6">
      <c r="A86" s="68"/>
      <c r="B86" s="69"/>
      <c r="C86" s="70"/>
      <c r="D86" s="70"/>
      <c r="E86" s="486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130"/>
    </row>
    <row r="87" spans="1:71" ht="32.1" customHeight="1" x14ac:dyDescent="0.55000000000000004">
      <c r="A87" s="71"/>
      <c r="B87" s="72"/>
      <c r="C87" s="73"/>
      <c r="D87" s="73"/>
      <c r="E87" s="487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130"/>
    </row>
    <row r="88" spans="1:71" ht="24.95" customHeight="1" x14ac:dyDescent="0.55000000000000004">
      <c r="A88" s="60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85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130"/>
    </row>
    <row r="89" spans="1:71" ht="32.1" customHeight="1" x14ac:dyDescent="0.55000000000000004">
      <c r="A89" s="51"/>
      <c r="B89" s="52"/>
      <c r="C89" s="66"/>
      <c r="D89" s="66"/>
      <c r="E89" s="485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130"/>
    </row>
    <row r="90" spans="1:71" ht="24.95" customHeight="1" x14ac:dyDescent="0.55000000000000004">
      <c r="A90" s="60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85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130"/>
    </row>
    <row r="91" spans="1:71" ht="32.1" customHeight="1" x14ac:dyDescent="0.55000000000000004">
      <c r="A91" s="51"/>
      <c r="B91" s="52"/>
      <c r="C91" s="66"/>
      <c r="D91" s="66"/>
      <c r="E91" s="485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130"/>
    </row>
    <row r="92" spans="1:71" ht="24.95" customHeight="1" x14ac:dyDescent="0.55000000000000004">
      <c r="A92" s="60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85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130"/>
    </row>
    <row r="93" spans="1:71" s="117" customFormat="1" ht="32.1" customHeight="1" x14ac:dyDescent="0.55000000000000004">
      <c r="A93" s="51"/>
      <c r="B93" s="52"/>
      <c r="C93" s="66"/>
      <c r="D93" s="66"/>
      <c r="E93" s="485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52"/>
    </row>
    <row r="94" spans="1:71" ht="24.95" customHeight="1" x14ac:dyDescent="0.55000000000000004">
      <c r="A94" s="60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85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130"/>
    </row>
    <row r="95" spans="1:71" s="117" customFormat="1" ht="32.1" customHeight="1" x14ac:dyDescent="0.55000000000000004">
      <c r="A95" s="51"/>
      <c r="B95" s="52"/>
      <c r="C95" s="66"/>
      <c r="D95" s="66"/>
      <c r="E95" s="485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52"/>
    </row>
    <row r="96" spans="1:71" ht="24.95" customHeight="1" x14ac:dyDescent="0.55000000000000004">
      <c r="A96" s="60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85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130"/>
    </row>
    <row r="97" spans="1:71" s="117" customFormat="1" ht="32.1" customHeight="1" x14ac:dyDescent="0.55000000000000004">
      <c r="A97" s="51"/>
      <c r="B97" s="52"/>
      <c r="C97" s="66"/>
      <c r="D97" s="66"/>
      <c r="E97" s="485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52"/>
    </row>
    <row r="98" spans="1:71" ht="24.95" customHeight="1" x14ac:dyDescent="0.55000000000000004">
      <c r="A98" s="60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85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130"/>
    </row>
    <row r="99" spans="1:71" ht="32.1" customHeight="1" x14ac:dyDescent="0.55000000000000004">
      <c r="A99" s="51"/>
      <c r="B99" s="52"/>
      <c r="C99" s="66"/>
      <c r="D99" s="66"/>
      <c r="E99" s="485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130"/>
    </row>
    <row r="100" spans="1:71" ht="24.95" customHeight="1" x14ac:dyDescent="0.55000000000000004">
      <c r="A100" s="60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85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130"/>
    </row>
    <row r="101" spans="1:71" ht="32.1" customHeight="1" x14ac:dyDescent="0.55000000000000004">
      <c r="A101" s="51"/>
      <c r="B101" s="52"/>
      <c r="C101" s="66"/>
      <c r="D101" s="66"/>
      <c r="E101" s="485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130"/>
    </row>
    <row r="102" spans="1:71" ht="24.95" customHeight="1" x14ac:dyDescent="0.55000000000000004">
      <c r="A102" s="60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85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130"/>
    </row>
    <row r="103" spans="1:71" ht="32.1" customHeight="1" x14ac:dyDescent="0.55000000000000004">
      <c r="A103" s="51"/>
      <c r="B103" s="52"/>
      <c r="C103" s="66"/>
      <c r="D103" s="66"/>
      <c r="E103" s="485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130"/>
    </row>
    <row r="104" spans="1:71" ht="24.95" customHeight="1" x14ac:dyDescent="0.55000000000000004">
      <c r="A104" s="60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85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130"/>
    </row>
    <row r="105" spans="1:71" ht="32.1" customHeight="1" x14ac:dyDescent="0.55000000000000004">
      <c r="A105" s="51"/>
      <c r="B105" s="52"/>
      <c r="C105" s="66"/>
      <c r="D105" s="66"/>
      <c r="E105" s="485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130"/>
    </row>
    <row r="106" spans="1:71" ht="24.95" customHeight="1" x14ac:dyDescent="0.55000000000000004">
      <c r="A106" s="60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85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130"/>
    </row>
    <row r="107" spans="1:71" ht="31.9" customHeight="1" x14ac:dyDescent="0.55000000000000004">
      <c r="A107" s="51"/>
      <c r="B107" s="52"/>
      <c r="C107" s="66"/>
      <c r="D107" s="66"/>
      <c r="E107" s="485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130"/>
    </row>
    <row r="108" spans="1:71" ht="24.95" customHeight="1" x14ac:dyDescent="0.55000000000000004">
      <c r="A108" s="60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85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130"/>
    </row>
    <row r="109" spans="1:71" ht="32.1" customHeight="1" thickBot="1" x14ac:dyDescent="0.6">
      <c r="A109" s="98"/>
      <c r="B109" s="99"/>
      <c r="C109" s="100"/>
      <c r="D109" s="100"/>
      <c r="E109" s="486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130"/>
    </row>
    <row r="110" spans="1:71" ht="32.1" customHeight="1" x14ac:dyDescent="0.55000000000000004">
      <c r="A110" s="103"/>
      <c r="B110" s="104"/>
      <c r="C110" s="105"/>
      <c r="D110" s="105"/>
      <c r="E110" s="487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130"/>
    </row>
    <row r="111" spans="1:71" ht="24.6" customHeight="1" x14ac:dyDescent="0.55000000000000004">
      <c r="A111" s="60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85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130"/>
    </row>
    <row r="112" spans="1:71" ht="32.1" customHeight="1" x14ac:dyDescent="0.55000000000000004">
      <c r="A112" s="51"/>
      <c r="B112" s="52"/>
      <c r="C112" s="66"/>
      <c r="D112" s="66"/>
      <c r="E112" s="485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130"/>
    </row>
    <row r="113" spans="1:71" ht="24.95" customHeight="1" x14ac:dyDescent="0.55000000000000004">
      <c r="A113" s="268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85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130"/>
    </row>
    <row r="114" spans="1:71" ht="32.1" customHeight="1" x14ac:dyDescent="0.55000000000000004">
      <c r="A114" s="51"/>
      <c r="B114" s="52"/>
      <c r="C114" s="66"/>
      <c r="D114" s="66"/>
      <c r="E114" s="485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130"/>
    </row>
    <row r="115" spans="1:71" ht="24.95" customHeight="1" x14ac:dyDescent="0.55000000000000004">
      <c r="A115" s="60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85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130"/>
    </row>
    <row r="116" spans="1:71" ht="32.1" customHeight="1" x14ac:dyDescent="0.55000000000000004">
      <c r="A116" s="51"/>
      <c r="B116" s="52"/>
      <c r="C116" s="66"/>
      <c r="D116" s="66"/>
      <c r="E116" s="485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130"/>
    </row>
    <row r="117" spans="1:71" ht="24.95" customHeight="1" x14ac:dyDescent="0.55000000000000004">
      <c r="A117" s="60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85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130"/>
    </row>
    <row r="118" spans="1:71" ht="32.1" customHeight="1" x14ac:dyDescent="0.55000000000000004">
      <c r="A118" s="51"/>
      <c r="B118" s="52"/>
      <c r="C118" s="66"/>
      <c r="D118" s="66"/>
      <c r="E118" s="485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130"/>
    </row>
    <row r="119" spans="1:71" ht="24.95" customHeight="1" x14ac:dyDescent="0.55000000000000004">
      <c r="A119" s="60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85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130"/>
    </row>
    <row r="120" spans="1:71" ht="32.1" customHeight="1" x14ac:dyDescent="0.55000000000000004">
      <c r="A120" s="51"/>
      <c r="B120" s="52"/>
      <c r="C120" s="66"/>
      <c r="D120" s="66"/>
      <c r="E120" s="485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130"/>
    </row>
    <row r="121" spans="1:71" ht="3.6" customHeight="1" x14ac:dyDescent="0.55000000000000004">
      <c r="A121" s="60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85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130"/>
    </row>
    <row r="122" spans="1:71" ht="31.9" customHeight="1" x14ac:dyDescent="0.55000000000000004">
      <c r="A122" s="51"/>
      <c r="B122" s="52"/>
      <c r="C122" s="66"/>
      <c r="D122" s="66"/>
      <c r="E122" s="485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130"/>
    </row>
    <row r="123" spans="1:71" ht="24.95" customHeight="1" x14ac:dyDescent="0.55000000000000004">
      <c r="A123" s="60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85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130"/>
    </row>
    <row r="124" spans="1:71" ht="32.1" customHeight="1" x14ac:dyDescent="0.55000000000000004">
      <c r="A124" s="51"/>
      <c r="B124" s="52"/>
      <c r="C124" s="66"/>
      <c r="D124" s="66"/>
      <c r="E124" s="485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130"/>
    </row>
    <row r="125" spans="1:71" ht="24.95" customHeight="1" x14ac:dyDescent="0.55000000000000004">
      <c r="A125" s="268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85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130"/>
    </row>
    <row r="126" spans="1:71" ht="32.1" customHeight="1" x14ac:dyDescent="0.55000000000000004">
      <c r="A126" s="160"/>
      <c r="B126" s="52"/>
      <c r="C126" s="66"/>
      <c r="D126" s="66"/>
      <c r="E126" s="485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130"/>
    </row>
    <row r="127" spans="1:71" ht="24.6" customHeight="1" x14ac:dyDescent="0.55000000000000004">
      <c r="A127" s="268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85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130"/>
    </row>
    <row r="128" spans="1:71" ht="32.1" customHeight="1" x14ac:dyDescent="0.55000000000000004">
      <c r="A128" s="51"/>
      <c r="B128" s="52"/>
      <c r="C128" s="66"/>
      <c r="D128" s="66"/>
      <c r="E128" s="485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130"/>
    </row>
    <row r="129" spans="1:71" ht="24.95" customHeight="1" x14ac:dyDescent="0.55000000000000004">
      <c r="A129" s="268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85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130"/>
    </row>
    <row r="130" spans="1:71" ht="32.1" customHeight="1" x14ac:dyDescent="0.55000000000000004">
      <c r="A130" s="51"/>
      <c r="B130" s="52"/>
      <c r="C130" s="66"/>
      <c r="D130" s="66"/>
      <c r="E130" s="485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130"/>
    </row>
    <row r="131" spans="1:71" ht="24.95" customHeight="1" x14ac:dyDescent="0.55000000000000004">
      <c r="A131" s="268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85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130"/>
    </row>
    <row r="132" spans="1:71" ht="32.1" customHeight="1" x14ac:dyDescent="0.55000000000000004">
      <c r="A132" s="51"/>
      <c r="B132" s="52"/>
      <c r="C132" s="66"/>
      <c r="D132" s="66"/>
      <c r="E132" s="485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130"/>
    </row>
    <row r="133" spans="1:71" ht="24.95" customHeight="1" x14ac:dyDescent="0.55000000000000004">
      <c r="A133" s="268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85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130"/>
    </row>
    <row r="134" spans="1:71" ht="32.1" customHeight="1" x14ac:dyDescent="0.55000000000000004">
      <c r="A134" s="51"/>
      <c r="B134" s="52"/>
      <c r="D134" s="66"/>
      <c r="E134" s="485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130"/>
    </row>
    <row r="135" spans="1:71" ht="24.95" customHeight="1" x14ac:dyDescent="0.55000000000000004">
      <c r="A135" s="268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85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130"/>
    </row>
    <row r="136" spans="1:71" ht="32.1" customHeight="1" x14ac:dyDescent="0.55000000000000004">
      <c r="A136" s="51"/>
      <c r="B136" s="52"/>
      <c r="C136" s="66"/>
      <c r="D136" s="66"/>
      <c r="E136" s="485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130"/>
    </row>
    <row r="137" spans="1:71" ht="24.95" customHeight="1" x14ac:dyDescent="0.55000000000000004">
      <c r="A137" s="268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85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130"/>
    </row>
    <row r="138" spans="1:71" ht="32.1" customHeight="1" x14ac:dyDescent="0.55000000000000004">
      <c r="A138" s="51"/>
      <c r="B138" s="52"/>
      <c r="C138" s="66"/>
      <c r="D138" s="66"/>
      <c r="E138" s="485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130"/>
    </row>
    <row r="139" spans="1:71" ht="24.95" customHeight="1" x14ac:dyDescent="0.55000000000000004">
      <c r="A139" s="268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85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130"/>
    </row>
    <row r="140" spans="1:71" ht="32.1" customHeight="1" x14ac:dyDescent="0.55000000000000004">
      <c r="A140" s="51"/>
      <c r="B140" s="52"/>
      <c r="C140" s="66"/>
      <c r="D140" s="66"/>
      <c r="E140" s="485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130"/>
    </row>
    <row r="141" spans="1:71" ht="24.95" customHeight="1" x14ac:dyDescent="0.55000000000000004">
      <c r="A141" s="268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85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130"/>
    </row>
    <row r="142" spans="1:71" ht="32.1" customHeight="1" x14ac:dyDescent="0.55000000000000004">
      <c r="A142" s="51"/>
      <c r="B142" s="52"/>
      <c r="C142" s="66"/>
      <c r="D142" s="66"/>
      <c r="E142" s="485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130"/>
    </row>
    <row r="143" spans="1:71" ht="24.95" customHeight="1" x14ac:dyDescent="0.55000000000000004">
      <c r="A143" s="268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85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130"/>
    </row>
    <row r="144" spans="1:71" ht="32.1" customHeight="1" x14ac:dyDescent="0.55000000000000004">
      <c r="A144" s="51"/>
      <c r="B144" s="52"/>
      <c r="C144" s="66"/>
      <c r="D144" s="66"/>
      <c r="E144" s="485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130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85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130"/>
    </row>
    <row r="146" spans="1:71" ht="32.1" customHeight="1" x14ac:dyDescent="0.55000000000000004">
      <c r="A146" s="51"/>
      <c r="B146" s="52"/>
      <c r="C146" s="66"/>
      <c r="D146" s="66"/>
      <c r="E146" s="485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130"/>
    </row>
    <row r="147" spans="1:71" ht="24.95" customHeight="1" x14ac:dyDescent="0.55000000000000004">
      <c r="A147" s="268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85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130"/>
    </row>
    <row r="148" spans="1:71" ht="32.1" customHeight="1" x14ac:dyDescent="0.55000000000000004">
      <c r="A148" s="51"/>
      <c r="B148" s="52"/>
      <c r="C148" s="66"/>
      <c r="D148" s="66"/>
      <c r="E148" s="485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130"/>
    </row>
    <row r="149" spans="1:71" ht="24.95" customHeight="1" x14ac:dyDescent="0.55000000000000004">
      <c r="A149" s="268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85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130"/>
    </row>
    <row r="150" spans="1:71" ht="32.1" customHeight="1" x14ac:dyDescent="0.55000000000000004">
      <c r="A150" s="51"/>
      <c r="B150" s="52"/>
      <c r="C150" s="66"/>
      <c r="D150" s="66"/>
      <c r="E150" s="485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130"/>
    </row>
    <row r="151" spans="1:71" ht="24.95" customHeight="1" x14ac:dyDescent="0.55000000000000004">
      <c r="A151" s="270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85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130"/>
    </row>
    <row r="152" spans="1:71" ht="32.1" customHeight="1" x14ac:dyDescent="0.55000000000000004">
      <c r="B152" s="52"/>
      <c r="C152" s="66"/>
      <c r="D152" s="66"/>
      <c r="E152" s="485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130"/>
    </row>
    <row r="153" spans="1:71" ht="24.95" customHeight="1" x14ac:dyDescent="0.55000000000000004">
      <c r="A153" s="268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85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130"/>
    </row>
    <row r="154" spans="1:71" ht="32.1" customHeight="1" thickBot="1" x14ac:dyDescent="0.6">
      <c r="A154" s="68"/>
      <c r="B154" s="69"/>
      <c r="C154" s="70"/>
      <c r="D154" s="70"/>
      <c r="E154" s="486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130"/>
    </row>
    <row r="155" spans="1:71" ht="32.1" customHeight="1" x14ac:dyDescent="0.55000000000000004">
      <c r="A155" s="71"/>
      <c r="B155" s="72"/>
      <c r="C155" s="73"/>
      <c r="D155" s="73"/>
      <c r="E155" s="487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130"/>
    </row>
    <row r="156" spans="1:71" ht="24.95" customHeight="1" x14ac:dyDescent="0.55000000000000004">
      <c r="A156" s="60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85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130"/>
    </row>
    <row r="157" spans="1:71" ht="32.1" customHeight="1" x14ac:dyDescent="0.55000000000000004">
      <c r="A157" s="51"/>
      <c r="B157" s="52"/>
      <c r="C157" s="66"/>
      <c r="D157" s="66"/>
      <c r="E157" s="485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130"/>
    </row>
    <row r="158" spans="1:71" ht="24.95" customHeight="1" x14ac:dyDescent="0.55000000000000004">
      <c r="A158" s="60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85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130"/>
    </row>
    <row r="159" spans="1:71" ht="32.1" customHeight="1" x14ac:dyDescent="0.55000000000000004">
      <c r="A159" s="51"/>
      <c r="B159" s="52"/>
      <c r="C159" s="66"/>
      <c r="D159" s="66"/>
      <c r="E159" s="485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130"/>
    </row>
    <row r="160" spans="1:71" ht="24.95" customHeight="1" x14ac:dyDescent="0.55000000000000004">
      <c r="A160" s="268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85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130"/>
    </row>
    <row r="161" spans="1:71" ht="32.1" customHeight="1" x14ac:dyDescent="0.55000000000000004">
      <c r="A161" s="51"/>
      <c r="B161" s="52"/>
      <c r="C161" s="66"/>
      <c r="D161" s="66"/>
      <c r="E161" s="485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130"/>
    </row>
    <row r="162" spans="1:71" ht="24.95" customHeight="1" x14ac:dyDescent="0.55000000000000004">
      <c r="A162" s="268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85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130"/>
    </row>
    <row r="163" spans="1:71" ht="32.1" customHeight="1" x14ac:dyDescent="0.55000000000000004">
      <c r="A163" s="51"/>
      <c r="B163" s="52"/>
      <c r="C163" s="66"/>
      <c r="D163" s="66"/>
      <c r="E163" s="485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130"/>
    </row>
    <row r="164" spans="1:71" ht="24.95" customHeight="1" x14ac:dyDescent="0.55000000000000004">
      <c r="A164" s="109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85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130"/>
    </row>
    <row r="165" spans="1:71" ht="32.1" customHeight="1" x14ac:dyDescent="0.55000000000000004">
      <c r="A165" s="51"/>
      <c r="B165" s="52"/>
      <c r="C165" s="52"/>
      <c r="D165" s="52"/>
      <c r="E165" s="439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130"/>
    </row>
    <row r="166" spans="1:71" ht="42.75" customHeight="1" x14ac:dyDescent="0.25">
      <c r="A166" s="427" t="s">
        <v>259</v>
      </c>
      <c r="B166" s="428"/>
      <c r="C166" s="428"/>
      <c r="D166" s="428"/>
      <c r="E166" s="429"/>
      <c r="F166" s="201">
        <f t="shared" ref="F166:K166" si="1">(COUNTIF(F16:F165,"N")+COUNTIF(F16:F165,"I"))</f>
        <v>0</v>
      </c>
      <c r="G166" s="201">
        <f t="shared" si="1"/>
        <v>0</v>
      </c>
      <c r="H166" s="201">
        <f t="shared" si="1"/>
        <v>0</v>
      </c>
      <c r="I166" s="201">
        <f t="shared" si="1"/>
        <v>0</v>
      </c>
      <c r="J166" s="201">
        <f t="shared" si="1"/>
        <v>0</v>
      </c>
      <c r="K166" s="201">
        <f t="shared" si="1"/>
        <v>0</v>
      </c>
      <c r="L166" s="201">
        <f>(COUNTIF(L16:L165,"N")+COUNTIF(L16:L165,"I"))/2</f>
        <v>0.5</v>
      </c>
      <c r="M166" s="201">
        <f>(COUNTIF(M16:M165,"N")+COUNTIF(M16:M165,"I"))</f>
        <v>1</v>
      </c>
      <c r="N166" s="201">
        <f>(COUNTIF(N16:N165,"N")+COUNTIF(N16:N165,"I"))</f>
        <v>1</v>
      </c>
      <c r="O166" s="201">
        <f>(COUNTIF(O14:O163,"N")+COUNTIF(O14:O163,"I"))</f>
        <v>1</v>
      </c>
      <c r="P166" s="201">
        <f>(COUNTIF(P16:P165,"N")+COUNTIF(P16:P165,"I"))</f>
        <v>1</v>
      </c>
      <c r="Q166" s="201">
        <f>(COUNTIF(Q16:Q165,"N")+COUNTIF(Q16:Q165,"I"))</f>
        <v>1</v>
      </c>
      <c r="R166" s="201">
        <f>(COUNTIF(R16:R165,"N")+COUNTIF(R16:R165,"I"))</f>
        <v>1</v>
      </c>
      <c r="S166" s="201">
        <f t="shared" ref="S166:AX166" si="2">(COUNTIF(S14:S163,"N")+COUNTIF(S14:S163,"I"))</f>
        <v>0</v>
      </c>
      <c r="T166" s="201">
        <f t="shared" si="2"/>
        <v>1</v>
      </c>
      <c r="U166" s="201">
        <f t="shared" si="2"/>
        <v>1</v>
      </c>
      <c r="V166" s="201">
        <f t="shared" si="2"/>
        <v>1</v>
      </c>
      <c r="W166" s="201">
        <f t="shared" si="2"/>
        <v>1</v>
      </c>
      <c r="X166" s="201">
        <f t="shared" si="2"/>
        <v>1</v>
      </c>
      <c r="Y166" s="201">
        <f t="shared" si="2"/>
        <v>1</v>
      </c>
      <c r="Z166" s="201">
        <f t="shared" si="2"/>
        <v>1</v>
      </c>
      <c r="AA166" s="201">
        <f t="shared" si="2"/>
        <v>1</v>
      </c>
      <c r="AB166" s="201">
        <f t="shared" si="2"/>
        <v>1</v>
      </c>
      <c r="AC166" s="201">
        <f t="shared" si="2"/>
        <v>0</v>
      </c>
      <c r="AD166" s="201">
        <f t="shared" si="2"/>
        <v>0</v>
      </c>
      <c r="AE166" s="201">
        <f t="shared" si="2"/>
        <v>0</v>
      </c>
      <c r="AF166" s="201">
        <f t="shared" si="2"/>
        <v>0</v>
      </c>
      <c r="AG166" s="201">
        <f t="shared" si="2"/>
        <v>0</v>
      </c>
      <c r="AH166" s="201">
        <f t="shared" si="2"/>
        <v>0</v>
      </c>
      <c r="AI166" s="201">
        <f t="shared" si="2"/>
        <v>0</v>
      </c>
      <c r="AJ166" s="201">
        <f t="shared" si="2"/>
        <v>0</v>
      </c>
      <c r="AK166" s="201">
        <f t="shared" si="2"/>
        <v>0</v>
      </c>
      <c r="AL166" s="201">
        <f t="shared" si="2"/>
        <v>0</v>
      </c>
      <c r="AM166" s="201">
        <f t="shared" si="2"/>
        <v>0</v>
      </c>
      <c r="AN166" s="201">
        <f t="shared" si="2"/>
        <v>0</v>
      </c>
      <c r="AO166" s="201">
        <f t="shared" si="2"/>
        <v>0</v>
      </c>
      <c r="AP166" s="201">
        <f t="shared" si="2"/>
        <v>0</v>
      </c>
      <c r="AQ166" s="201">
        <f t="shared" si="2"/>
        <v>0</v>
      </c>
      <c r="AR166" s="201">
        <f t="shared" si="2"/>
        <v>0</v>
      </c>
      <c r="AS166" s="201">
        <f t="shared" si="2"/>
        <v>0</v>
      </c>
      <c r="AT166" s="201">
        <f t="shared" si="2"/>
        <v>0</v>
      </c>
      <c r="AU166" s="201">
        <f t="shared" si="2"/>
        <v>0</v>
      </c>
      <c r="AV166" s="201">
        <f t="shared" si="2"/>
        <v>0</v>
      </c>
      <c r="AW166" s="201">
        <f t="shared" si="2"/>
        <v>0</v>
      </c>
      <c r="AX166" s="201">
        <f t="shared" si="2"/>
        <v>0</v>
      </c>
      <c r="AY166" s="201">
        <f t="shared" ref="AY166:BR166" si="3">(COUNTIF(AY14:AY163,"N")+COUNTIF(AY14:AY163,"I"))</f>
        <v>0</v>
      </c>
      <c r="AZ166" s="201">
        <f t="shared" si="3"/>
        <v>0</v>
      </c>
      <c r="BA166" s="201">
        <f t="shared" si="3"/>
        <v>0</v>
      </c>
      <c r="BB166" s="201">
        <f t="shared" si="3"/>
        <v>0</v>
      </c>
      <c r="BC166" s="201">
        <f t="shared" si="3"/>
        <v>0</v>
      </c>
      <c r="BD166" s="201">
        <f t="shared" si="3"/>
        <v>0</v>
      </c>
      <c r="BE166" s="201">
        <f t="shared" si="3"/>
        <v>0</v>
      </c>
      <c r="BF166" s="201">
        <f t="shared" si="3"/>
        <v>0</v>
      </c>
      <c r="BG166" s="201">
        <f t="shared" si="3"/>
        <v>0</v>
      </c>
      <c r="BH166" s="201">
        <f t="shared" si="3"/>
        <v>0</v>
      </c>
      <c r="BI166" s="201">
        <f t="shared" si="3"/>
        <v>0</v>
      </c>
      <c r="BJ166" s="201">
        <f t="shared" si="3"/>
        <v>0</v>
      </c>
      <c r="BK166" s="201">
        <f t="shared" si="3"/>
        <v>0</v>
      </c>
      <c r="BL166" s="201">
        <f t="shared" si="3"/>
        <v>0</v>
      </c>
      <c r="BM166" s="201">
        <f t="shared" si="3"/>
        <v>0</v>
      </c>
      <c r="BN166" s="201">
        <f t="shared" si="3"/>
        <v>0</v>
      </c>
      <c r="BO166" s="201">
        <f t="shared" si="3"/>
        <v>0</v>
      </c>
      <c r="BP166" s="201">
        <f t="shared" si="3"/>
        <v>0</v>
      </c>
      <c r="BQ166" s="201">
        <f t="shared" si="3"/>
        <v>0</v>
      </c>
      <c r="BR166" s="201">
        <f t="shared" si="3"/>
        <v>0</v>
      </c>
      <c r="BS166" s="130"/>
    </row>
    <row r="167" spans="1:71" ht="45" customHeight="1" x14ac:dyDescent="0.25">
      <c r="A167" s="425" t="s">
        <v>42</v>
      </c>
      <c r="B167" s="426"/>
      <c r="C167" s="426"/>
      <c r="D167" s="426"/>
      <c r="E167" s="426"/>
      <c r="F167" s="124">
        <f>F168</f>
        <v>0</v>
      </c>
      <c r="G167" s="422">
        <f>SUM(G168:J168)</f>
        <v>0</v>
      </c>
      <c r="H167" s="422"/>
      <c r="I167" s="422"/>
      <c r="J167" s="422"/>
      <c r="K167" s="422">
        <f>SUM(K168:L168)</f>
        <v>0.5</v>
      </c>
      <c r="L167" s="422"/>
      <c r="M167" s="422">
        <f>SUM(M168:N168)</f>
        <v>1</v>
      </c>
      <c r="N167" s="422"/>
      <c r="O167" s="422">
        <f>SUM(O168:P168)</f>
        <v>1</v>
      </c>
      <c r="P167" s="422"/>
      <c r="Q167" s="422">
        <f>SUM(Q168:R168)</f>
        <v>1</v>
      </c>
      <c r="R167" s="422"/>
      <c r="S167" s="422">
        <f>SUM(S168:U168)</f>
        <v>0.5</v>
      </c>
      <c r="T167" s="422"/>
      <c r="U167" s="422"/>
      <c r="V167" s="422">
        <f>SUM(V168:Y168)</f>
        <v>1</v>
      </c>
      <c r="W167" s="422"/>
      <c r="X167" s="422"/>
      <c r="Y167" s="422"/>
      <c r="Z167" s="422">
        <f>SUM(Z168:AC168)</f>
        <v>0.75</v>
      </c>
      <c r="AA167" s="422"/>
      <c r="AB167" s="422"/>
      <c r="AC167" s="422"/>
      <c r="AD167" s="422">
        <f>SUM(AD168:AE168)</f>
        <v>0</v>
      </c>
      <c r="AE167" s="422"/>
      <c r="AF167" s="422">
        <f>SUM(AF168:AG168)</f>
        <v>0</v>
      </c>
      <c r="AG167" s="422"/>
      <c r="AH167" s="422">
        <f>SUM(AH168:AI168)</f>
        <v>0</v>
      </c>
      <c r="AI167" s="422"/>
      <c r="AJ167" s="422">
        <f>SUM(AJ168:AK168)</f>
        <v>0</v>
      </c>
      <c r="AK167" s="422"/>
      <c r="AL167" s="422">
        <f>SUM(AL168:AN168)</f>
        <v>0</v>
      </c>
      <c r="AM167" s="422"/>
      <c r="AN167" s="422"/>
      <c r="AO167" s="422">
        <f>SUM(AO168:AR168)</f>
        <v>0</v>
      </c>
      <c r="AP167" s="422"/>
      <c r="AQ167" s="422"/>
      <c r="AR167" s="422"/>
      <c r="AS167" s="422">
        <f>SUM(AS168:AV168)</f>
        <v>0</v>
      </c>
      <c r="AT167" s="422"/>
      <c r="AU167" s="422"/>
      <c r="AV167" s="422"/>
      <c r="AW167" s="422">
        <f>SUM(AW168:AY168)</f>
        <v>0</v>
      </c>
      <c r="AX167" s="422"/>
      <c r="AY167" s="422"/>
      <c r="AZ167" s="422">
        <f>SUM(AZ168:BA168)</f>
        <v>0</v>
      </c>
      <c r="BA167" s="422"/>
      <c r="BB167" s="422">
        <f>SUM(BB168:BC168)</f>
        <v>0</v>
      </c>
      <c r="BC167" s="422"/>
      <c r="BD167" s="422">
        <f>SUM(BD168:BF168)</f>
        <v>0</v>
      </c>
      <c r="BE167" s="422"/>
      <c r="BF167" s="422"/>
      <c r="BG167" s="422">
        <f>SUM(BG168:BH168)</f>
        <v>0</v>
      </c>
      <c r="BH167" s="422"/>
      <c r="BI167" s="422">
        <f>SUM(BI168:BJ168)</f>
        <v>0</v>
      </c>
      <c r="BJ167" s="422"/>
      <c r="BK167" s="422">
        <f>SUM(BK168:BL168)</f>
        <v>0</v>
      </c>
      <c r="BL167" s="422"/>
      <c r="BM167" s="422">
        <f>SUM(BM168:BN168)</f>
        <v>0</v>
      </c>
      <c r="BN167" s="422"/>
      <c r="BO167" s="422">
        <f>SUM(BO168:BP168)</f>
        <v>0</v>
      </c>
      <c r="BP167" s="422"/>
      <c r="BQ167" s="422">
        <f>SUM(BQ168:BR168)</f>
        <v>0</v>
      </c>
      <c r="BR167" s="422"/>
      <c r="BS167" s="130"/>
    </row>
    <row r="168" spans="1:71" ht="35.1" customHeight="1" x14ac:dyDescent="0.25">
      <c r="A168" s="425"/>
      <c r="B168" s="426"/>
      <c r="C168" s="426"/>
      <c r="D168" s="426"/>
      <c r="E168" s="426"/>
      <c r="F168" s="125">
        <f>(COUNTIF(F16:F165,"N")+COUNTIF(F16:F165,"I"))/4</f>
        <v>0</v>
      </c>
      <c r="G168" s="125">
        <f>(COUNTIF(G16:G165,"N")+COUNTIF(G16:G165,"I"))/4</f>
        <v>0</v>
      </c>
      <c r="H168" s="125">
        <f>(COUNTIF(H16:H165,"N")+COUNTIF(H16:H165,"I"))/4</f>
        <v>0</v>
      </c>
      <c r="I168" s="125">
        <f>(COUNTIF(I16:I165,"N")+COUNTIF(I16:I165,"I"))/4</f>
        <v>0</v>
      </c>
      <c r="J168" s="125">
        <f>(COUNTIF(J16:J165,"N")+COUNTIF(J16:J165,"I"))/4</f>
        <v>0</v>
      </c>
      <c r="K168" s="125">
        <f t="shared" ref="K168:S168" si="4">(COUNTIF(K16:K165,"N")+COUNTIF(K16:K165,"I"))/2</f>
        <v>0</v>
      </c>
      <c r="L168" s="125">
        <f t="shared" si="4"/>
        <v>0.5</v>
      </c>
      <c r="M168" s="125">
        <f t="shared" si="4"/>
        <v>0.5</v>
      </c>
      <c r="N168" s="125">
        <f t="shared" si="4"/>
        <v>0.5</v>
      </c>
      <c r="O168" s="125">
        <f t="shared" si="4"/>
        <v>0.5</v>
      </c>
      <c r="P168" s="125">
        <f t="shared" si="4"/>
        <v>0.5</v>
      </c>
      <c r="Q168" s="125">
        <f t="shared" si="4"/>
        <v>0.5</v>
      </c>
      <c r="R168" s="125">
        <f t="shared" si="4"/>
        <v>0.5</v>
      </c>
      <c r="S168" s="125">
        <f t="shared" si="4"/>
        <v>0</v>
      </c>
      <c r="T168" s="125">
        <f t="shared" ref="T168:AC168" si="5">(COUNTIF(T16:T165,"N")+COUNTIF(T16:T165,"I"))/4</f>
        <v>0.25</v>
      </c>
      <c r="U168" s="125">
        <f t="shared" si="5"/>
        <v>0.25</v>
      </c>
      <c r="V168" s="125">
        <f t="shared" si="5"/>
        <v>0.25</v>
      </c>
      <c r="W168" s="125">
        <f t="shared" si="5"/>
        <v>0.25</v>
      </c>
      <c r="X168" s="125">
        <f t="shared" si="5"/>
        <v>0.25</v>
      </c>
      <c r="Y168" s="125">
        <f t="shared" si="5"/>
        <v>0.25</v>
      </c>
      <c r="Z168" s="125">
        <f t="shared" si="5"/>
        <v>0.25</v>
      </c>
      <c r="AA168" s="125">
        <f t="shared" si="5"/>
        <v>0.25</v>
      </c>
      <c r="AB168" s="125">
        <f t="shared" si="5"/>
        <v>0.25</v>
      </c>
      <c r="AC168" s="125">
        <f t="shared" si="5"/>
        <v>0</v>
      </c>
      <c r="AD168" s="125">
        <f t="shared" ref="AD168:AL168" si="6">(COUNTIF(AD16:AD165,"N")+COUNTIF(AD16:AD165,"I"))/2</f>
        <v>0</v>
      </c>
      <c r="AE168" s="125">
        <f t="shared" si="6"/>
        <v>0</v>
      </c>
      <c r="AF168" s="125">
        <f t="shared" si="6"/>
        <v>0</v>
      </c>
      <c r="AG168" s="125">
        <f t="shared" si="6"/>
        <v>0</v>
      </c>
      <c r="AH168" s="125">
        <f t="shared" si="6"/>
        <v>0</v>
      </c>
      <c r="AI168" s="125">
        <f t="shared" si="6"/>
        <v>0</v>
      </c>
      <c r="AJ168" s="125">
        <f t="shared" si="6"/>
        <v>0</v>
      </c>
      <c r="AK168" s="125">
        <f t="shared" si="6"/>
        <v>0</v>
      </c>
      <c r="AL168" s="125">
        <f t="shared" si="6"/>
        <v>0</v>
      </c>
      <c r="AM168" s="125">
        <f t="shared" ref="AM168:AX168" si="7">(COUNTIF(AM16:AM165,"N")+COUNTIF(AM16:AM165,"I"))/4</f>
        <v>0</v>
      </c>
      <c r="AN168" s="125">
        <f t="shared" si="7"/>
        <v>0</v>
      </c>
      <c r="AO168" s="125">
        <f t="shared" si="7"/>
        <v>0</v>
      </c>
      <c r="AP168" s="125">
        <f t="shared" si="7"/>
        <v>0</v>
      </c>
      <c r="AQ168" s="125">
        <f t="shared" si="7"/>
        <v>0</v>
      </c>
      <c r="AR168" s="125">
        <f t="shared" si="7"/>
        <v>0</v>
      </c>
      <c r="AS168" s="125">
        <f t="shared" si="7"/>
        <v>0</v>
      </c>
      <c r="AT168" s="125">
        <f t="shared" si="7"/>
        <v>0</v>
      </c>
      <c r="AU168" s="125">
        <f t="shared" si="7"/>
        <v>0</v>
      </c>
      <c r="AV168" s="125">
        <f t="shared" si="7"/>
        <v>0</v>
      </c>
      <c r="AW168" s="125">
        <f t="shared" si="7"/>
        <v>0</v>
      </c>
      <c r="AX168" s="125">
        <f t="shared" si="7"/>
        <v>0</v>
      </c>
      <c r="AY168" s="125">
        <f>(COUNTIF(AY16:AY165,"N")+COUNTIF(AY16:AY165,"I"))/2</f>
        <v>0</v>
      </c>
      <c r="AZ168" s="125">
        <f>(COUNTIF(AZ16:AZ165,"N")+COUNTIF(AZ16:AZ165,"I"))/2</f>
        <v>0</v>
      </c>
      <c r="BA168" s="125">
        <f>(COUNTIF(BA16:BA165,"N")+COUNTIF(BA16:BA165,"I"))/2</f>
        <v>0</v>
      </c>
      <c r="BB168" s="125">
        <f>(COUNTIF(BB16:BB165,"N")+COUNTIF(BB16:BB165,"I"))/2</f>
        <v>0</v>
      </c>
      <c r="BC168" s="125">
        <f>(COUNTIF(BC16:BC165,"N")+COUNTIF(BC16:BC165,"I"))/2</f>
        <v>0</v>
      </c>
      <c r="BD168" s="125">
        <f>(COUNTIF(BD16:BD165,"N")+COUNTIF(BD16:BD165,"I"))/4</f>
        <v>0</v>
      </c>
      <c r="BE168" s="125">
        <f>(COUNTIF(BE16:BE165,"N")+COUNTIF(BE16:BE165,"I"))/4</f>
        <v>0</v>
      </c>
      <c r="BF168" s="125">
        <f t="shared" ref="BF168:BR168" si="8">(COUNTIF(BF16:BF165,"N")+COUNTIF(BF16:BF165,"I"))/2</f>
        <v>0</v>
      </c>
      <c r="BG168" s="125">
        <f t="shared" si="8"/>
        <v>0</v>
      </c>
      <c r="BH168" s="125">
        <f t="shared" si="8"/>
        <v>0</v>
      </c>
      <c r="BI168" s="125">
        <f t="shared" si="8"/>
        <v>0</v>
      </c>
      <c r="BJ168" s="125">
        <f t="shared" si="8"/>
        <v>0</v>
      </c>
      <c r="BK168" s="125">
        <f t="shared" si="8"/>
        <v>0</v>
      </c>
      <c r="BL168" s="125">
        <f t="shared" si="8"/>
        <v>0</v>
      </c>
      <c r="BM168" s="125">
        <f t="shared" si="8"/>
        <v>0</v>
      </c>
      <c r="BN168" s="125">
        <f t="shared" si="8"/>
        <v>0</v>
      </c>
      <c r="BO168" s="125">
        <f t="shared" si="8"/>
        <v>0</v>
      </c>
      <c r="BP168" s="125">
        <f t="shared" si="8"/>
        <v>0</v>
      </c>
      <c r="BQ168" s="125">
        <f t="shared" si="8"/>
        <v>0</v>
      </c>
      <c r="BR168" s="125">
        <f t="shared" si="8"/>
        <v>0</v>
      </c>
      <c r="BS168" s="130"/>
    </row>
    <row r="169" spans="1:71" ht="64.150000000000006" customHeight="1" x14ac:dyDescent="0.25">
      <c r="A169" s="427" t="s">
        <v>250</v>
      </c>
      <c r="B169" s="428"/>
      <c r="C169" s="428"/>
      <c r="D169" s="428"/>
      <c r="E169" s="429"/>
      <c r="F169" s="180">
        <f t="shared" ref="F169:AK169" si="9">IFERROR(F2/F167,0)</f>
        <v>0</v>
      </c>
      <c r="G169" s="484">
        <f t="shared" si="9"/>
        <v>0</v>
      </c>
      <c r="H169" s="484">
        <f t="shared" si="9"/>
        <v>0</v>
      </c>
      <c r="I169" s="484">
        <f t="shared" si="9"/>
        <v>0</v>
      </c>
      <c r="J169" s="484">
        <f t="shared" si="9"/>
        <v>0</v>
      </c>
      <c r="K169" s="484">
        <f t="shared" si="9"/>
        <v>0</v>
      </c>
      <c r="L169" s="484">
        <f t="shared" si="9"/>
        <v>0</v>
      </c>
      <c r="M169" s="484">
        <f t="shared" si="9"/>
        <v>0</v>
      </c>
      <c r="N169" s="484">
        <f t="shared" si="9"/>
        <v>0</v>
      </c>
      <c r="O169" s="484">
        <f t="shared" si="9"/>
        <v>0</v>
      </c>
      <c r="P169" s="484">
        <f t="shared" si="9"/>
        <v>0</v>
      </c>
      <c r="Q169" s="484">
        <f t="shared" si="9"/>
        <v>0</v>
      </c>
      <c r="R169" s="484">
        <f t="shared" si="9"/>
        <v>0</v>
      </c>
      <c r="S169" s="484">
        <f t="shared" si="9"/>
        <v>0</v>
      </c>
      <c r="T169" s="484">
        <f t="shared" si="9"/>
        <v>0</v>
      </c>
      <c r="U169" s="484">
        <f t="shared" si="9"/>
        <v>0</v>
      </c>
      <c r="V169" s="484">
        <f t="shared" si="9"/>
        <v>0</v>
      </c>
      <c r="W169" s="484">
        <f t="shared" si="9"/>
        <v>0</v>
      </c>
      <c r="X169" s="484">
        <f t="shared" si="9"/>
        <v>0</v>
      </c>
      <c r="Y169" s="484">
        <f t="shared" si="9"/>
        <v>0</v>
      </c>
      <c r="Z169" s="484">
        <f t="shared" si="9"/>
        <v>0</v>
      </c>
      <c r="AA169" s="484">
        <f t="shared" si="9"/>
        <v>0</v>
      </c>
      <c r="AB169" s="484">
        <f t="shared" si="9"/>
        <v>0</v>
      </c>
      <c r="AC169" s="484">
        <f t="shared" si="9"/>
        <v>0</v>
      </c>
      <c r="AD169" s="484">
        <f t="shared" si="9"/>
        <v>0</v>
      </c>
      <c r="AE169" s="484">
        <f t="shared" si="9"/>
        <v>0</v>
      </c>
      <c r="AF169" s="484">
        <f t="shared" si="9"/>
        <v>0</v>
      </c>
      <c r="AG169" s="484">
        <f t="shared" si="9"/>
        <v>0</v>
      </c>
      <c r="AH169" s="484">
        <f t="shared" si="9"/>
        <v>0</v>
      </c>
      <c r="AI169" s="484">
        <f t="shared" si="9"/>
        <v>0</v>
      </c>
      <c r="AJ169" s="484">
        <f t="shared" si="9"/>
        <v>0</v>
      </c>
      <c r="AK169" s="484">
        <f t="shared" si="9"/>
        <v>0</v>
      </c>
      <c r="AL169" s="484">
        <f t="shared" ref="AL169:BR169" si="10">IFERROR(AL2/AL167,0)</f>
        <v>0</v>
      </c>
      <c r="AM169" s="484">
        <f t="shared" si="10"/>
        <v>0</v>
      </c>
      <c r="AN169" s="484">
        <f t="shared" si="10"/>
        <v>0</v>
      </c>
      <c r="AO169" s="484">
        <f t="shared" si="10"/>
        <v>0</v>
      </c>
      <c r="AP169" s="484">
        <f t="shared" si="10"/>
        <v>0</v>
      </c>
      <c r="AQ169" s="484">
        <f t="shared" si="10"/>
        <v>0</v>
      </c>
      <c r="AR169" s="484">
        <f t="shared" si="10"/>
        <v>0</v>
      </c>
      <c r="AS169" s="484">
        <f t="shared" si="10"/>
        <v>0</v>
      </c>
      <c r="AT169" s="484">
        <f t="shared" si="10"/>
        <v>0</v>
      </c>
      <c r="AU169" s="484">
        <f t="shared" si="10"/>
        <v>0</v>
      </c>
      <c r="AV169" s="484">
        <f t="shared" si="10"/>
        <v>0</v>
      </c>
      <c r="AW169" s="484">
        <f t="shared" si="10"/>
        <v>0</v>
      </c>
      <c r="AX169" s="484">
        <f t="shared" si="10"/>
        <v>0</v>
      </c>
      <c r="AY169" s="484">
        <f t="shared" si="10"/>
        <v>0</v>
      </c>
      <c r="AZ169" s="484">
        <f t="shared" si="10"/>
        <v>0</v>
      </c>
      <c r="BA169" s="484">
        <f t="shared" si="10"/>
        <v>0</v>
      </c>
      <c r="BB169" s="484">
        <f t="shared" si="10"/>
        <v>0</v>
      </c>
      <c r="BC169" s="484">
        <f t="shared" si="10"/>
        <v>0</v>
      </c>
      <c r="BD169" s="484">
        <f t="shared" si="10"/>
        <v>0</v>
      </c>
      <c r="BE169" s="484">
        <f t="shared" si="10"/>
        <v>0</v>
      </c>
      <c r="BF169" s="484">
        <f t="shared" si="10"/>
        <v>0</v>
      </c>
      <c r="BG169" s="180">
        <f t="shared" si="10"/>
        <v>0</v>
      </c>
      <c r="BH169" s="180">
        <f t="shared" si="10"/>
        <v>0</v>
      </c>
      <c r="BI169" s="484">
        <f t="shared" si="10"/>
        <v>0</v>
      </c>
      <c r="BJ169" s="484">
        <f t="shared" si="10"/>
        <v>0</v>
      </c>
      <c r="BK169" s="484">
        <f t="shared" si="10"/>
        <v>0</v>
      </c>
      <c r="BL169" s="484">
        <f t="shared" si="10"/>
        <v>0</v>
      </c>
      <c r="BM169" s="484">
        <f t="shared" si="10"/>
        <v>0</v>
      </c>
      <c r="BN169" s="484">
        <f t="shared" si="10"/>
        <v>0</v>
      </c>
      <c r="BO169" s="484">
        <f t="shared" si="10"/>
        <v>0</v>
      </c>
      <c r="BP169" s="484">
        <f t="shared" si="10"/>
        <v>0</v>
      </c>
      <c r="BQ169" s="484">
        <f t="shared" si="10"/>
        <v>0</v>
      </c>
      <c r="BR169" s="484">
        <f t="shared" si="10"/>
        <v>0</v>
      </c>
      <c r="BS169" s="130"/>
    </row>
    <row r="170" spans="1:71" ht="45" customHeight="1" x14ac:dyDescent="0.25">
      <c r="A170" s="126"/>
      <c r="B170" s="430"/>
      <c r="C170" s="430"/>
      <c r="D170" s="406"/>
      <c r="E170" s="408"/>
      <c r="F170" s="406"/>
      <c r="G170" s="407"/>
      <c r="H170" s="407"/>
      <c r="I170" s="408"/>
      <c r="J170" s="406"/>
      <c r="K170" s="407"/>
      <c r="L170" s="407"/>
      <c r="M170" s="408"/>
      <c r="N170" s="406"/>
      <c r="O170" s="407"/>
      <c r="P170" s="407"/>
      <c r="Q170" s="408"/>
      <c r="R170" s="406"/>
      <c r="S170" s="407"/>
      <c r="T170" s="407"/>
      <c r="U170" s="408"/>
      <c r="V170" s="406"/>
      <c r="W170" s="407"/>
      <c r="X170" s="407"/>
      <c r="Y170" s="408"/>
      <c r="Z170" s="406"/>
      <c r="AA170" s="407"/>
      <c r="AB170" s="408"/>
      <c r="AC170" s="430"/>
      <c r="AD170" s="430"/>
      <c r="AE170" s="430"/>
      <c r="AF170" s="430"/>
      <c r="AG170" s="435"/>
      <c r="AH170" s="436"/>
      <c r="AI170" s="436"/>
      <c r="AJ170" s="436"/>
      <c r="AK170" s="436"/>
      <c r="AL170" s="436"/>
      <c r="AM170" s="437"/>
      <c r="AN170" s="480"/>
      <c r="AO170" s="488"/>
      <c r="AP170" s="488"/>
      <c r="AQ170" s="488"/>
      <c r="AR170" s="488"/>
      <c r="AS170" s="488"/>
      <c r="AT170" s="488"/>
      <c r="AU170" s="488"/>
      <c r="AV170" s="488"/>
      <c r="AW170" s="488"/>
      <c r="AX170" s="488"/>
      <c r="AY170" s="488"/>
      <c r="AZ170" s="488"/>
      <c r="BA170" s="488"/>
      <c r="BB170" s="488"/>
      <c r="BC170" s="488"/>
      <c r="BD170" s="488"/>
      <c r="BE170" s="488"/>
      <c r="BF170" s="488"/>
      <c r="BG170" s="488"/>
      <c r="BH170" s="488"/>
      <c r="BI170" s="488"/>
      <c r="BJ170" s="488"/>
      <c r="BK170" s="488"/>
      <c r="BL170" s="488"/>
      <c r="BM170" s="488"/>
      <c r="BN170" s="488"/>
      <c r="BO170" s="488"/>
      <c r="BP170" s="488"/>
      <c r="BQ170" s="488"/>
      <c r="BR170" s="488"/>
      <c r="BS170" s="130"/>
    </row>
    <row r="171" spans="1:71" ht="45" customHeight="1" thickBot="1" x14ac:dyDescent="0.3">
      <c r="A171" s="127">
        <f>J171/D171</f>
        <v>0</v>
      </c>
      <c r="B171" s="431">
        <f>F171/D171</f>
        <v>0</v>
      </c>
      <c r="C171" s="431"/>
      <c r="D171" s="403">
        <f>SUM(F168:BR168)+12</f>
        <v>17.75</v>
      </c>
      <c r="E171" s="404"/>
      <c r="F171" s="404">
        <f>SUM(F3:BR3)</f>
        <v>0</v>
      </c>
      <c r="G171" s="404"/>
      <c r="H171" s="404"/>
      <c r="I171" s="405"/>
      <c r="J171" s="403">
        <f>SUM(F5:BR5)</f>
        <v>0</v>
      </c>
      <c r="K171" s="404"/>
      <c r="L171" s="404"/>
      <c r="M171" s="405"/>
      <c r="N171" s="403">
        <f>SUM(F7:BR7)</f>
        <v>0</v>
      </c>
      <c r="O171" s="404"/>
      <c r="P171" s="404"/>
      <c r="Q171" s="405"/>
      <c r="R171" s="403">
        <f>SUM(F8:BR8)</f>
        <v>0</v>
      </c>
      <c r="S171" s="404"/>
      <c r="T171" s="404"/>
      <c r="U171" s="405"/>
      <c r="V171" s="403">
        <f>SUM(F9:BR9)</f>
        <v>0</v>
      </c>
      <c r="W171" s="404"/>
      <c r="X171" s="404"/>
      <c r="Y171" s="405"/>
      <c r="Z171" s="403" t="e">
        <f>SUM(F11:BR11)</f>
        <v>#REF!</v>
      </c>
      <c r="AA171" s="404"/>
      <c r="AB171" s="405"/>
      <c r="AC171" s="431" t="e">
        <f>SUM(F12:BR12)</f>
        <v>#REF!</v>
      </c>
      <c r="AD171" s="431"/>
      <c r="AE171" s="431"/>
      <c r="AF171" s="431"/>
      <c r="AG171" s="403" t="e">
        <f>SUM(F13:BR13)</f>
        <v>#REF!</v>
      </c>
      <c r="AH171" s="438"/>
      <c r="AI171" s="438"/>
      <c r="AJ171" s="438"/>
      <c r="AK171" s="438"/>
      <c r="AL171" s="438"/>
      <c r="AM171" s="405"/>
      <c r="AN171" s="413"/>
      <c r="AO171" s="414"/>
      <c r="AP171" s="414"/>
      <c r="AQ171" s="414"/>
      <c r="AR171" s="414"/>
      <c r="AS171" s="414"/>
      <c r="AT171" s="414"/>
      <c r="AU171" s="414"/>
      <c r="AV171" s="414"/>
      <c r="AW171" s="414"/>
      <c r="AX171" s="414"/>
      <c r="AY171" s="414"/>
      <c r="AZ171" s="414"/>
      <c r="BA171" s="414"/>
      <c r="BB171" s="414"/>
      <c r="BC171" s="414"/>
      <c r="BD171" s="414"/>
      <c r="BE171" s="414"/>
      <c r="BF171" s="414"/>
      <c r="BG171" s="414"/>
      <c r="BH171" s="414"/>
      <c r="BI171" s="414"/>
      <c r="BJ171" s="414"/>
      <c r="BK171" s="414"/>
      <c r="BL171" s="414"/>
      <c r="BM171" s="414"/>
      <c r="BN171" s="414"/>
      <c r="BO171" s="414"/>
      <c r="BP171" s="414"/>
      <c r="BQ171" s="414"/>
      <c r="BR171" s="414"/>
      <c r="BS171" s="130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O170:BR171 AM170:AN170 AL171:AN171" name="Intervallo1_9"/>
    <protectedRange sqref="D17:D39 D41:D165 C135:C165 C17:C133 B17:B165" name="Intervallo1"/>
    <protectedRange sqref="AE28:AE35 AL161:BR165 K16:M18 K19:L25 M19:M24 BR22:BR160 AM91:BJ91 BM22:BQ91 BJ22:BL54 BI84:BJ84 M142:M160 BI85:BI90 BJ87:BL90 BJ85:BJ86 BK84:BL85 AD153:AK165 AL153:BQ160 J16:J84 K26:K83 AX92:BK116 AL83:BH90 BI83 AE37:AE54 AL22:BI25 AK108:AK135 T16:BR20 AJ92:AJ137 J85:K160 L26:L160 M26:M78 N16:S54 F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F161:P165" name="Intervallo1_6"/>
    <protectedRange sqref="AL91" name="Intervallo1_2_1"/>
  </protectedRanges>
  <dataConsolidate/>
  <mergeCells count="202">
    <mergeCell ref="BQ2:BR2"/>
    <mergeCell ref="BQ4:BR4"/>
    <mergeCell ref="BQ6:BR6"/>
    <mergeCell ref="BQ10:BR10"/>
    <mergeCell ref="BQ167:BR167"/>
    <mergeCell ref="AC171:AF171"/>
    <mergeCell ref="AC170:AF170"/>
    <mergeCell ref="BD167:BF167"/>
    <mergeCell ref="BG167:BH167"/>
    <mergeCell ref="BI167:BJ167"/>
    <mergeCell ref="BK167:BL167"/>
    <mergeCell ref="BM167:BN167"/>
    <mergeCell ref="BO167:BP167"/>
    <mergeCell ref="AL167:AN167"/>
    <mergeCell ref="AO167:AR167"/>
    <mergeCell ref="AS167:AV167"/>
    <mergeCell ref="AW167:AY167"/>
    <mergeCell ref="AZ167:BA167"/>
    <mergeCell ref="BB167:BC167"/>
    <mergeCell ref="BO10:BP10"/>
    <mergeCell ref="BG4:BH4"/>
    <mergeCell ref="AH167:AI167"/>
    <mergeCell ref="AJ167:AK167"/>
    <mergeCell ref="BO4:BP4"/>
    <mergeCell ref="B171:C171"/>
    <mergeCell ref="A169:E169"/>
    <mergeCell ref="B170:C170"/>
    <mergeCell ref="G169:J169"/>
    <mergeCell ref="K169:L169"/>
    <mergeCell ref="M169:N169"/>
    <mergeCell ref="O169:P169"/>
    <mergeCell ref="Q169:R169"/>
    <mergeCell ref="S169:U169"/>
    <mergeCell ref="D170:E170"/>
    <mergeCell ref="D171:E171"/>
    <mergeCell ref="J170:M170"/>
    <mergeCell ref="F170:I170"/>
    <mergeCell ref="F171:I171"/>
    <mergeCell ref="J171:M171"/>
    <mergeCell ref="N170:Q170"/>
    <mergeCell ref="N171:Q171"/>
    <mergeCell ref="V167:Y167"/>
    <mergeCell ref="Z167:AC167"/>
    <mergeCell ref="AD167:AE167"/>
    <mergeCell ref="AF167:AG167"/>
    <mergeCell ref="A15:E15"/>
    <mergeCell ref="E16:E22"/>
    <mergeCell ref="E23:E31"/>
    <mergeCell ref="E32:E46"/>
    <mergeCell ref="E47:E53"/>
    <mergeCell ref="E54:E66"/>
    <mergeCell ref="E67:E79"/>
    <mergeCell ref="E80:E86"/>
    <mergeCell ref="E87:E109"/>
    <mergeCell ref="G167:J167"/>
    <mergeCell ref="K167:L167"/>
    <mergeCell ref="M167:N167"/>
    <mergeCell ref="O167:P167"/>
    <mergeCell ref="Q167:R167"/>
    <mergeCell ref="S167:U167"/>
    <mergeCell ref="E110:E154"/>
    <mergeCell ref="E155:E165"/>
    <mergeCell ref="A167:E168"/>
    <mergeCell ref="A166:E166"/>
    <mergeCell ref="A12:E12"/>
    <mergeCell ref="A13:E13"/>
    <mergeCell ref="A14:E14"/>
    <mergeCell ref="BB10:BC10"/>
    <mergeCell ref="BD10:BF10"/>
    <mergeCell ref="BG10:BH10"/>
    <mergeCell ref="BI10:BJ10"/>
    <mergeCell ref="BK10:BL10"/>
    <mergeCell ref="BM10:BN10"/>
    <mergeCell ref="AJ10:AK10"/>
    <mergeCell ref="AL10:AN10"/>
    <mergeCell ref="AD10:AE10"/>
    <mergeCell ref="AF10:AG10"/>
    <mergeCell ref="AH10:AI10"/>
    <mergeCell ref="V12:Y12"/>
    <mergeCell ref="Z12:AC12"/>
    <mergeCell ref="V13:Y13"/>
    <mergeCell ref="Z13:AC13"/>
    <mergeCell ref="AO12:AR12"/>
    <mergeCell ref="AO13:AR13"/>
    <mergeCell ref="AS12:AV12"/>
    <mergeCell ref="AS13:AV13"/>
    <mergeCell ref="K10:L10"/>
    <mergeCell ref="M10:N10"/>
    <mergeCell ref="O10:P10"/>
    <mergeCell ref="Q10:R10"/>
    <mergeCell ref="AZ6:BA6"/>
    <mergeCell ref="AH6:AI6"/>
    <mergeCell ref="AJ6:AK6"/>
    <mergeCell ref="AL6:AN6"/>
    <mergeCell ref="AO6:AR6"/>
    <mergeCell ref="AS6:AV6"/>
    <mergeCell ref="AW6:AY6"/>
    <mergeCell ref="Q6:R6"/>
    <mergeCell ref="S6:U6"/>
    <mergeCell ref="AO10:AR10"/>
    <mergeCell ref="AS10:AV10"/>
    <mergeCell ref="AW10:AY10"/>
    <mergeCell ref="AZ10:BA10"/>
    <mergeCell ref="S10:U10"/>
    <mergeCell ref="V10:Y10"/>
    <mergeCell ref="Z10:AC10"/>
    <mergeCell ref="V6:Y6"/>
    <mergeCell ref="Z6:AC6"/>
    <mergeCell ref="AD6:AE6"/>
    <mergeCell ref="AF6:AG6"/>
    <mergeCell ref="BD4:BF4"/>
    <mergeCell ref="BM6:BN6"/>
    <mergeCell ref="BO6:BP6"/>
    <mergeCell ref="BB6:BC6"/>
    <mergeCell ref="BD6:BF6"/>
    <mergeCell ref="BG6:BH6"/>
    <mergeCell ref="BI6:BJ6"/>
    <mergeCell ref="BK6:BL6"/>
    <mergeCell ref="BI4:BJ4"/>
    <mergeCell ref="BK4:BL4"/>
    <mergeCell ref="BM4:BN4"/>
    <mergeCell ref="AW4:AY4"/>
    <mergeCell ref="AZ4:BA4"/>
    <mergeCell ref="Z4:AC4"/>
    <mergeCell ref="AD4:AE4"/>
    <mergeCell ref="AF4:AG4"/>
    <mergeCell ref="AH4:AI4"/>
    <mergeCell ref="AJ4:AK4"/>
    <mergeCell ref="AL4:AN4"/>
    <mergeCell ref="BB4:BC4"/>
    <mergeCell ref="BM2:BN2"/>
    <mergeCell ref="BO2:BP2"/>
    <mergeCell ref="A4:E5"/>
    <mergeCell ref="G4:J4"/>
    <mergeCell ref="K4:L4"/>
    <mergeCell ref="M4:N4"/>
    <mergeCell ref="O4:P4"/>
    <mergeCell ref="Q4:R4"/>
    <mergeCell ref="S4:U4"/>
    <mergeCell ref="V4:Y4"/>
    <mergeCell ref="AZ2:BA2"/>
    <mergeCell ref="BB2:BC2"/>
    <mergeCell ref="BD2:BF2"/>
    <mergeCell ref="BG2:BH2"/>
    <mergeCell ref="BI2:BJ2"/>
    <mergeCell ref="BK2:BL2"/>
    <mergeCell ref="AH2:AI2"/>
    <mergeCell ref="AJ2:AK2"/>
    <mergeCell ref="AL2:AN2"/>
    <mergeCell ref="AO2:AR2"/>
    <mergeCell ref="AS2:AV2"/>
    <mergeCell ref="AW2:AY2"/>
    <mergeCell ref="Q2:R2"/>
    <mergeCell ref="S2:U2"/>
    <mergeCell ref="AL169:AN169"/>
    <mergeCell ref="AO169:AR169"/>
    <mergeCell ref="AS169:AV169"/>
    <mergeCell ref="V2:Y2"/>
    <mergeCell ref="Z2:AC2"/>
    <mergeCell ref="AD2:AE2"/>
    <mergeCell ref="AF2:AG2"/>
    <mergeCell ref="A1:E1"/>
    <mergeCell ref="A2:E3"/>
    <mergeCell ref="G2:J2"/>
    <mergeCell ref="K2:L2"/>
    <mergeCell ref="M2:N2"/>
    <mergeCell ref="O2:P2"/>
    <mergeCell ref="A6:E7"/>
    <mergeCell ref="G6:J6"/>
    <mergeCell ref="K6:L6"/>
    <mergeCell ref="M6:N6"/>
    <mergeCell ref="O6:P6"/>
    <mergeCell ref="AO4:AR4"/>
    <mergeCell ref="AS4:AV4"/>
    <mergeCell ref="A8:E8"/>
    <mergeCell ref="A9:E9"/>
    <mergeCell ref="A10:E11"/>
    <mergeCell ref="G10:J10"/>
    <mergeCell ref="AG170:AM170"/>
    <mergeCell ref="AG171:AM171"/>
    <mergeCell ref="AN170:BR171"/>
    <mergeCell ref="BQ169:BR169"/>
    <mergeCell ref="Z171:AB171"/>
    <mergeCell ref="Z170:AB170"/>
    <mergeCell ref="V170:Y170"/>
    <mergeCell ref="V171:Y171"/>
    <mergeCell ref="R170:U170"/>
    <mergeCell ref="R171:U171"/>
    <mergeCell ref="BK169:BL169"/>
    <mergeCell ref="BM169:BN169"/>
    <mergeCell ref="BO169:BP169"/>
    <mergeCell ref="AW169:AY169"/>
    <mergeCell ref="AZ169:BA169"/>
    <mergeCell ref="BB169:BC169"/>
    <mergeCell ref="BD169:BF169"/>
    <mergeCell ref="BI169:BJ169"/>
    <mergeCell ref="V169:Y169"/>
    <mergeCell ref="Z169:AC169"/>
    <mergeCell ref="AD169:AE169"/>
    <mergeCell ref="AF169:AG169"/>
    <mergeCell ref="AH169:AI169"/>
    <mergeCell ref="AJ169:AK169"/>
  </mergeCells>
  <conditionalFormatting sqref="A153:A165 A41:A125 A16:A39 A127:A151">
    <cfRule type="duplicateValues" dxfId="219" priority="85"/>
  </conditionalFormatting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218" priority="19" operator="equal">
      <formula>"F"</formula>
    </cfRule>
    <cfRule type="cellIs" dxfId="217" priority="20" operator="equal">
      <formula>"N"</formula>
    </cfRule>
    <cfRule type="cellIs" dxfId="216" priority="21" operator="equal">
      <formula>"I"</formula>
    </cfRule>
  </conditionalFormatting>
  <conditionalFormatting sqref="AE95">
    <cfRule type="cellIs" dxfId="215" priority="16" operator="equal">
      <formula>"F"</formula>
    </cfRule>
    <cfRule type="cellIs" dxfId="214" priority="17" operator="equal">
      <formula>"N"</formula>
    </cfRule>
    <cfRule type="cellIs" dxfId="213" priority="18" operator="equal">
      <formula>"I"</formula>
    </cfRule>
  </conditionalFormatting>
  <conditionalFormatting sqref="AL91">
    <cfRule type="cellIs" dxfId="212" priority="13" operator="equal">
      <formula>"F"</formula>
    </cfRule>
    <cfRule type="cellIs" dxfId="211" priority="14" operator="equal">
      <formula>"N"</formula>
    </cfRule>
    <cfRule type="cellIs" dxfId="210" priority="15" operator="equal">
      <formula>"I"</formula>
    </cfRule>
  </conditionalFormatting>
  <conditionalFormatting sqref="AE134">
    <cfRule type="cellIs" dxfId="209" priority="10" operator="equal">
      <formula>"F"</formula>
    </cfRule>
    <cfRule type="cellIs" dxfId="208" priority="11" operator="equal">
      <formula>"N"</formula>
    </cfRule>
    <cfRule type="cellIs" dxfId="207" priority="12" operator="equal">
      <formula>"I"</formula>
    </cfRule>
  </conditionalFormatting>
  <conditionalFormatting sqref="AF34">
    <cfRule type="cellIs" dxfId="206" priority="7" operator="equal">
      <formula>"F"</formula>
    </cfRule>
    <cfRule type="cellIs" dxfId="205" priority="8" operator="equal">
      <formula>"N"</formula>
    </cfRule>
    <cfRule type="cellIs" dxfId="204" priority="9" operator="equal">
      <formula>"I"</formula>
    </cfRule>
  </conditionalFormatting>
  <conditionalFormatting sqref="AE93">
    <cfRule type="cellIs" dxfId="203" priority="4" operator="equal">
      <formula>"F"</formula>
    </cfRule>
    <cfRule type="cellIs" dxfId="202" priority="5" operator="equal">
      <formula>"N"</formula>
    </cfRule>
    <cfRule type="cellIs" dxfId="201" priority="6" operator="equal">
      <formula>"I"</formula>
    </cfRule>
  </conditionalFormatting>
  <conditionalFormatting sqref="AF99">
    <cfRule type="cellIs" dxfId="200" priority="1" operator="equal">
      <formula>"F"</formula>
    </cfRule>
    <cfRule type="cellIs" dxfId="199" priority="2" operator="equal">
      <formula>"N"</formula>
    </cfRule>
    <cfRule type="cellIs" dxfId="198" priority="3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5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825BAE-1082-4F19-AE21-1E4F86CE6EA6}">
          <x14:formula1>
            <xm:f>TOT!$B$4:$B$11</xm:f>
          </x14:formula1>
          <xm:sqref>A16:A165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neareGIO">
    <tabColor rgb="FF00B050"/>
    <pageSetUpPr fitToPage="1"/>
  </sheetPr>
  <dimension ref="A1:BS284"/>
  <sheetViews>
    <sheetView zoomScale="38" zoomScaleNormal="38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62">
        <f>LUN!A1+3</f>
        <v>45890</v>
      </c>
      <c r="B1" s="463"/>
      <c r="C1" s="463"/>
      <c r="D1" s="463"/>
      <c r="E1" s="464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65" t="s">
        <v>35</v>
      </c>
      <c r="B2" s="466"/>
      <c r="C2" s="466"/>
      <c r="D2" s="466"/>
      <c r="E2" s="467"/>
      <c r="F2" s="41">
        <f>F3</f>
        <v>0</v>
      </c>
      <c r="G2" s="442">
        <f>SUM(G3:J3)</f>
        <v>0</v>
      </c>
      <c r="H2" s="442"/>
      <c r="I2" s="442"/>
      <c r="J2" s="442"/>
      <c r="K2" s="442">
        <f>SUM(K3:L3)</f>
        <v>0</v>
      </c>
      <c r="L2" s="442"/>
      <c r="M2" s="442">
        <f>SUM(M3:N3)</f>
        <v>0</v>
      </c>
      <c r="N2" s="442"/>
      <c r="O2" s="442">
        <f>SUM(O3:P3)</f>
        <v>0</v>
      </c>
      <c r="P2" s="442"/>
      <c r="Q2" s="442">
        <f>SUM(Q3:R3)</f>
        <v>0</v>
      </c>
      <c r="R2" s="442"/>
      <c r="S2" s="442">
        <f>SUM(S3:U3)</f>
        <v>0</v>
      </c>
      <c r="T2" s="442"/>
      <c r="U2" s="442"/>
      <c r="V2" s="442">
        <f>SUM(V3:Y3)</f>
        <v>0</v>
      </c>
      <c r="W2" s="442"/>
      <c r="X2" s="442"/>
      <c r="Y2" s="442"/>
      <c r="Z2" s="442">
        <f>SUM(Z3:AC3)</f>
        <v>0</v>
      </c>
      <c r="AA2" s="442"/>
      <c r="AB2" s="442"/>
      <c r="AC2" s="442"/>
      <c r="AD2" s="442">
        <f>SUM(AD3:AE3)</f>
        <v>0</v>
      </c>
      <c r="AE2" s="442"/>
      <c r="AF2" s="442">
        <f>SUM(AF3:AG3)</f>
        <v>0</v>
      </c>
      <c r="AG2" s="442"/>
      <c r="AH2" s="442">
        <f>SUM(AH3:AI3)</f>
        <v>0</v>
      </c>
      <c r="AI2" s="442"/>
      <c r="AJ2" s="442">
        <f>SUM(AJ3:AK3)</f>
        <v>0</v>
      </c>
      <c r="AK2" s="442"/>
      <c r="AL2" s="442">
        <f>SUM(AL3:AN3)</f>
        <v>0</v>
      </c>
      <c r="AM2" s="442"/>
      <c r="AN2" s="442"/>
      <c r="AO2" s="442">
        <f>SUM(AO3:AR3)</f>
        <v>0</v>
      </c>
      <c r="AP2" s="442"/>
      <c r="AQ2" s="442"/>
      <c r="AR2" s="442"/>
      <c r="AS2" s="442">
        <f>SUM(AS3:AV3)</f>
        <v>0</v>
      </c>
      <c r="AT2" s="442"/>
      <c r="AU2" s="442"/>
      <c r="AV2" s="442"/>
      <c r="AW2" s="442">
        <f>SUM(AW3:AY3)</f>
        <v>0</v>
      </c>
      <c r="AX2" s="442"/>
      <c r="AY2" s="442"/>
      <c r="AZ2" s="442">
        <f>SUM(AZ3:BA3)</f>
        <v>0</v>
      </c>
      <c r="BA2" s="442"/>
      <c r="BB2" s="442">
        <f>SUM(BB3:BC3)</f>
        <v>0</v>
      </c>
      <c r="BC2" s="442"/>
      <c r="BD2" s="442">
        <f>SUM(BD3:BF3)</f>
        <v>0</v>
      </c>
      <c r="BE2" s="442"/>
      <c r="BF2" s="442"/>
      <c r="BG2" s="442">
        <f>SUM(BG3:BH3)</f>
        <v>0</v>
      </c>
      <c r="BH2" s="442"/>
      <c r="BI2" s="442">
        <f>SUM(BI3:BJ3)</f>
        <v>0</v>
      </c>
      <c r="BJ2" s="442"/>
      <c r="BK2" s="442">
        <f>SUM(BK3:BL3)</f>
        <v>0</v>
      </c>
      <c r="BL2" s="442"/>
      <c r="BM2" s="442">
        <f>SUM(BM3:BN3)</f>
        <v>0</v>
      </c>
      <c r="BN2" s="442"/>
      <c r="BO2" s="442">
        <f>SUM(BO3:BP3)</f>
        <v>0</v>
      </c>
      <c r="BP2" s="442"/>
      <c r="BQ2" s="442">
        <f>BQ3</f>
        <v>0</v>
      </c>
      <c r="BR2" s="442"/>
      <c r="BS2" s="42"/>
    </row>
    <row r="3" spans="1:71" ht="35.1" customHeight="1" x14ac:dyDescent="0.25">
      <c r="A3" s="468"/>
      <c r="B3" s="469"/>
      <c r="C3" s="469"/>
      <c r="D3" s="469"/>
      <c r="E3" s="470"/>
      <c r="F3" s="43">
        <f>Fasce_Tot!U4</f>
        <v>0</v>
      </c>
      <c r="G3" s="43">
        <f>Fasce_Tot!U5</f>
        <v>0</v>
      </c>
      <c r="H3" s="43">
        <f>Fasce_Tot!U6</f>
        <v>0</v>
      </c>
      <c r="I3" s="43">
        <f>Fasce_Tot!U7</f>
        <v>0</v>
      </c>
      <c r="J3" s="43">
        <f>Fasce_Tot!U8</f>
        <v>0</v>
      </c>
      <c r="K3" s="43">
        <f>Fasce_Tot!U9</f>
        <v>0</v>
      </c>
      <c r="L3" s="43">
        <f>Fasce_Tot!U10</f>
        <v>0</v>
      </c>
      <c r="M3" s="43">
        <f>Fasce_Tot!U11</f>
        <v>0</v>
      </c>
      <c r="N3" s="43">
        <f>Fasce_Tot!U12</f>
        <v>0</v>
      </c>
      <c r="O3" s="43">
        <f>Fasce_Tot!U13</f>
        <v>0</v>
      </c>
      <c r="P3" s="43">
        <f>Fasce_Tot!U14</f>
        <v>0</v>
      </c>
      <c r="Q3" s="43">
        <f>Fasce_Tot!U15</f>
        <v>0</v>
      </c>
      <c r="R3" s="43">
        <f>Fasce_Tot!U16</f>
        <v>0</v>
      </c>
      <c r="S3" s="43">
        <f>Fasce_Tot!U17</f>
        <v>0</v>
      </c>
      <c r="T3" s="43">
        <f>Fasce_Tot!U18</f>
        <v>0</v>
      </c>
      <c r="U3" s="43">
        <f>Fasce_Tot!U19</f>
        <v>0</v>
      </c>
      <c r="V3" s="43">
        <f>Fasce_Tot!U20</f>
        <v>0</v>
      </c>
      <c r="W3" s="43">
        <f>Fasce_Tot!U21</f>
        <v>0</v>
      </c>
      <c r="X3" s="43">
        <f>Fasce_Tot!U22</f>
        <v>0</v>
      </c>
      <c r="Y3" s="43">
        <f>Fasce_Tot!U23</f>
        <v>0</v>
      </c>
      <c r="Z3" s="43">
        <f>Fasce_Tot!U24</f>
        <v>0</v>
      </c>
      <c r="AA3" s="43">
        <f>Fasce_Tot!U25</f>
        <v>0</v>
      </c>
      <c r="AB3" s="43">
        <f>Fasce_Tot!U26</f>
        <v>0</v>
      </c>
      <c r="AC3" s="43">
        <f>Fasce_Tot!U27</f>
        <v>0</v>
      </c>
      <c r="AD3" s="43">
        <f>Fasce_Tot!U28</f>
        <v>0</v>
      </c>
      <c r="AE3" s="43">
        <f>Fasce_Tot!U29</f>
        <v>0</v>
      </c>
      <c r="AF3" s="43">
        <f>Fasce_Tot!U30</f>
        <v>0</v>
      </c>
      <c r="AG3" s="43">
        <f>Fasce_Tot!U31</f>
        <v>0</v>
      </c>
      <c r="AH3" s="43">
        <f>Fasce_Tot!U32</f>
        <v>0</v>
      </c>
      <c r="AI3" s="43">
        <f>Fasce_Tot!U33</f>
        <v>0</v>
      </c>
      <c r="AJ3" s="43">
        <f>Fasce_Tot!U34</f>
        <v>0</v>
      </c>
      <c r="AK3" s="43">
        <f>Fasce_Tot!U35</f>
        <v>0</v>
      </c>
      <c r="AL3" s="43">
        <f>Fasce_Tot!U36</f>
        <v>0</v>
      </c>
      <c r="AM3" s="43">
        <f>Fasce_Tot!U37</f>
        <v>0</v>
      </c>
      <c r="AN3" s="43">
        <f>Fasce_Tot!U38</f>
        <v>0</v>
      </c>
      <c r="AO3" s="43">
        <f>Fasce_Tot!U39</f>
        <v>0</v>
      </c>
      <c r="AP3" s="43">
        <f>Fasce_Tot!U40</f>
        <v>0</v>
      </c>
      <c r="AQ3" s="43">
        <f>Fasce_Tot!U41</f>
        <v>0</v>
      </c>
      <c r="AR3" s="43">
        <f>Fasce_Tot!U42</f>
        <v>0</v>
      </c>
      <c r="AS3" s="43">
        <f>Fasce_Tot!U43</f>
        <v>0</v>
      </c>
      <c r="AT3" s="43">
        <f>Fasce_Tot!U44</f>
        <v>0</v>
      </c>
      <c r="AU3" s="43">
        <f>Fasce_Tot!U45</f>
        <v>0</v>
      </c>
      <c r="AV3" s="43">
        <f>Fasce_Tot!U46</f>
        <v>0</v>
      </c>
      <c r="AW3" s="43">
        <f>Fasce_Tot!U47</f>
        <v>0</v>
      </c>
      <c r="AX3" s="43">
        <f>Fasce_Tot!U48</f>
        <v>0</v>
      </c>
      <c r="AY3" s="43">
        <f>Fasce_Tot!U49</f>
        <v>0</v>
      </c>
      <c r="AZ3" s="43">
        <f>Fasce_Tot!U50</f>
        <v>0</v>
      </c>
      <c r="BA3" s="43">
        <f>Fasce_Tot!U51</f>
        <v>0</v>
      </c>
      <c r="BB3" s="43">
        <f>Fasce_Tot!U52</f>
        <v>0</v>
      </c>
      <c r="BC3" s="43">
        <f>Fasce_Tot!U53</f>
        <v>0</v>
      </c>
      <c r="BD3" s="43">
        <f>Fasce_Tot!U54</f>
        <v>0</v>
      </c>
      <c r="BE3" s="43">
        <f>Fasce_Tot!U55</f>
        <v>0</v>
      </c>
      <c r="BF3" s="43">
        <f>Fasce_Tot!U56</f>
        <v>0</v>
      </c>
      <c r="BG3" s="43">
        <f>Fasce_Tot!U57</f>
        <v>0</v>
      </c>
      <c r="BH3" s="43">
        <f>Fasce_Tot!U58</f>
        <v>0</v>
      </c>
      <c r="BI3" s="43">
        <f>Fasce_Tot!U59</f>
        <v>0</v>
      </c>
      <c r="BJ3" s="43">
        <f>Fasce_Tot!U60</f>
        <v>0</v>
      </c>
      <c r="BK3" s="43">
        <f>Fasce_Tot!U61</f>
        <v>0</v>
      </c>
      <c r="BL3" s="43">
        <f>Fasce_Tot!U62</f>
        <v>0</v>
      </c>
      <c r="BM3" s="43">
        <f>Fasce_Tot!U63</f>
        <v>0</v>
      </c>
      <c r="BN3" s="43">
        <f>Fasce_Tot!U64</f>
        <v>0</v>
      </c>
      <c r="BO3" s="43">
        <f>Fasce_Tot!U65</f>
        <v>0</v>
      </c>
      <c r="BP3" s="43">
        <f>Fasce_Tot!U66</f>
        <v>0</v>
      </c>
      <c r="BQ3" s="43">
        <f>SUM(Fasce_Tot!AA5:'Fasce_Tot'!AA6)</f>
        <v>0</v>
      </c>
      <c r="BR3" s="43">
        <f>SUM(Fasce_Tot!AA7:'Fasce_Tot'!AA8)</f>
        <v>0</v>
      </c>
      <c r="BS3" s="42"/>
    </row>
    <row r="4" spans="1:71" ht="45" customHeight="1" x14ac:dyDescent="0.25">
      <c r="A4" s="471" t="s">
        <v>299</v>
      </c>
      <c r="B4" s="472"/>
      <c r="C4" s="472"/>
      <c r="D4" s="472"/>
      <c r="E4" s="473"/>
      <c r="F4" s="44">
        <f>F5</f>
        <v>0</v>
      </c>
      <c r="G4" s="443">
        <f>SUM(G5:J5)</f>
        <v>0</v>
      </c>
      <c r="H4" s="444"/>
      <c r="I4" s="444"/>
      <c r="J4" s="445"/>
      <c r="K4" s="446">
        <f>SUM(K5:L5)</f>
        <v>0</v>
      </c>
      <c r="L4" s="446"/>
      <c r="M4" s="446">
        <f>SUM(M5:N5)</f>
        <v>0</v>
      </c>
      <c r="N4" s="446"/>
      <c r="O4" s="446">
        <f>SUM(O5:P5)</f>
        <v>0</v>
      </c>
      <c r="P4" s="446"/>
      <c r="Q4" s="446">
        <f>SUM(Q5:R5)</f>
        <v>0</v>
      </c>
      <c r="R4" s="446"/>
      <c r="S4" s="446">
        <f>SUM(S5:U5)</f>
        <v>0</v>
      </c>
      <c r="T4" s="446"/>
      <c r="U4" s="446"/>
      <c r="V4" s="446">
        <f>SUM(V5:Y5)</f>
        <v>0</v>
      </c>
      <c r="W4" s="446"/>
      <c r="X4" s="446"/>
      <c r="Y4" s="446"/>
      <c r="Z4" s="446">
        <f>SUM(Z5:AC5)</f>
        <v>0</v>
      </c>
      <c r="AA4" s="446"/>
      <c r="AB4" s="446"/>
      <c r="AC4" s="446"/>
      <c r="AD4" s="446">
        <f>SUM(AD5:AE5)</f>
        <v>0</v>
      </c>
      <c r="AE4" s="446"/>
      <c r="AF4" s="446">
        <f>SUM(AF5:AG5)</f>
        <v>0</v>
      </c>
      <c r="AG4" s="446"/>
      <c r="AH4" s="446">
        <f>SUM(AH5:AI5)</f>
        <v>0</v>
      </c>
      <c r="AI4" s="446"/>
      <c r="AJ4" s="446">
        <f>SUM(AJ5:AK5)</f>
        <v>0</v>
      </c>
      <c r="AK4" s="446"/>
      <c r="AL4" s="446">
        <f>SUM(AL5:AN5)</f>
        <v>0</v>
      </c>
      <c r="AM4" s="446"/>
      <c r="AN4" s="446"/>
      <c r="AO4" s="446">
        <f>SUM(AO5:AR5)</f>
        <v>0</v>
      </c>
      <c r="AP4" s="446"/>
      <c r="AQ4" s="446"/>
      <c r="AR4" s="446"/>
      <c r="AS4" s="446">
        <f>SUM(AS5:AV5)</f>
        <v>0</v>
      </c>
      <c r="AT4" s="446"/>
      <c r="AU4" s="446"/>
      <c r="AV4" s="446"/>
      <c r="AW4" s="446">
        <f>SUM(AW5:AY5)</f>
        <v>0</v>
      </c>
      <c r="AX4" s="446"/>
      <c r="AY4" s="446"/>
      <c r="AZ4" s="446">
        <f>SUM(AZ5:BA5)</f>
        <v>0</v>
      </c>
      <c r="BA4" s="446"/>
      <c r="BB4" s="446">
        <f>SUM(BB5:BC5)</f>
        <v>0</v>
      </c>
      <c r="BC4" s="446"/>
      <c r="BD4" s="446">
        <f>SUM(BD5:BF5)</f>
        <v>0</v>
      </c>
      <c r="BE4" s="446"/>
      <c r="BF4" s="446"/>
      <c r="BG4" s="446">
        <f>SUM(BG5:BH5)</f>
        <v>0</v>
      </c>
      <c r="BH4" s="446"/>
      <c r="BI4" s="446">
        <f>SUM(BI5:BJ5)</f>
        <v>0</v>
      </c>
      <c r="BJ4" s="446"/>
      <c r="BK4" s="446">
        <f>SUM(BK5:BL5)</f>
        <v>0</v>
      </c>
      <c r="BL4" s="446"/>
      <c r="BM4" s="446">
        <f>SUM(BM5:BN5)</f>
        <v>0</v>
      </c>
      <c r="BN4" s="446"/>
      <c r="BO4" s="446">
        <f>SUM(BO5:BP5)</f>
        <v>0</v>
      </c>
      <c r="BP4" s="446"/>
      <c r="BQ4" s="446">
        <f>BQ5</f>
        <v>0</v>
      </c>
      <c r="BR4" s="446"/>
      <c r="BS4" s="42"/>
    </row>
    <row r="5" spans="1:71" ht="35.1" customHeight="1" x14ac:dyDescent="0.25">
      <c r="A5" s="474"/>
      <c r="B5" s="475"/>
      <c r="C5" s="475"/>
      <c r="D5" s="475"/>
      <c r="E5" s="476"/>
      <c r="F5" s="45">
        <f>Fasce_Tot!V$4</f>
        <v>0</v>
      </c>
      <c r="G5" s="45">
        <f>Fasce_Tot!V$5</f>
        <v>0</v>
      </c>
      <c r="H5" s="45">
        <f>Fasce_Tot!V$6</f>
        <v>0</v>
      </c>
      <c r="I5" s="45">
        <f>Fasce_Tot!V$7</f>
        <v>0</v>
      </c>
      <c r="J5" s="45">
        <f>Fasce_Tot!V$8</f>
        <v>0</v>
      </c>
      <c r="K5" s="45">
        <f>Fasce_Tot!V$9</f>
        <v>0</v>
      </c>
      <c r="L5" s="45">
        <f>Fasce_Tot!V$10</f>
        <v>0</v>
      </c>
      <c r="M5" s="45">
        <f>Fasce_Tot!V$11</f>
        <v>0</v>
      </c>
      <c r="N5" s="45">
        <f>Fasce_Tot!V$12</f>
        <v>0</v>
      </c>
      <c r="O5" s="45">
        <f>Fasce_Tot!V$13</f>
        <v>0</v>
      </c>
      <c r="P5" s="45">
        <f>Fasce_Tot!V$14</f>
        <v>0</v>
      </c>
      <c r="Q5" s="45">
        <f>Fasce_Tot!V$15</f>
        <v>0</v>
      </c>
      <c r="R5" s="45">
        <f>Fasce_Tot!V$16</f>
        <v>0</v>
      </c>
      <c r="S5" s="45">
        <f>Fasce_Tot!V$17</f>
        <v>0</v>
      </c>
      <c r="T5" s="45">
        <f>Fasce_Tot!V$18</f>
        <v>0</v>
      </c>
      <c r="U5" s="45">
        <f>Fasce_Tot!V$19</f>
        <v>0</v>
      </c>
      <c r="V5" s="45">
        <f>Fasce_Tot!V$20</f>
        <v>0</v>
      </c>
      <c r="W5" s="45">
        <f>Fasce_Tot!V$21</f>
        <v>0</v>
      </c>
      <c r="X5" s="45">
        <f>Fasce_Tot!V$22</f>
        <v>0</v>
      </c>
      <c r="Y5" s="45">
        <f>Fasce_Tot!V$23</f>
        <v>0</v>
      </c>
      <c r="Z5" s="45">
        <f>Fasce_Tot!V$24</f>
        <v>0</v>
      </c>
      <c r="AA5" s="45">
        <f>Fasce_Tot!V$25</f>
        <v>0</v>
      </c>
      <c r="AB5" s="45">
        <f>Fasce_Tot!V$26</f>
        <v>0</v>
      </c>
      <c r="AC5" s="45">
        <f>Fasce_Tot!V$27</f>
        <v>0</v>
      </c>
      <c r="AD5" s="45">
        <f>Fasce_Tot!V$28</f>
        <v>0</v>
      </c>
      <c r="AE5" s="45">
        <f>Fasce_Tot!V$29</f>
        <v>0</v>
      </c>
      <c r="AF5" s="45">
        <f>Fasce_Tot!V$30</f>
        <v>0</v>
      </c>
      <c r="AG5" s="45">
        <f>Fasce_Tot!V$31</f>
        <v>0</v>
      </c>
      <c r="AH5" s="45">
        <f>Fasce_Tot!V$32</f>
        <v>0</v>
      </c>
      <c r="AI5" s="45">
        <f>Fasce_Tot!V$33</f>
        <v>0</v>
      </c>
      <c r="AJ5" s="45">
        <f>Fasce_Tot!V$34</f>
        <v>0</v>
      </c>
      <c r="AK5" s="45">
        <f>Fasce_Tot!V$35</f>
        <v>0</v>
      </c>
      <c r="AL5" s="45">
        <f>Fasce_Tot!V$36</f>
        <v>0</v>
      </c>
      <c r="AM5" s="45">
        <f>Fasce_Tot!V$37</f>
        <v>0</v>
      </c>
      <c r="AN5" s="45">
        <f>Fasce_Tot!V$38</f>
        <v>0</v>
      </c>
      <c r="AO5" s="45">
        <f>Fasce_Tot!V$39</f>
        <v>0</v>
      </c>
      <c r="AP5" s="45">
        <f>Fasce_Tot!V$40</f>
        <v>0</v>
      </c>
      <c r="AQ5" s="45">
        <f>Fasce_Tot!V$41</f>
        <v>0</v>
      </c>
      <c r="AR5" s="45">
        <f>Fasce_Tot!V$42</f>
        <v>0</v>
      </c>
      <c r="AS5" s="45">
        <f>Fasce_Tot!V$43</f>
        <v>0</v>
      </c>
      <c r="AT5" s="45">
        <f>Fasce_Tot!V$44</f>
        <v>0</v>
      </c>
      <c r="AU5" s="45">
        <f>Fasce_Tot!V$45</f>
        <v>0</v>
      </c>
      <c r="AV5" s="45">
        <f>Fasce_Tot!V$46</f>
        <v>0</v>
      </c>
      <c r="AW5" s="45">
        <f>Fasce_Tot!V$47</f>
        <v>0</v>
      </c>
      <c r="AX5" s="45">
        <f>Fasce_Tot!V$48</f>
        <v>0</v>
      </c>
      <c r="AY5" s="45">
        <f>Fasce_Tot!V$49</f>
        <v>0</v>
      </c>
      <c r="AZ5" s="45">
        <f>Fasce_Tot!V$50</f>
        <v>0</v>
      </c>
      <c r="BA5" s="45">
        <f>Fasce_Tot!V$51</f>
        <v>0</v>
      </c>
      <c r="BB5" s="45">
        <f>Fasce_Tot!V$52</f>
        <v>0</v>
      </c>
      <c r="BC5" s="45">
        <f>Fasce_Tot!V$53</f>
        <v>0</v>
      </c>
      <c r="BD5" s="45">
        <f>Fasce_Tot!V$54</f>
        <v>0</v>
      </c>
      <c r="BE5" s="45">
        <f>Fasce_Tot!V$55</f>
        <v>0</v>
      </c>
      <c r="BF5" s="45">
        <f>Fasce_Tot!V$56</f>
        <v>0</v>
      </c>
      <c r="BG5" s="45">
        <f>Fasce_Tot!V$57</f>
        <v>0</v>
      </c>
      <c r="BH5" s="45">
        <f>Fasce_Tot!V$58</f>
        <v>0</v>
      </c>
      <c r="BI5" s="45">
        <f>Fasce_Tot!V$59</f>
        <v>0</v>
      </c>
      <c r="BJ5" s="45">
        <f>Fasce_Tot!V$60</f>
        <v>0</v>
      </c>
      <c r="BK5" s="45">
        <f>Fasce_Tot!V$61</f>
        <v>0</v>
      </c>
      <c r="BL5" s="45">
        <f>Fasce_Tot!V$62</f>
        <v>0</v>
      </c>
      <c r="BM5" s="45">
        <f>Fasce_Tot!V$63</f>
        <v>0</v>
      </c>
      <c r="BN5" s="45">
        <f>Fasce_Tot!V$64</f>
        <v>0</v>
      </c>
      <c r="BO5" s="45">
        <f>Fasce_Tot!V$65</f>
        <v>0</v>
      </c>
      <c r="BP5" s="45">
        <f>Fasce_Tot!V$66</f>
        <v>0</v>
      </c>
      <c r="BQ5" s="45">
        <f>SUM(Fasce_Tot!AB5:'Fasce_Tot'!AB6)</f>
        <v>0</v>
      </c>
      <c r="BR5" s="45">
        <f>SUM(Fasce_Tot!AB7:'Fasce_Tot'!AB8)</f>
        <v>0</v>
      </c>
      <c r="BS5" s="42"/>
    </row>
    <row r="6" spans="1:71" ht="45" customHeight="1" x14ac:dyDescent="0.25">
      <c r="A6" s="465" t="s">
        <v>308</v>
      </c>
      <c r="B6" s="466"/>
      <c r="C6" s="466"/>
      <c r="D6" s="466"/>
      <c r="E6" s="467"/>
      <c r="F6" s="41">
        <f>F7</f>
        <v>0</v>
      </c>
      <c r="G6" s="459">
        <f>SUM(G7:J7)</f>
        <v>0</v>
      </c>
      <c r="H6" s="460"/>
      <c r="I6" s="460"/>
      <c r="J6" s="461"/>
      <c r="K6" s="442">
        <f>SUM(K7:L7)</f>
        <v>0</v>
      </c>
      <c r="L6" s="442"/>
      <c r="M6" s="442">
        <f>SUM(M7:N7)</f>
        <v>0</v>
      </c>
      <c r="N6" s="442"/>
      <c r="O6" s="442">
        <f>SUM(O7:P7)</f>
        <v>0</v>
      </c>
      <c r="P6" s="442"/>
      <c r="Q6" s="442">
        <f>SUM(Q7:R7)</f>
        <v>0</v>
      </c>
      <c r="R6" s="442"/>
      <c r="S6" s="442">
        <f>SUM(S7:U7)</f>
        <v>0</v>
      </c>
      <c r="T6" s="442"/>
      <c r="U6" s="442"/>
      <c r="V6" s="442">
        <f>SUM(V7:Y7)</f>
        <v>0</v>
      </c>
      <c r="W6" s="442"/>
      <c r="X6" s="442"/>
      <c r="Y6" s="442"/>
      <c r="Z6" s="442">
        <f>SUM(Z7:AC7)</f>
        <v>0</v>
      </c>
      <c r="AA6" s="442"/>
      <c r="AB6" s="442"/>
      <c r="AC6" s="442"/>
      <c r="AD6" s="442">
        <f>SUM(AD7:AE7)</f>
        <v>0</v>
      </c>
      <c r="AE6" s="442"/>
      <c r="AF6" s="442">
        <f>SUM(AF7:AG7)</f>
        <v>0</v>
      </c>
      <c r="AG6" s="442"/>
      <c r="AH6" s="442">
        <f>SUM(AH7:AI7)</f>
        <v>0</v>
      </c>
      <c r="AI6" s="442"/>
      <c r="AJ6" s="442">
        <f>SUM(AJ7:AK7)</f>
        <v>0</v>
      </c>
      <c r="AK6" s="442"/>
      <c r="AL6" s="442">
        <f>SUM(AL7:AN7)</f>
        <v>0</v>
      </c>
      <c r="AM6" s="442"/>
      <c r="AN6" s="442"/>
      <c r="AO6" s="442">
        <f>SUM(AO7:AR7)</f>
        <v>0</v>
      </c>
      <c r="AP6" s="442"/>
      <c r="AQ6" s="442"/>
      <c r="AR6" s="442"/>
      <c r="AS6" s="442">
        <f>SUM(AS7:AV7)</f>
        <v>0</v>
      </c>
      <c r="AT6" s="442"/>
      <c r="AU6" s="442"/>
      <c r="AV6" s="442"/>
      <c r="AW6" s="442">
        <f>SUM(AW7:AY7)</f>
        <v>0</v>
      </c>
      <c r="AX6" s="442"/>
      <c r="AY6" s="442"/>
      <c r="AZ6" s="442">
        <f>SUM(AZ7:BA7)</f>
        <v>0</v>
      </c>
      <c r="BA6" s="442"/>
      <c r="BB6" s="442">
        <f>SUM(BB7:BC7)</f>
        <v>0</v>
      </c>
      <c r="BC6" s="442"/>
      <c r="BD6" s="442">
        <f>SUM(BD7:BF7)</f>
        <v>0</v>
      </c>
      <c r="BE6" s="442"/>
      <c r="BF6" s="442"/>
      <c r="BG6" s="442">
        <f>SUM(BG7:BH7)</f>
        <v>0</v>
      </c>
      <c r="BH6" s="442"/>
      <c r="BI6" s="442">
        <f>SUM(BI7:BJ7)</f>
        <v>0</v>
      </c>
      <c r="BJ6" s="442"/>
      <c r="BK6" s="442">
        <f>SUM(BK7:BL7)</f>
        <v>0</v>
      </c>
      <c r="BL6" s="442"/>
      <c r="BM6" s="442">
        <f>SUM(BM7:BN7)</f>
        <v>0</v>
      </c>
      <c r="BN6" s="442"/>
      <c r="BO6" s="442">
        <f>SUM(BO7:BP7)</f>
        <v>0</v>
      </c>
      <c r="BP6" s="442"/>
      <c r="BQ6" s="442">
        <f>BQ7</f>
        <v>0</v>
      </c>
      <c r="BR6" s="442"/>
      <c r="BS6" s="42"/>
    </row>
    <row r="7" spans="1:71" ht="35.1" customHeight="1" x14ac:dyDescent="0.25">
      <c r="A7" s="468"/>
      <c r="B7" s="469"/>
      <c r="C7" s="469"/>
      <c r="D7" s="469"/>
      <c r="E7" s="470"/>
      <c r="F7" s="43">
        <f>IF((F5-F8-F9)&lt;0,0,F5-F8-F9)</f>
        <v>0</v>
      </c>
      <c r="G7" s="43">
        <f t="shared" ref="G7:BR7" si="0">IF((G5-G8-G9)&lt;0,0,G5-G8-G9)</f>
        <v>0</v>
      </c>
      <c r="H7" s="43">
        <f t="shared" si="0"/>
        <v>0</v>
      </c>
      <c r="I7" s="43">
        <f t="shared" si="0"/>
        <v>0</v>
      </c>
      <c r="J7" s="43">
        <f t="shared" si="0"/>
        <v>0</v>
      </c>
      <c r="K7" s="43">
        <f t="shared" si="0"/>
        <v>0</v>
      </c>
      <c r="L7" s="43">
        <f t="shared" si="0"/>
        <v>0</v>
      </c>
      <c r="M7" s="43">
        <f t="shared" si="0"/>
        <v>0</v>
      </c>
      <c r="N7" s="43">
        <f t="shared" si="0"/>
        <v>0</v>
      </c>
      <c r="O7" s="43">
        <f t="shared" si="0"/>
        <v>0</v>
      </c>
      <c r="P7" s="43">
        <f t="shared" si="0"/>
        <v>0</v>
      </c>
      <c r="Q7" s="43">
        <f t="shared" si="0"/>
        <v>0</v>
      </c>
      <c r="R7" s="43">
        <f t="shared" si="0"/>
        <v>0</v>
      </c>
      <c r="S7" s="43">
        <f t="shared" si="0"/>
        <v>0</v>
      </c>
      <c r="T7" s="43">
        <f t="shared" si="0"/>
        <v>0</v>
      </c>
      <c r="U7" s="43">
        <f t="shared" si="0"/>
        <v>0</v>
      </c>
      <c r="V7" s="43">
        <f t="shared" si="0"/>
        <v>0</v>
      </c>
      <c r="W7" s="43">
        <f t="shared" si="0"/>
        <v>0</v>
      </c>
      <c r="X7" s="43">
        <f t="shared" si="0"/>
        <v>0</v>
      </c>
      <c r="Y7" s="43">
        <f t="shared" si="0"/>
        <v>0</v>
      </c>
      <c r="Z7" s="43">
        <f t="shared" si="0"/>
        <v>0</v>
      </c>
      <c r="AA7" s="43">
        <f t="shared" si="0"/>
        <v>0</v>
      </c>
      <c r="AB7" s="43">
        <f t="shared" si="0"/>
        <v>0</v>
      </c>
      <c r="AC7" s="43">
        <f t="shared" si="0"/>
        <v>0</v>
      </c>
      <c r="AD7" s="43">
        <f t="shared" si="0"/>
        <v>0</v>
      </c>
      <c r="AE7" s="43">
        <f t="shared" si="0"/>
        <v>0</v>
      </c>
      <c r="AF7" s="43">
        <f t="shared" si="0"/>
        <v>0</v>
      </c>
      <c r="AG7" s="43">
        <f t="shared" si="0"/>
        <v>0</v>
      </c>
      <c r="AH7" s="43">
        <f t="shared" si="0"/>
        <v>0</v>
      </c>
      <c r="AI7" s="43">
        <f t="shared" si="0"/>
        <v>0</v>
      </c>
      <c r="AJ7" s="43">
        <f t="shared" si="0"/>
        <v>0</v>
      </c>
      <c r="AK7" s="43">
        <f t="shared" si="0"/>
        <v>0</v>
      </c>
      <c r="AL7" s="43">
        <f t="shared" si="0"/>
        <v>0</v>
      </c>
      <c r="AM7" s="43">
        <f t="shared" si="0"/>
        <v>0</v>
      </c>
      <c r="AN7" s="43">
        <f t="shared" si="0"/>
        <v>0</v>
      </c>
      <c r="AO7" s="43">
        <f t="shared" si="0"/>
        <v>0</v>
      </c>
      <c r="AP7" s="43">
        <f t="shared" si="0"/>
        <v>0</v>
      </c>
      <c r="AQ7" s="43">
        <f t="shared" si="0"/>
        <v>0</v>
      </c>
      <c r="AR7" s="43">
        <f t="shared" si="0"/>
        <v>0</v>
      </c>
      <c r="AS7" s="43">
        <f t="shared" si="0"/>
        <v>0</v>
      </c>
      <c r="AT7" s="43">
        <f t="shared" si="0"/>
        <v>0</v>
      </c>
      <c r="AU7" s="43">
        <f t="shared" si="0"/>
        <v>0</v>
      </c>
      <c r="AV7" s="43">
        <f t="shared" si="0"/>
        <v>0</v>
      </c>
      <c r="AW7" s="43">
        <f t="shared" si="0"/>
        <v>0</v>
      </c>
      <c r="AX7" s="43">
        <f t="shared" si="0"/>
        <v>0</v>
      </c>
      <c r="AY7" s="43">
        <f t="shared" si="0"/>
        <v>0</v>
      </c>
      <c r="AZ7" s="43">
        <f t="shared" si="0"/>
        <v>0</v>
      </c>
      <c r="BA7" s="43">
        <f t="shared" si="0"/>
        <v>0</v>
      </c>
      <c r="BB7" s="43">
        <f t="shared" si="0"/>
        <v>0</v>
      </c>
      <c r="BC7" s="43">
        <f t="shared" si="0"/>
        <v>0</v>
      </c>
      <c r="BD7" s="43">
        <f t="shared" si="0"/>
        <v>0</v>
      </c>
      <c r="BE7" s="43">
        <f t="shared" si="0"/>
        <v>0</v>
      </c>
      <c r="BF7" s="43">
        <f t="shared" si="0"/>
        <v>0</v>
      </c>
      <c r="BG7" s="43">
        <f t="shared" si="0"/>
        <v>0</v>
      </c>
      <c r="BH7" s="43">
        <f t="shared" si="0"/>
        <v>0</v>
      </c>
      <c r="BI7" s="43">
        <f t="shared" si="0"/>
        <v>0</v>
      </c>
      <c r="BJ7" s="43">
        <f t="shared" si="0"/>
        <v>0</v>
      </c>
      <c r="BK7" s="43">
        <f t="shared" si="0"/>
        <v>0</v>
      </c>
      <c r="BL7" s="43">
        <f t="shared" si="0"/>
        <v>0</v>
      </c>
      <c r="BM7" s="43">
        <f t="shared" si="0"/>
        <v>0</v>
      </c>
      <c r="BN7" s="43">
        <f t="shared" si="0"/>
        <v>0</v>
      </c>
      <c r="BO7" s="43">
        <f t="shared" si="0"/>
        <v>0</v>
      </c>
      <c r="BP7" s="43">
        <f t="shared" si="0"/>
        <v>0</v>
      </c>
      <c r="BQ7" s="43">
        <f t="shared" si="0"/>
        <v>0</v>
      </c>
      <c r="BR7" s="43">
        <f t="shared" si="0"/>
        <v>0</v>
      </c>
      <c r="BS7" s="42"/>
    </row>
    <row r="8" spans="1:71" ht="39.950000000000003" customHeight="1" x14ac:dyDescent="0.25">
      <c r="A8" s="456" t="s">
        <v>300</v>
      </c>
      <c r="B8" s="457"/>
      <c r="C8" s="457"/>
      <c r="D8" s="457"/>
      <c r="E8" s="458"/>
      <c r="F8" s="45">
        <f>Fasce_Tot!W$4</f>
        <v>0</v>
      </c>
      <c r="G8" s="45">
        <f>Fasce_Tot!W$5</f>
        <v>0</v>
      </c>
      <c r="H8" s="45">
        <f>Fasce_Tot!W$6</f>
        <v>0</v>
      </c>
      <c r="I8" s="45">
        <f>Fasce_Tot!W$7</f>
        <v>0</v>
      </c>
      <c r="J8" s="45">
        <f>Fasce_Tot!W$8</f>
        <v>0</v>
      </c>
      <c r="K8" s="45">
        <f>Fasce_Tot!W$9</f>
        <v>0</v>
      </c>
      <c r="L8" s="45">
        <f>Fasce_Tot!W$10</f>
        <v>0</v>
      </c>
      <c r="M8" s="45">
        <f>Fasce_Tot!W$11</f>
        <v>0</v>
      </c>
      <c r="N8" s="45">
        <f>Fasce_Tot!W$12</f>
        <v>0</v>
      </c>
      <c r="O8" s="45">
        <f>Fasce_Tot!W$13</f>
        <v>0</v>
      </c>
      <c r="P8" s="45">
        <f>Fasce_Tot!W$14</f>
        <v>0</v>
      </c>
      <c r="Q8" s="45">
        <f>Fasce_Tot!W$15</f>
        <v>0</v>
      </c>
      <c r="R8" s="45">
        <f>Fasce_Tot!W$16</f>
        <v>0</v>
      </c>
      <c r="S8" s="45">
        <f>Fasce_Tot!W$17</f>
        <v>0</v>
      </c>
      <c r="T8" s="45">
        <f>Fasce_Tot!W$18</f>
        <v>0</v>
      </c>
      <c r="U8" s="45">
        <f>Fasce_Tot!W$19</f>
        <v>0</v>
      </c>
      <c r="V8" s="45">
        <f>Fasce_Tot!W$20</f>
        <v>0</v>
      </c>
      <c r="W8" s="45">
        <f>Fasce_Tot!W$21</f>
        <v>0</v>
      </c>
      <c r="X8" s="45">
        <f>Fasce_Tot!W$22</f>
        <v>0</v>
      </c>
      <c r="Y8" s="45">
        <f>Fasce_Tot!W$23</f>
        <v>0</v>
      </c>
      <c r="Z8" s="45">
        <f>Fasce_Tot!W$24</f>
        <v>0</v>
      </c>
      <c r="AA8" s="45">
        <f>Fasce_Tot!W$25</f>
        <v>0</v>
      </c>
      <c r="AB8" s="45">
        <f>Fasce_Tot!W$26</f>
        <v>0</v>
      </c>
      <c r="AC8" s="45">
        <f>Fasce_Tot!W$27</f>
        <v>0</v>
      </c>
      <c r="AD8" s="45">
        <f>Fasce_Tot!W$28</f>
        <v>0</v>
      </c>
      <c r="AE8" s="45">
        <f>Fasce_Tot!W$29</f>
        <v>0</v>
      </c>
      <c r="AF8" s="45">
        <f>Fasce_Tot!W$30</f>
        <v>0</v>
      </c>
      <c r="AG8" s="45">
        <f>Fasce_Tot!W$31</f>
        <v>0</v>
      </c>
      <c r="AH8" s="45">
        <f>Fasce_Tot!W$32</f>
        <v>0</v>
      </c>
      <c r="AI8" s="45">
        <f>Fasce_Tot!W$33</f>
        <v>0</v>
      </c>
      <c r="AJ8" s="45">
        <f>Fasce_Tot!W$34</f>
        <v>0</v>
      </c>
      <c r="AK8" s="45">
        <f>Fasce_Tot!W$35</f>
        <v>0</v>
      </c>
      <c r="AL8" s="45">
        <f>Fasce_Tot!W$36</f>
        <v>0</v>
      </c>
      <c r="AM8" s="45">
        <f>Fasce_Tot!W$37</f>
        <v>0</v>
      </c>
      <c r="AN8" s="45">
        <f>Fasce_Tot!W$38</f>
        <v>0</v>
      </c>
      <c r="AO8" s="45">
        <f>Fasce_Tot!W$39</f>
        <v>0</v>
      </c>
      <c r="AP8" s="45">
        <f>Fasce_Tot!W$40</f>
        <v>0</v>
      </c>
      <c r="AQ8" s="45">
        <f>Fasce_Tot!W$41</f>
        <v>0</v>
      </c>
      <c r="AR8" s="45">
        <f>Fasce_Tot!W$42</f>
        <v>0</v>
      </c>
      <c r="AS8" s="45">
        <f>Fasce_Tot!W$43</f>
        <v>0</v>
      </c>
      <c r="AT8" s="45">
        <f>Fasce_Tot!W$44</f>
        <v>0</v>
      </c>
      <c r="AU8" s="45">
        <f>Fasce_Tot!W$45</f>
        <v>0</v>
      </c>
      <c r="AV8" s="45">
        <f>Fasce_Tot!W$46</f>
        <v>0</v>
      </c>
      <c r="AW8" s="45">
        <f>Fasce_Tot!W$47</f>
        <v>0</v>
      </c>
      <c r="AX8" s="45">
        <f>Fasce_Tot!W$48</f>
        <v>0</v>
      </c>
      <c r="AY8" s="45">
        <f>Fasce_Tot!W$49</f>
        <v>0</v>
      </c>
      <c r="AZ8" s="45">
        <f>Fasce_Tot!W$50</f>
        <v>0</v>
      </c>
      <c r="BA8" s="45">
        <f>Fasce_Tot!W$51</f>
        <v>0</v>
      </c>
      <c r="BB8" s="45">
        <f>Fasce_Tot!W$52</f>
        <v>0</v>
      </c>
      <c r="BC8" s="45">
        <f>Fasce_Tot!W$53</f>
        <v>0</v>
      </c>
      <c r="BD8" s="45">
        <f>Fasce_Tot!W$54</f>
        <v>0</v>
      </c>
      <c r="BE8" s="45">
        <f>Fasce_Tot!W$55</f>
        <v>0</v>
      </c>
      <c r="BF8" s="45">
        <f>Fasce_Tot!W$56</f>
        <v>0</v>
      </c>
      <c r="BG8" s="45">
        <f>Fasce_Tot!W$57</f>
        <v>0</v>
      </c>
      <c r="BH8" s="45">
        <f>Fasce_Tot!W$58</f>
        <v>0</v>
      </c>
      <c r="BI8" s="45">
        <f>Fasce_Tot!W$59</f>
        <v>0</v>
      </c>
      <c r="BJ8" s="45">
        <f>Fasce_Tot!W$60</f>
        <v>0</v>
      </c>
      <c r="BK8" s="45">
        <f>Fasce_Tot!W$61</f>
        <v>0</v>
      </c>
      <c r="BL8" s="45">
        <f>Fasce_Tot!W$62</f>
        <v>0</v>
      </c>
      <c r="BM8" s="45">
        <f>Fasce_Tot!W$63</f>
        <v>0</v>
      </c>
      <c r="BN8" s="45">
        <f>Fasce_Tot!W$64</f>
        <v>0</v>
      </c>
      <c r="BO8" s="45">
        <f>Fasce_Tot!W$65</f>
        <v>0</v>
      </c>
      <c r="BP8" s="45">
        <f>Fasce_Tot!W$66</f>
        <v>0</v>
      </c>
      <c r="BQ8" s="45">
        <f>SUM(Fasce_Tot!AC5:'Fasce_Tot'!AC6)</f>
        <v>0</v>
      </c>
      <c r="BR8" s="45">
        <f>SUM(Fasce_Tot!AC7:'Fasce_Tot'!AC8)</f>
        <v>0</v>
      </c>
      <c r="BS8" s="42"/>
    </row>
    <row r="9" spans="1:71" ht="39.950000000000003" customHeight="1" x14ac:dyDescent="0.25">
      <c r="A9" s="477" t="s">
        <v>301</v>
      </c>
      <c r="B9" s="478"/>
      <c r="C9" s="478"/>
      <c r="D9" s="478"/>
      <c r="E9" s="479"/>
      <c r="F9" s="43">
        <f>Fasce_Tot!X$4</f>
        <v>0</v>
      </c>
      <c r="G9" s="43">
        <f>Fasce_Tot!X$5</f>
        <v>0</v>
      </c>
      <c r="H9" s="43">
        <f>Fasce_Tot!X$6</f>
        <v>0</v>
      </c>
      <c r="I9" s="43">
        <f>Fasce_Tot!X$7</f>
        <v>0</v>
      </c>
      <c r="J9" s="43">
        <f>Fasce_Tot!X$8</f>
        <v>0</v>
      </c>
      <c r="K9" s="43">
        <f>Fasce_Tot!X$9</f>
        <v>0</v>
      </c>
      <c r="L9" s="43">
        <f>Fasce_Tot!X$10</f>
        <v>0</v>
      </c>
      <c r="M9" s="43">
        <f>Fasce_Tot!X$11</f>
        <v>0</v>
      </c>
      <c r="N9" s="43">
        <f>Fasce_Tot!X$12</f>
        <v>0</v>
      </c>
      <c r="O9" s="43">
        <f>Fasce_Tot!X$13</f>
        <v>0</v>
      </c>
      <c r="P9" s="43">
        <f>Fasce_Tot!X$14</f>
        <v>0</v>
      </c>
      <c r="Q9" s="43">
        <f>Fasce_Tot!X$15</f>
        <v>0</v>
      </c>
      <c r="R9" s="43">
        <f>Fasce_Tot!X$16</f>
        <v>0</v>
      </c>
      <c r="S9" s="43">
        <f>Fasce_Tot!X$17</f>
        <v>0</v>
      </c>
      <c r="T9" s="43">
        <f>Fasce_Tot!X$18</f>
        <v>0</v>
      </c>
      <c r="U9" s="43">
        <f>Fasce_Tot!X$19</f>
        <v>0</v>
      </c>
      <c r="V9" s="43">
        <f>Fasce_Tot!X$20</f>
        <v>0</v>
      </c>
      <c r="W9" s="43">
        <f>Fasce_Tot!X$21</f>
        <v>0</v>
      </c>
      <c r="X9" s="43">
        <f>Fasce_Tot!X$22</f>
        <v>0</v>
      </c>
      <c r="Y9" s="43">
        <f>Fasce_Tot!X$23</f>
        <v>0</v>
      </c>
      <c r="Z9" s="43">
        <f>Fasce_Tot!X$24</f>
        <v>0</v>
      </c>
      <c r="AA9" s="43">
        <f>Fasce_Tot!X$25</f>
        <v>0</v>
      </c>
      <c r="AB9" s="43">
        <f>Fasce_Tot!X$26</f>
        <v>0</v>
      </c>
      <c r="AC9" s="43">
        <f>Fasce_Tot!X$27</f>
        <v>0</v>
      </c>
      <c r="AD9" s="43">
        <f>Fasce_Tot!X$28</f>
        <v>0</v>
      </c>
      <c r="AE9" s="43">
        <f>Fasce_Tot!X$29</f>
        <v>0</v>
      </c>
      <c r="AF9" s="43">
        <f>Fasce_Tot!X$30</f>
        <v>0</v>
      </c>
      <c r="AG9" s="43">
        <f>Fasce_Tot!X$31</f>
        <v>0</v>
      </c>
      <c r="AH9" s="43">
        <f>Fasce_Tot!X$32</f>
        <v>0</v>
      </c>
      <c r="AI9" s="43">
        <f>Fasce_Tot!X$33</f>
        <v>0</v>
      </c>
      <c r="AJ9" s="43">
        <f>Fasce_Tot!X$34</f>
        <v>0</v>
      </c>
      <c r="AK9" s="43">
        <f>Fasce_Tot!X$35</f>
        <v>0</v>
      </c>
      <c r="AL9" s="43">
        <f>Fasce_Tot!X$36</f>
        <v>0</v>
      </c>
      <c r="AM9" s="43">
        <f>Fasce_Tot!X$37</f>
        <v>0</v>
      </c>
      <c r="AN9" s="43">
        <f>Fasce_Tot!X$38</f>
        <v>0</v>
      </c>
      <c r="AO9" s="43">
        <f>Fasce_Tot!X$39</f>
        <v>0</v>
      </c>
      <c r="AP9" s="43">
        <f>Fasce_Tot!X$40</f>
        <v>0</v>
      </c>
      <c r="AQ9" s="43">
        <f>Fasce_Tot!X$41</f>
        <v>0</v>
      </c>
      <c r="AR9" s="43">
        <f>Fasce_Tot!X$42</f>
        <v>0</v>
      </c>
      <c r="AS9" s="43">
        <f>Fasce_Tot!X$43</f>
        <v>0</v>
      </c>
      <c r="AT9" s="43">
        <f>Fasce_Tot!X$44</f>
        <v>0</v>
      </c>
      <c r="AU9" s="43">
        <f>Fasce_Tot!X$45</f>
        <v>0</v>
      </c>
      <c r="AV9" s="43">
        <f>Fasce_Tot!X$46</f>
        <v>0</v>
      </c>
      <c r="AW9" s="43">
        <f>Fasce_Tot!X$47</f>
        <v>0</v>
      </c>
      <c r="AX9" s="43">
        <f>Fasce_Tot!X$48</f>
        <v>0</v>
      </c>
      <c r="AY9" s="43">
        <f>Fasce_Tot!X$49</f>
        <v>0</v>
      </c>
      <c r="AZ9" s="43">
        <f>Fasce_Tot!X$50</f>
        <v>0</v>
      </c>
      <c r="BA9" s="43">
        <f>Fasce_Tot!X$51</f>
        <v>0</v>
      </c>
      <c r="BB9" s="43">
        <f>Fasce_Tot!X$52</f>
        <v>0</v>
      </c>
      <c r="BC9" s="43">
        <f>Fasce_Tot!X$53</f>
        <v>0</v>
      </c>
      <c r="BD9" s="43">
        <f>Fasce_Tot!X$54</f>
        <v>0</v>
      </c>
      <c r="BE9" s="43">
        <f>Fasce_Tot!X$55</f>
        <v>0</v>
      </c>
      <c r="BF9" s="43">
        <f>Fasce_Tot!X$56</f>
        <v>0</v>
      </c>
      <c r="BG9" s="43">
        <f>Fasce_Tot!F$57</f>
        <v>0</v>
      </c>
      <c r="BH9" s="43">
        <f>Fasce_Tot!X$58</f>
        <v>0</v>
      </c>
      <c r="BI9" s="43">
        <f>Fasce_Tot!X$59</f>
        <v>0</v>
      </c>
      <c r="BJ9" s="43">
        <f>Fasce_Tot!X$60</f>
        <v>0</v>
      </c>
      <c r="BK9" s="43">
        <f>Fasce_Tot!X$61</f>
        <v>0</v>
      </c>
      <c r="BL9" s="43">
        <f>Fasce_Tot!X$62</f>
        <v>0</v>
      </c>
      <c r="BM9" s="43">
        <f>Fasce_Tot!X$63</f>
        <v>0</v>
      </c>
      <c r="BN9" s="43">
        <f>Fasce_Tot!X$64</f>
        <v>0</v>
      </c>
      <c r="BO9" s="43">
        <f>Fasce_Tot!X$65</f>
        <v>0</v>
      </c>
      <c r="BP9" s="43">
        <f>Fasce_Tot!X$66</f>
        <v>0</v>
      </c>
      <c r="BQ9" s="43">
        <f>SUM(Fasce_Tot!AD5:'Fasce_Tot'!AD6)</f>
        <v>0</v>
      </c>
      <c r="BR9" s="43">
        <f>SUM(Fasce_Tot!AD7:'Fasce_Tot'!AD8)</f>
        <v>0</v>
      </c>
      <c r="BS9" s="42"/>
    </row>
    <row r="10" spans="1:71" ht="45" customHeight="1" x14ac:dyDescent="0.25">
      <c r="A10" s="447" t="s">
        <v>302</v>
      </c>
      <c r="B10" s="448"/>
      <c r="C10" s="448"/>
      <c r="D10" s="448"/>
      <c r="E10" s="449"/>
      <c r="F10" s="44" t="e">
        <f>F11</f>
        <v>#REF!</v>
      </c>
      <c r="G10" s="443" t="e">
        <f>SUM(G11:J11)</f>
        <v>#REF!</v>
      </c>
      <c r="H10" s="444"/>
      <c r="I10" s="444"/>
      <c r="J10" s="445"/>
      <c r="K10" s="446" t="e">
        <f>SUM(K11:L11)</f>
        <v>#REF!</v>
      </c>
      <c r="L10" s="446"/>
      <c r="M10" s="446" t="e">
        <f>SUM(M11:N11)</f>
        <v>#REF!</v>
      </c>
      <c r="N10" s="446"/>
      <c r="O10" s="446" t="e">
        <f>SUM(O11:P11)</f>
        <v>#REF!</v>
      </c>
      <c r="P10" s="446"/>
      <c r="Q10" s="446" t="e">
        <f>SUM(Q11:R11)</f>
        <v>#REF!</v>
      </c>
      <c r="R10" s="446"/>
      <c r="S10" s="446" t="e">
        <f>SUM(S11:U11)</f>
        <v>#REF!</v>
      </c>
      <c r="T10" s="446"/>
      <c r="U10" s="446"/>
      <c r="V10" s="446" t="e">
        <f>SUM(V11:Y11)</f>
        <v>#REF!</v>
      </c>
      <c r="W10" s="446"/>
      <c r="X10" s="446"/>
      <c r="Y10" s="446"/>
      <c r="Z10" s="446" t="e">
        <f>SUM(Z11:AC11)</f>
        <v>#REF!</v>
      </c>
      <c r="AA10" s="446"/>
      <c r="AB10" s="446"/>
      <c r="AC10" s="446"/>
      <c r="AD10" s="446" t="e">
        <f>SUM(AD11:AE11)</f>
        <v>#REF!</v>
      </c>
      <c r="AE10" s="446"/>
      <c r="AF10" s="446" t="e">
        <f>SUM(AF11:AG11)</f>
        <v>#REF!</v>
      </c>
      <c r="AG10" s="446"/>
      <c r="AH10" s="446" t="e">
        <f>SUM(AH11:AI11)</f>
        <v>#REF!</v>
      </c>
      <c r="AI10" s="446"/>
      <c r="AJ10" s="446" t="e">
        <f>SUM(AJ11:AK11)</f>
        <v>#REF!</v>
      </c>
      <c r="AK10" s="446"/>
      <c r="AL10" s="446" t="e">
        <f>SUM(AL11:AN11)</f>
        <v>#REF!</v>
      </c>
      <c r="AM10" s="446"/>
      <c r="AN10" s="446"/>
      <c r="AO10" s="446" t="e">
        <f>SUM(AO11:AR11)</f>
        <v>#REF!</v>
      </c>
      <c r="AP10" s="446"/>
      <c r="AQ10" s="446"/>
      <c r="AR10" s="446"/>
      <c r="AS10" s="446" t="e">
        <f>SUM(AS11:AV11)</f>
        <v>#REF!</v>
      </c>
      <c r="AT10" s="446"/>
      <c r="AU10" s="446"/>
      <c r="AV10" s="446"/>
      <c r="AW10" s="446" t="e">
        <f>SUM(AW11:AY11)</f>
        <v>#REF!</v>
      </c>
      <c r="AX10" s="446"/>
      <c r="AY10" s="446"/>
      <c r="AZ10" s="446" t="e">
        <f>SUM(AZ11:BA11)</f>
        <v>#REF!</v>
      </c>
      <c r="BA10" s="446"/>
      <c r="BB10" s="446" t="e">
        <f>SUM(BB11:BC11)</f>
        <v>#REF!</v>
      </c>
      <c r="BC10" s="446"/>
      <c r="BD10" s="446" t="e">
        <f>SUM(BD11:BF11)</f>
        <v>#REF!</v>
      </c>
      <c r="BE10" s="446"/>
      <c r="BF10" s="446"/>
      <c r="BG10" s="446" t="e">
        <f>SUM(BG11:BH11)</f>
        <v>#REF!</v>
      </c>
      <c r="BH10" s="446"/>
      <c r="BI10" s="446" t="e">
        <f>SUM(BI11:BJ11)</f>
        <v>#REF!</v>
      </c>
      <c r="BJ10" s="446"/>
      <c r="BK10" s="446" t="e">
        <f>SUM(BK11:BL11)</f>
        <v>#REF!</v>
      </c>
      <c r="BL10" s="446"/>
      <c r="BM10" s="446" t="e">
        <f>SUM(BM11:BN11)</f>
        <v>#REF!</v>
      </c>
      <c r="BN10" s="446"/>
      <c r="BO10" s="446" t="e">
        <f>SUM(BO11:BP11)</f>
        <v>#REF!</v>
      </c>
      <c r="BP10" s="446"/>
      <c r="BQ10" s="446" t="e">
        <f>BQ11</f>
        <v>#REF!</v>
      </c>
      <c r="BR10" s="446"/>
      <c r="BS10" s="42"/>
    </row>
    <row r="11" spans="1:71" ht="35.1" customHeight="1" x14ac:dyDescent="0.25">
      <c r="A11" s="450"/>
      <c r="B11" s="451"/>
      <c r="C11" s="451"/>
      <c r="D11" s="451"/>
      <c r="E11" s="45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53" t="s">
        <v>36</v>
      </c>
      <c r="B12" s="454"/>
      <c r="C12" s="454"/>
      <c r="D12" s="454"/>
      <c r="E12" s="45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18" t="e">
        <f>V$4*Percentuali!$M$10</f>
        <v>#REF!</v>
      </c>
      <c r="W12" s="419"/>
      <c r="X12" s="419"/>
      <c r="Y12" s="420"/>
      <c r="Z12" s="418" t="e">
        <f>Z$4*Percentuali!$M$11</f>
        <v>#REF!</v>
      </c>
      <c r="AA12" s="419"/>
      <c r="AB12" s="419"/>
      <c r="AC12" s="420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18" t="e">
        <f>AO$4*Percentuali!$M$17</f>
        <v>#REF!</v>
      </c>
      <c r="AP12" s="419"/>
      <c r="AQ12" s="419"/>
      <c r="AR12" s="420"/>
      <c r="AS12" s="418" t="e">
        <f>AS$4*Percentuali!$M$18</f>
        <v>#REF!</v>
      </c>
      <c r="AT12" s="419"/>
      <c r="AU12" s="419"/>
      <c r="AV12" s="420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56" t="s">
        <v>183</v>
      </c>
      <c r="B13" s="457"/>
      <c r="C13" s="457"/>
      <c r="D13" s="457"/>
      <c r="E13" s="458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15" t="e">
        <f>V$4*Percentuali!$N$10</f>
        <v>#REF!</v>
      </c>
      <c r="W13" s="416"/>
      <c r="X13" s="416"/>
      <c r="Y13" s="417"/>
      <c r="Z13" s="415" t="e">
        <f>Z$4*Percentuali!$N$11</f>
        <v>#REF!</v>
      </c>
      <c r="AA13" s="416"/>
      <c r="AB13" s="416"/>
      <c r="AC13" s="417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15" t="e">
        <f>AO$4*Percentuali!$N$17</f>
        <v>#REF!</v>
      </c>
      <c r="AP13" s="416"/>
      <c r="AQ13" s="416"/>
      <c r="AR13" s="417"/>
      <c r="AS13" s="415" t="e">
        <f>AS$4*Percentuali!$N$18</f>
        <v>#REF!</v>
      </c>
      <c r="AT13" s="416"/>
      <c r="AU13" s="416"/>
      <c r="AV13" s="417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53" t="s">
        <v>304</v>
      </c>
      <c r="B14" s="454"/>
      <c r="C14" s="454"/>
      <c r="D14" s="454"/>
      <c r="E14" s="45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53" t="s">
        <v>303</v>
      </c>
      <c r="B15" s="454"/>
      <c r="C15" s="454"/>
      <c r="D15" s="454"/>
      <c r="E15" s="45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51"/>
      <c r="B16" s="52"/>
      <c r="C16" s="52"/>
      <c r="D16" s="53"/>
      <c r="E16" s="424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130"/>
    </row>
    <row r="17" spans="1:71" ht="24.95" customHeight="1" x14ac:dyDescent="0.55000000000000004">
      <c r="A17" s="60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2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130"/>
    </row>
    <row r="18" spans="1:71" ht="32.1" customHeight="1" x14ac:dyDescent="0.55000000000000004">
      <c r="A18" s="51"/>
      <c r="B18" s="52"/>
      <c r="C18" s="66"/>
      <c r="D18" s="66"/>
      <c r="E18" s="424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130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2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130"/>
    </row>
    <row r="20" spans="1:71" ht="32.1" customHeight="1" x14ac:dyDescent="0.55000000000000004">
      <c r="A20" s="51"/>
      <c r="B20" s="52"/>
      <c r="C20" s="66"/>
      <c r="D20" s="66"/>
      <c r="E20" s="424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130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2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130"/>
    </row>
    <row r="22" spans="1:71" ht="32.1" customHeight="1" thickBot="1" x14ac:dyDescent="0.6">
      <c r="A22" s="68"/>
      <c r="B22" s="69"/>
      <c r="C22" s="70"/>
      <c r="D22" s="70"/>
      <c r="E22" s="440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130"/>
    </row>
    <row r="23" spans="1:71" ht="32.1" customHeight="1" x14ac:dyDescent="0.55000000000000004">
      <c r="A23" s="71"/>
      <c r="B23" s="72"/>
      <c r="C23" s="73"/>
      <c r="D23" s="73"/>
      <c r="E23" s="423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130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2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130"/>
    </row>
    <row r="25" spans="1:71" ht="32.1" customHeight="1" x14ac:dyDescent="0.55000000000000004">
      <c r="A25" s="51"/>
      <c r="B25" s="52"/>
      <c r="C25" s="66"/>
      <c r="D25" s="66"/>
      <c r="E25" s="424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130"/>
    </row>
    <row r="26" spans="1:71" ht="24.95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24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130"/>
    </row>
    <row r="27" spans="1:71" ht="32.1" customHeight="1" x14ac:dyDescent="0.55000000000000004">
      <c r="A27" s="51"/>
      <c r="B27" s="52"/>
      <c r="C27" s="66"/>
      <c r="D27" s="66"/>
      <c r="E27" s="424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130"/>
    </row>
    <row r="28" spans="1:71" ht="24.95" customHeight="1" x14ac:dyDescent="0.55000000000000004">
      <c r="A28" s="268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2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130"/>
    </row>
    <row r="29" spans="1:71" ht="32.1" customHeight="1" x14ac:dyDescent="0.55000000000000004">
      <c r="A29" s="51"/>
      <c r="B29" s="52"/>
      <c r="C29" s="66"/>
      <c r="D29" s="66"/>
      <c r="E29" s="424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130"/>
    </row>
    <row r="30" spans="1:71" ht="24.95" customHeight="1" x14ac:dyDescent="0.55000000000000004">
      <c r="A30" s="60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2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130"/>
    </row>
    <row r="31" spans="1:71" ht="32.1" customHeight="1" thickBot="1" x14ac:dyDescent="0.6">
      <c r="A31" s="98"/>
      <c r="B31" s="99"/>
      <c r="C31" s="100"/>
      <c r="D31" s="100"/>
      <c r="E31" s="441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30"/>
    </row>
    <row r="32" spans="1:71" ht="32.1" customHeight="1" x14ac:dyDescent="0.55000000000000004">
      <c r="A32" s="103"/>
      <c r="B32" s="104"/>
      <c r="C32" s="105"/>
      <c r="D32" s="105"/>
      <c r="E32" s="439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130"/>
    </row>
    <row r="33" spans="1:71" ht="24.95" customHeight="1" x14ac:dyDescent="0.55000000000000004">
      <c r="A33" s="60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2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130"/>
    </row>
    <row r="34" spans="1:71" ht="32.1" customHeight="1" x14ac:dyDescent="0.55000000000000004">
      <c r="A34" s="52"/>
      <c r="B34" s="52"/>
      <c r="C34" s="66"/>
      <c r="D34" s="66"/>
      <c r="E34" s="424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130"/>
    </row>
    <row r="35" spans="1:71" ht="24.95" customHeight="1" x14ac:dyDescent="0.55000000000000004">
      <c r="A35" s="60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2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130"/>
    </row>
    <row r="36" spans="1:71" ht="32.1" customHeight="1" x14ac:dyDescent="0.55000000000000004">
      <c r="A36" s="52"/>
      <c r="B36" s="52"/>
      <c r="C36" s="66"/>
      <c r="D36" s="66"/>
      <c r="E36" s="424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130"/>
    </row>
    <row r="37" spans="1:71" ht="24.95" customHeight="1" x14ac:dyDescent="0.55000000000000004">
      <c r="A37" s="61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2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130"/>
    </row>
    <row r="38" spans="1:71" ht="32.1" customHeight="1" x14ac:dyDescent="0.55000000000000004">
      <c r="A38" s="52"/>
      <c r="B38" s="52"/>
      <c r="C38" s="66"/>
      <c r="D38" s="66"/>
      <c r="E38" s="424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130"/>
    </row>
    <row r="39" spans="1:71" ht="24.95" customHeight="1" x14ac:dyDescent="0.55000000000000004">
      <c r="A39" s="268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2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130"/>
    </row>
    <row r="40" spans="1:71" ht="32.1" customHeight="1" x14ac:dyDescent="0.55000000000000004">
      <c r="A40" s="51"/>
      <c r="B40" s="52"/>
      <c r="C40" s="66"/>
      <c r="D40" s="66"/>
      <c r="E40" s="424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130"/>
    </row>
    <row r="41" spans="1:71" ht="24.95" customHeight="1" x14ac:dyDescent="0.55000000000000004">
      <c r="A41" s="268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2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130"/>
    </row>
    <row r="42" spans="1:71" ht="32.1" customHeight="1" x14ac:dyDescent="0.55000000000000004">
      <c r="A42" s="51"/>
      <c r="B42" s="52"/>
      <c r="C42" s="66"/>
      <c r="D42" s="66"/>
      <c r="E42" s="424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130"/>
    </row>
    <row r="43" spans="1:71" ht="24.95" customHeight="1" x14ac:dyDescent="0.55000000000000004">
      <c r="A43" s="60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2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130"/>
    </row>
    <row r="44" spans="1:71" ht="32.1" customHeight="1" x14ac:dyDescent="0.55000000000000004">
      <c r="A44" s="51"/>
      <c r="B44" s="52"/>
      <c r="C44" s="66"/>
      <c r="D44" s="66"/>
      <c r="E44" s="424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130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2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130"/>
    </row>
    <row r="46" spans="1:71" ht="32.1" customHeight="1" thickBot="1" x14ac:dyDescent="0.6">
      <c r="A46" s="69"/>
      <c r="B46" s="69"/>
      <c r="C46" s="70"/>
      <c r="D46" s="70"/>
      <c r="E46" s="440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130"/>
    </row>
    <row r="47" spans="1:71" ht="32.1" customHeight="1" x14ac:dyDescent="0.55000000000000004">
      <c r="A47" s="72"/>
      <c r="B47" s="72"/>
      <c r="C47" s="73"/>
      <c r="D47" s="73"/>
      <c r="E47" s="423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130"/>
    </row>
    <row r="48" spans="1:71" ht="24.95" customHeight="1" x14ac:dyDescent="0.55000000000000004">
      <c r="A48" s="60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2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130"/>
    </row>
    <row r="49" spans="1:71" ht="32.1" customHeight="1" x14ac:dyDescent="0.55000000000000004">
      <c r="A49" s="51"/>
      <c r="B49" s="52"/>
      <c r="C49" s="66"/>
      <c r="D49" s="66"/>
      <c r="E49" s="424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130"/>
    </row>
    <row r="50" spans="1:71" ht="24.95" customHeight="1" x14ac:dyDescent="0.55000000000000004">
      <c r="A50" s="60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2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130"/>
    </row>
    <row r="51" spans="1:71" ht="32.1" customHeight="1" x14ac:dyDescent="0.55000000000000004">
      <c r="A51" s="51"/>
      <c r="B51" s="52"/>
      <c r="C51" s="66"/>
      <c r="D51" s="66"/>
      <c r="E51" s="424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130"/>
    </row>
    <row r="52" spans="1:71" ht="24.95" customHeight="1" x14ac:dyDescent="0.55000000000000004">
      <c r="A52" s="268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2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130"/>
    </row>
    <row r="53" spans="1:71" ht="32.1" customHeight="1" thickBot="1" x14ac:dyDescent="0.6">
      <c r="A53" s="98"/>
      <c r="B53" s="99"/>
      <c r="C53" s="100"/>
      <c r="D53" s="100"/>
      <c r="E53" s="441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30"/>
    </row>
    <row r="54" spans="1:71" ht="32.1" customHeight="1" x14ac:dyDescent="0.55000000000000004">
      <c r="A54" s="103"/>
      <c r="B54" s="104"/>
      <c r="C54" s="105"/>
      <c r="D54" s="105"/>
      <c r="E54" s="439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130"/>
    </row>
    <row r="55" spans="1:71" ht="24.95" customHeight="1" x14ac:dyDescent="0.55000000000000004">
      <c r="A55" s="60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24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130"/>
    </row>
    <row r="56" spans="1:71" ht="32.1" customHeight="1" x14ac:dyDescent="0.55000000000000004">
      <c r="A56" s="51"/>
      <c r="B56" s="52"/>
      <c r="C56" s="66"/>
      <c r="D56" s="66"/>
      <c r="E56" s="424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130"/>
    </row>
    <row r="57" spans="1:71" ht="24.95" customHeight="1" x14ac:dyDescent="0.55000000000000004">
      <c r="A57" s="109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24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130"/>
    </row>
    <row r="58" spans="1:71" ht="32.1" customHeight="1" x14ac:dyDescent="0.55000000000000004">
      <c r="A58" s="51"/>
      <c r="B58" s="52"/>
      <c r="C58" s="66"/>
      <c r="D58" s="66"/>
      <c r="E58" s="424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130"/>
    </row>
    <row r="59" spans="1:71" ht="24.95" customHeight="1" x14ac:dyDescent="0.55000000000000004">
      <c r="A59" s="60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24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130"/>
    </row>
    <row r="60" spans="1:71" ht="32.1" customHeight="1" x14ac:dyDescent="0.55000000000000004">
      <c r="A60" s="51"/>
      <c r="B60" s="52"/>
      <c r="C60" s="66"/>
      <c r="D60" s="66"/>
      <c r="E60" s="424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130"/>
    </row>
    <row r="61" spans="1:71" ht="24.95" customHeight="1" x14ac:dyDescent="0.55000000000000004">
      <c r="A61" s="60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24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130"/>
    </row>
    <row r="62" spans="1:71" ht="32.1" customHeight="1" x14ac:dyDescent="0.55000000000000004">
      <c r="A62" s="51"/>
      <c r="B62" s="52"/>
      <c r="C62" s="66"/>
      <c r="D62" s="66"/>
      <c r="E62" s="424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130"/>
    </row>
    <row r="63" spans="1:71" ht="24.95" customHeight="1" x14ac:dyDescent="0.55000000000000004">
      <c r="A63" s="60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24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130"/>
    </row>
    <row r="64" spans="1:71" ht="32.1" customHeight="1" x14ac:dyDescent="0.55000000000000004">
      <c r="A64" s="51"/>
      <c r="B64" s="52"/>
      <c r="C64" s="66"/>
      <c r="D64" s="66"/>
      <c r="E64" s="424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130"/>
    </row>
    <row r="65" spans="1:71" ht="24.95" customHeight="1" x14ac:dyDescent="0.55000000000000004">
      <c r="A65" s="109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24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130"/>
    </row>
    <row r="66" spans="1:71" ht="32.1" customHeight="1" thickBot="1" x14ac:dyDescent="0.6">
      <c r="A66" s="68"/>
      <c r="B66" s="69"/>
      <c r="C66" s="70"/>
      <c r="D66" s="70"/>
      <c r="E66" s="440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130"/>
    </row>
    <row r="67" spans="1:71" ht="32.1" customHeight="1" x14ac:dyDescent="0.55000000000000004">
      <c r="A67" s="71"/>
      <c r="B67" s="72"/>
      <c r="C67" s="73"/>
      <c r="D67" s="73"/>
      <c r="E67" s="423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130"/>
    </row>
    <row r="68" spans="1:71" ht="24.95" customHeight="1" x14ac:dyDescent="0.55000000000000004">
      <c r="A68" s="60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2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130"/>
    </row>
    <row r="69" spans="1:71" ht="32.1" customHeight="1" x14ac:dyDescent="0.55000000000000004">
      <c r="A69" s="51"/>
      <c r="B69" s="52"/>
      <c r="C69" s="66"/>
      <c r="D69" s="66"/>
      <c r="E69" s="424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130"/>
    </row>
    <row r="70" spans="1:71" ht="24.95" customHeight="1" x14ac:dyDescent="0.55000000000000004">
      <c r="A70" s="268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24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130"/>
    </row>
    <row r="71" spans="1:71" ht="32.1" customHeight="1" x14ac:dyDescent="0.55000000000000004">
      <c r="A71" s="51"/>
      <c r="B71" s="52"/>
      <c r="C71" s="66"/>
      <c r="D71" s="66"/>
      <c r="E71" s="424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130"/>
    </row>
    <row r="72" spans="1:71" ht="24.95" customHeight="1" x14ac:dyDescent="0.55000000000000004">
      <c r="A72" s="268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24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130"/>
    </row>
    <row r="73" spans="1:71" ht="32.1" customHeight="1" x14ac:dyDescent="0.55000000000000004">
      <c r="A73" s="51"/>
      <c r="B73" s="52"/>
      <c r="C73" s="66"/>
      <c r="D73" s="66"/>
      <c r="E73" s="424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130"/>
    </row>
    <row r="74" spans="1:71" ht="24.95" customHeight="1" x14ac:dyDescent="0.55000000000000004">
      <c r="A74" s="60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24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130"/>
    </row>
    <row r="75" spans="1:71" ht="32.1" customHeight="1" x14ac:dyDescent="0.55000000000000004">
      <c r="A75" s="51"/>
      <c r="B75" s="52"/>
      <c r="C75" s="66"/>
      <c r="D75" s="66"/>
      <c r="E75" s="424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130"/>
    </row>
    <row r="76" spans="1:71" ht="24.95" customHeight="1" x14ac:dyDescent="0.55000000000000004">
      <c r="A76" s="60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24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130"/>
    </row>
    <row r="77" spans="1:71" ht="32.1" customHeight="1" x14ac:dyDescent="0.55000000000000004">
      <c r="A77" s="51"/>
      <c r="B77" s="52"/>
      <c r="C77" s="66"/>
      <c r="D77" s="66"/>
      <c r="E77" s="424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130"/>
    </row>
    <row r="78" spans="1:71" ht="24.95" customHeight="1" x14ac:dyDescent="0.55000000000000004">
      <c r="A78" s="60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24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130"/>
    </row>
    <row r="79" spans="1:71" ht="32.1" customHeight="1" thickBot="1" x14ac:dyDescent="0.6">
      <c r="A79" s="98"/>
      <c r="B79" s="99"/>
      <c r="C79" s="100"/>
      <c r="D79" s="100"/>
      <c r="E79" s="441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130"/>
    </row>
    <row r="80" spans="1:71" ht="32.1" customHeight="1" x14ac:dyDescent="0.55000000000000004">
      <c r="A80" s="103"/>
      <c r="B80" s="104"/>
      <c r="C80" s="105"/>
      <c r="D80" s="105"/>
      <c r="E80" s="439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130"/>
    </row>
    <row r="81" spans="1:71" ht="24.95" customHeight="1" x14ac:dyDescent="0.55000000000000004">
      <c r="A81" s="270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2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130"/>
    </row>
    <row r="82" spans="1:71" ht="32.1" customHeight="1" x14ac:dyDescent="0.55000000000000004">
      <c r="B82" s="52"/>
      <c r="C82" s="66"/>
      <c r="D82" s="66"/>
      <c r="E82" s="42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130"/>
    </row>
    <row r="83" spans="1:71" ht="24.95" customHeight="1" x14ac:dyDescent="0.55000000000000004">
      <c r="A83" s="60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24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130"/>
    </row>
    <row r="84" spans="1:71" ht="32.1" customHeight="1" x14ac:dyDescent="0.55000000000000004">
      <c r="A84" s="51"/>
      <c r="B84" s="52"/>
      <c r="C84" s="66"/>
      <c r="D84" s="66"/>
      <c r="E84" s="424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130"/>
    </row>
    <row r="85" spans="1:71" ht="24.95" customHeight="1" x14ac:dyDescent="0.55000000000000004">
      <c r="A85" s="60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2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130"/>
    </row>
    <row r="86" spans="1:71" ht="32.1" customHeight="1" thickBot="1" x14ac:dyDescent="0.6">
      <c r="A86" s="68"/>
      <c r="B86" s="69"/>
      <c r="C86" s="70"/>
      <c r="D86" s="70"/>
      <c r="E86" s="440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130"/>
    </row>
    <row r="87" spans="1:71" ht="32.1" customHeight="1" x14ac:dyDescent="0.55000000000000004">
      <c r="A87" s="71"/>
      <c r="B87" s="72"/>
      <c r="C87" s="73"/>
      <c r="D87" s="73"/>
      <c r="E87" s="423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130"/>
    </row>
    <row r="88" spans="1:71" ht="24.95" customHeight="1" x14ac:dyDescent="0.55000000000000004">
      <c r="A88" s="268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2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130"/>
    </row>
    <row r="89" spans="1:71" ht="32.1" customHeight="1" x14ac:dyDescent="0.55000000000000004">
      <c r="A89" s="51"/>
      <c r="B89" s="52"/>
      <c r="C89" s="66"/>
      <c r="D89" s="66"/>
      <c r="E89" s="42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130"/>
    </row>
    <row r="90" spans="1:71" ht="24.95" customHeight="1" x14ac:dyDescent="0.55000000000000004">
      <c r="A90" s="268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2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130"/>
    </row>
    <row r="91" spans="1:71" ht="32.1" customHeight="1" x14ac:dyDescent="0.55000000000000004">
      <c r="A91" s="51"/>
      <c r="B91" s="52"/>
      <c r="C91" s="66"/>
      <c r="D91" s="66"/>
      <c r="E91" s="42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130"/>
    </row>
    <row r="92" spans="1:71" ht="24.95" customHeight="1" x14ac:dyDescent="0.55000000000000004">
      <c r="A92" s="268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2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130"/>
    </row>
    <row r="93" spans="1:71" s="117" customFormat="1" ht="32.1" customHeight="1" x14ac:dyDescent="0.55000000000000004">
      <c r="A93" s="51"/>
      <c r="B93" s="52"/>
      <c r="C93" s="66"/>
      <c r="D93" s="66"/>
      <c r="E93" s="42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52"/>
    </row>
    <row r="94" spans="1:71" ht="24.95" customHeight="1" x14ac:dyDescent="0.55000000000000004">
      <c r="A94" s="60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2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130"/>
    </row>
    <row r="95" spans="1:71" s="117" customFormat="1" ht="32.1" customHeight="1" x14ac:dyDescent="0.55000000000000004">
      <c r="A95" s="51"/>
      <c r="B95" s="52"/>
      <c r="C95" s="66"/>
      <c r="D95" s="66"/>
      <c r="E95" s="42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52"/>
    </row>
    <row r="96" spans="1:71" ht="24.95" customHeight="1" x14ac:dyDescent="0.55000000000000004">
      <c r="A96" s="268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2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130"/>
    </row>
    <row r="97" spans="1:71" s="117" customFormat="1" ht="32.1" customHeight="1" x14ac:dyDescent="0.55000000000000004">
      <c r="A97" s="51"/>
      <c r="B97" s="52"/>
      <c r="C97" s="66"/>
      <c r="D97" s="66"/>
      <c r="E97" s="42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52"/>
    </row>
    <row r="98" spans="1:71" ht="24.95" customHeight="1" x14ac:dyDescent="0.55000000000000004">
      <c r="A98" s="60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2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130"/>
    </row>
    <row r="99" spans="1:71" ht="32.1" customHeight="1" x14ac:dyDescent="0.55000000000000004">
      <c r="A99" s="51"/>
      <c r="B99" s="52"/>
      <c r="C99" s="66"/>
      <c r="D99" s="66"/>
      <c r="E99" s="42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130"/>
    </row>
    <row r="100" spans="1:71" ht="24.95" customHeight="1" x14ac:dyDescent="0.55000000000000004">
      <c r="A100" s="60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2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130"/>
    </row>
    <row r="101" spans="1:71" ht="32.1" customHeight="1" x14ac:dyDescent="0.55000000000000004">
      <c r="A101" s="51"/>
      <c r="B101" s="52"/>
      <c r="C101" s="66"/>
      <c r="D101" s="66"/>
      <c r="E101" s="42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130"/>
    </row>
    <row r="102" spans="1:71" ht="24.95" customHeight="1" x14ac:dyDescent="0.55000000000000004">
      <c r="A102" s="268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2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130"/>
    </row>
    <row r="103" spans="1:71" ht="32.1" customHeight="1" x14ac:dyDescent="0.55000000000000004">
      <c r="A103" s="51"/>
      <c r="B103" s="52"/>
      <c r="C103" s="66"/>
      <c r="D103" s="66"/>
      <c r="E103" s="42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130"/>
    </row>
    <row r="104" spans="1:71" ht="24.95" customHeight="1" x14ac:dyDescent="0.55000000000000004">
      <c r="A104" s="268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2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130"/>
    </row>
    <row r="105" spans="1:71" ht="32.1" customHeight="1" x14ac:dyDescent="0.55000000000000004">
      <c r="A105" s="51"/>
      <c r="B105" s="52"/>
      <c r="C105" s="66"/>
      <c r="D105" s="66"/>
      <c r="E105" s="42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130"/>
    </row>
    <row r="106" spans="1:71" ht="24.95" customHeight="1" x14ac:dyDescent="0.55000000000000004">
      <c r="A106" s="60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2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130"/>
    </row>
    <row r="107" spans="1:71" ht="32.1" customHeight="1" x14ac:dyDescent="0.55000000000000004">
      <c r="A107" s="51"/>
      <c r="B107" s="52"/>
      <c r="C107" s="66"/>
      <c r="D107" s="66"/>
      <c r="E107" s="42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130"/>
    </row>
    <row r="108" spans="1:71" ht="24.95" customHeight="1" x14ac:dyDescent="0.55000000000000004">
      <c r="A108" s="60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2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130"/>
    </row>
    <row r="109" spans="1:71" ht="32.1" customHeight="1" thickBot="1" x14ac:dyDescent="0.6">
      <c r="A109" s="98"/>
      <c r="B109" s="99"/>
      <c r="C109" s="100"/>
      <c r="D109" s="100"/>
      <c r="E109" s="44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130"/>
    </row>
    <row r="110" spans="1:71" ht="32.1" customHeight="1" x14ac:dyDescent="0.55000000000000004">
      <c r="A110" s="103"/>
      <c r="B110" s="104"/>
      <c r="C110" s="105"/>
      <c r="D110" s="105"/>
      <c r="E110" s="439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130"/>
    </row>
    <row r="111" spans="1:71" ht="24.95" customHeight="1" x14ac:dyDescent="0.55000000000000004">
      <c r="A111" s="268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2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130"/>
    </row>
    <row r="112" spans="1:71" ht="32.1" customHeight="1" x14ac:dyDescent="0.55000000000000004">
      <c r="A112" s="51"/>
      <c r="B112" s="52"/>
      <c r="C112" s="66"/>
      <c r="D112" s="66"/>
      <c r="E112" s="42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130"/>
    </row>
    <row r="113" spans="1:71" ht="24.95" customHeight="1" x14ac:dyDescent="0.55000000000000004">
      <c r="A113" s="60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2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130"/>
    </row>
    <row r="114" spans="1:71" ht="32.1" customHeight="1" x14ac:dyDescent="0.55000000000000004">
      <c r="A114" s="51"/>
      <c r="B114" s="52"/>
      <c r="C114" s="66"/>
      <c r="D114" s="66"/>
      <c r="E114" s="42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130"/>
    </row>
    <row r="115" spans="1:71" ht="24.95" customHeight="1" x14ac:dyDescent="0.55000000000000004">
      <c r="A115" s="268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2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130"/>
    </row>
    <row r="116" spans="1:71" ht="31.9" customHeight="1" x14ac:dyDescent="0.55000000000000004">
      <c r="A116" s="51"/>
      <c r="B116" s="52"/>
      <c r="C116" s="66"/>
      <c r="D116" s="66"/>
      <c r="E116" s="42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130"/>
    </row>
    <row r="117" spans="1:71" ht="24.95" customHeight="1" x14ac:dyDescent="0.55000000000000004">
      <c r="A117" s="268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2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130"/>
    </row>
    <row r="118" spans="1:71" ht="32.1" customHeight="1" x14ac:dyDescent="0.55000000000000004">
      <c r="A118" s="51"/>
      <c r="B118" s="52"/>
      <c r="C118" s="66"/>
      <c r="D118" s="66"/>
      <c r="E118" s="424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130"/>
    </row>
    <row r="119" spans="1:71" ht="24.95" customHeight="1" x14ac:dyDescent="0.55000000000000004">
      <c r="A119" s="60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2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130"/>
    </row>
    <row r="120" spans="1:71" ht="32.1" customHeight="1" x14ac:dyDescent="0.55000000000000004">
      <c r="A120" s="51"/>
      <c r="B120" s="52"/>
      <c r="C120" s="66"/>
      <c r="D120" s="66"/>
      <c r="E120" s="42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130"/>
    </row>
    <row r="121" spans="1:71" ht="24.95" customHeight="1" x14ac:dyDescent="0.55000000000000004">
      <c r="A121" s="268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2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130"/>
    </row>
    <row r="122" spans="1:71" ht="32.1" customHeight="1" x14ac:dyDescent="0.55000000000000004">
      <c r="A122" s="51"/>
      <c r="B122" s="52"/>
      <c r="C122" s="66"/>
      <c r="D122" s="66"/>
      <c r="E122" s="42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130"/>
    </row>
    <row r="123" spans="1:71" ht="24.95" customHeight="1" x14ac:dyDescent="0.55000000000000004">
      <c r="A123" s="60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2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130"/>
    </row>
    <row r="124" spans="1:71" ht="32.1" customHeight="1" x14ac:dyDescent="0.55000000000000004">
      <c r="A124" s="51"/>
      <c r="B124" s="52"/>
      <c r="C124" s="66"/>
      <c r="D124" s="66"/>
      <c r="E124" s="42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130"/>
    </row>
    <row r="125" spans="1:71" ht="24.95" customHeight="1" x14ac:dyDescent="0.55000000000000004">
      <c r="A125" s="60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2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130"/>
    </row>
    <row r="126" spans="1:71" ht="32.1" customHeight="1" x14ac:dyDescent="0.55000000000000004">
      <c r="A126" s="51"/>
      <c r="B126" s="52"/>
      <c r="C126" s="66"/>
      <c r="D126" s="66"/>
      <c r="E126" s="42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130"/>
    </row>
    <row r="127" spans="1:71" ht="24.95" customHeight="1" x14ac:dyDescent="0.55000000000000004">
      <c r="A127" s="268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2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130"/>
    </row>
    <row r="128" spans="1:71" ht="32.1" customHeight="1" x14ac:dyDescent="0.55000000000000004">
      <c r="A128" s="51"/>
      <c r="B128" s="52"/>
      <c r="C128" s="66"/>
      <c r="D128" s="66"/>
      <c r="E128" s="42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130"/>
    </row>
    <row r="129" spans="1:71" ht="24.95" customHeight="1" x14ac:dyDescent="0.55000000000000004">
      <c r="A129" s="268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2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130"/>
    </row>
    <row r="130" spans="1:71" ht="32.1" customHeight="1" x14ac:dyDescent="0.55000000000000004">
      <c r="A130" s="51"/>
      <c r="B130" s="52"/>
      <c r="C130" s="66"/>
      <c r="D130" s="66"/>
      <c r="E130" s="42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130"/>
    </row>
    <row r="131" spans="1:71" ht="24.95" customHeight="1" x14ac:dyDescent="0.55000000000000004">
      <c r="A131" s="60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2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130"/>
    </row>
    <row r="132" spans="1:71" ht="32.1" customHeight="1" x14ac:dyDescent="0.55000000000000004">
      <c r="A132" s="51"/>
      <c r="B132" s="52"/>
      <c r="C132" s="66"/>
      <c r="D132" s="66" t="s">
        <v>248</v>
      </c>
      <c r="E132" s="42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130"/>
    </row>
    <row r="133" spans="1:71" ht="24.95" customHeight="1" x14ac:dyDescent="0.55000000000000004">
      <c r="A133" s="268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2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130"/>
    </row>
    <row r="134" spans="1:71" ht="32.1" customHeight="1" x14ac:dyDescent="0.55000000000000004">
      <c r="A134" s="51"/>
      <c r="B134" s="52"/>
      <c r="C134" s="66"/>
      <c r="D134" s="66"/>
      <c r="E134" s="42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130"/>
    </row>
    <row r="135" spans="1:71" ht="24.95" customHeight="1" x14ac:dyDescent="0.55000000000000004">
      <c r="A135" s="271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2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130"/>
    </row>
    <row r="136" spans="1:71" ht="32.1" customHeight="1" x14ac:dyDescent="0.55000000000000004">
      <c r="A136" s="156"/>
      <c r="B136" s="52"/>
      <c r="C136" s="66"/>
      <c r="D136" s="66"/>
      <c r="E136" s="42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130"/>
    </row>
    <row r="137" spans="1:71" ht="24.95" customHeight="1" x14ac:dyDescent="0.55000000000000004">
      <c r="A137" s="60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2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130"/>
    </row>
    <row r="138" spans="1:71" ht="32.1" customHeight="1" x14ac:dyDescent="0.55000000000000004">
      <c r="A138" s="51"/>
      <c r="B138" s="52"/>
      <c r="C138" s="66"/>
      <c r="D138" s="66"/>
      <c r="E138" s="42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130"/>
    </row>
    <row r="139" spans="1:71" ht="24.95" customHeight="1" x14ac:dyDescent="0.55000000000000004">
      <c r="A139" s="268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2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130"/>
    </row>
    <row r="140" spans="1:71" ht="32.1" customHeight="1" x14ac:dyDescent="0.55000000000000004">
      <c r="A140" s="51"/>
      <c r="B140" s="52"/>
      <c r="C140" s="66"/>
      <c r="D140" s="66"/>
      <c r="E140" s="42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130"/>
    </row>
    <row r="141" spans="1:71" ht="24.95" customHeight="1" x14ac:dyDescent="0.55000000000000004">
      <c r="A141" s="272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24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130"/>
    </row>
    <row r="142" spans="1:71" ht="32.1" customHeight="1" x14ac:dyDescent="0.55000000000000004">
      <c r="A142" s="51"/>
      <c r="B142" s="52"/>
      <c r="C142" s="66"/>
      <c r="D142" s="66"/>
      <c r="E142" s="42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130"/>
    </row>
    <row r="143" spans="1:71" ht="24.95" customHeight="1" x14ac:dyDescent="0.55000000000000004">
      <c r="A143" s="268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2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130"/>
    </row>
    <row r="144" spans="1:71" ht="32.1" customHeight="1" x14ac:dyDescent="0.55000000000000004">
      <c r="A144" s="51"/>
      <c r="B144" s="52"/>
      <c r="C144" s="66"/>
      <c r="D144" s="66"/>
      <c r="E144" s="42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130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2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130"/>
    </row>
    <row r="146" spans="1:71" ht="32.1" customHeight="1" x14ac:dyDescent="0.55000000000000004">
      <c r="A146" s="51"/>
      <c r="B146" s="52"/>
      <c r="C146" s="66"/>
      <c r="D146" s="66"/>
      <c r="E146" s="42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130"/>
    </row>
    <row r="147" spans="1:71" ht="24.95" customHeight="1" x14ac:dyDescent="0.55000000000000004">
      <c r="A147" s="268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2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130"/>
    </row>
    <row r="148" spans="1:71" ht="32.1" customHeight="1" x14ac:dyDescent="0.55000000000000004">
      <c r="A148" s="51"/>
      <c r="B148" s="52"/>
      <c r="C148" s="66"/>
      <c r="D148" s="66"/>
      <c r="E148" s="42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130"/>
    </row>
    <row r="149" spans="1:71" ht="24.95" customHeight="1" x14ac:dyDescent="0.55000000000000004">
      <c r="A149" s="268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2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130"/>
    </row>
    <row r="150" spans="1:71" ht="32.1" customHeight="1" x14ac:dyDescent="0.55000000000000004">
      <c r="A150" s="51"/>
      <c r="B150" s="52"/>
      <c r="C150" s="66"/>
      <c r="D150" s="66"/>
      <c r="E150" s="424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130"/>
    </row>
    <row r="151" spans="1:71" ht="24.95" customHeight="1" x14ac:dyDescent="0.55000000000000004">
      <c r="A151" s="268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2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130"/>
    </row>
    <row r="152" spans="1:71" ht="32.1" customHeight="1" x14ac:dyDescent="0.55000000000000004">
      <c r="A152" s="51"/>
      <c r="B152" s="52"/>
      <c r="C152" s="66"/>
      <c r="D152" s="66"/>
      <c r="E152" s="42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130"/>
    </row>
    <row r="153" spans="1:71" ht="24.95" customHeight="1" x14ac:dyDescent="0.55000000000000004">
      <c r="A153" s="178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2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130"/>
    </row>
    <row r="154" spans="1:71" ht="32.1" customHeight="1" thickBot="1" x14ac:dyDescent="0.6">
      <c r="A154" s="157"/>
      <c r="B154" s="69"/>
      <c r="C154" s="70"/>
      <c r="D154" s="70"/>
      <c r="E154" s="440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130"/>
    </row>
    <row r="155" spans="1:71" ht="32.1" customHeight="1" x14ac:dyDescent="0.55000000000000004">
      <c r="A155" s="71"/>
      <c r="B155" s="72"/>
      <c r="C155" s="73"/>
      <c r="D155" s="73"/>
      <c r="E155" s="423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130"/>
    </row>
    <row r="156" spans="1:71" ht="24.95" customHeight="1" x14ac:dyDescent="0.55000000000000004">
      <c r="A156" s="268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2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130"/>
    </row>
    <row r="157" spans="1:71" ht="32.1" customHeight="1" x14ac:dyDescent="0.55000000000000004">
      <c r="A157" s="51"/>
      <c r="B157" s="52"/>
      <c r="C157" s="66"/>
      <c r="D157" s="66"/>
      <c r="E157" s="42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130"/>
    </row>
    <row r="158" spans="1:71" ht="24.95" customHeight="1" x14ac:dyDescent="0.55000000000000004">
      <c r="A158" s="268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2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130"/>
    </row>
    <row r="159" spans="1:71" ht="32.1" customHeight="1" x14ac:dyDescent="0.55000000000000004">
      <c r="A159" s="51"/>
      <c r="B159" s="52"/>
      <c r="C159" s="66"/>
      <c r="D159" s="66"/>
      <c r="E159" s="424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130"/>
    </row>
    <row r="160" spans="1:71" ht="24.95" customHeight="1" x14ac:dyDescent="0.55000000000000004">
      <c r="A160" s="268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2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130"/>
    </row>
    <row r="161" spans="1:71" ht="32.1" customHeight="1" x14ac:dyDescent="0.55000000000000004">
      <c r="A161" s="51"/>
      <c r="B161" s="52"/>
      <c r="C161" s="66"/>
      <c r="D161" s="66"/>
      <c r="E161" s="42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130"/>
    </row>
    <row r="162" spans="1:71" ht="24.95" customHeight="1" x14ac:dyDescent="0.55000000000000004">
      <c r="A162" s="60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2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130"/>
    </row>
    <row r="163" spans="1:71" ht="32.1" customHeight="1" x14ac:dyDescent="0.55000000000000004">
      <c r="A163" s="51"/>
      <c r="B163" s="52"/>
      <c r="C163" s="66"/>
      <c r="D163" s="66"/>
      <c r="E163" s="42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130"/>
    </row>
    <row r="164" spans="1:71" ht="24.95" customHeight="1" x14ac:dyDescent="0.55000000000000004">
      <c r="A164" s="109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2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130"/>
    </row>
    <row r="165" spans="1:71" ht="32.1" customHeight="1" x14ac:dyDescent="0.55000000000000004">
      <c r="A165" s="51"/>
      <c r="B165" s="52"/>
      <c r="C165" s="52"/>
      <c r="D165" s="52"/>
      <c r="E165" s="424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130"/>
    </row>
    <row r="166" spans="1:71" ht="42.75" customHeight="1" x14ac:dyDescent="0.25">
      <c r="A166" s="427" t="s">
        <v>259</v>
      </c>
      <c r="B166" s="428"/>
      <c r="C166" s="428"/>
      <c r="D166" s="428"/>
      <c r="E166" s="429"/>
      <c r="F166" s="201">
        <f t="shared" ref="F166:K166" si="1">(COUNTIF(F16:F165,"N")+COUNTIF(F16:F165,"I"))</f>
        <v>0</v>
      </c>
      <c r="G166" s="201">
        <f t="shared" si="1"/>
        <v>0</v>
      </c>
      <c r="H166" s="201">
        <f t="shared" si="1"/>
        <v>0</v>
      </c>
      <c r="I166" s="201">
        <f t="shared" si="1"/>
        <v>0</v>
      </c>
      <c r="J166" s="201">
        <f t="shared" si="1"/>
        <v>0</v>
      </c>
      <c r="K166" s="201">
        <f t="shared" si="1"/>
        <v>0</v>
      </c>
      <c r="L166" s="201">
        <f>(COUNTIF(L16:L165,"N")+COUNTIF(L16:L165,"I"))/2</f>
        <v>0.5</v>
      </c>
      <c r="M166" s="201">
        <f>(COUNTIF(M16:M165,"N")+COUNTIF(M16:M165,"I"))</f>
        <v>1</v>
      </c>
      <c r="N166" s="201">
        <f>(COUNTIF(N16:N165,"N")+COUNTIF(N16:N165,"I"))</f>
        <v>1</v>
      </c>
      <c r="O166" s="201">
        <f>(COUNTIF(O14:O163,"N")+COUNTIF(O14:O163,"I"))</f>
        <v>1</v>
      </c>
      <c r="P166" s="201">
        <f>(COUNTIF(P16:P165,"N")+COUNTIF(P16:P165,"I"))</f>
        <v>1</v>
      </c>
      <c r="Q166" s="201">
        <f>(COUNTIF(Q16:Q165,"N")+COUNTIF(Q16:Q165,"I"))</f>
        <v>1</v>
      </c>
      <c r="R166" s="201">
        <f>(COUNTIF(R16:R165,"N")+COUNTIF(R16:R165,"I"))</f>
        <v>1</v>
      </c>
      <c r="S166" s="201">
        <f t="shared" ref="S166:AX166" si="2">(COUNTIF(S14:S163,"N")+COUNTIF(S14:S163,"I"))</f>
        <v>0</v>
      </c>
      <c r="T166" s="201">
        <f t="shared" si="2"/>
        <v>1</v>
      </c>
      <c r="U166" s="201">
        <f t="shared" si="2"/>
        <v>1</v>
      </c>
      <c r="V166" s="201">
        <f t="shared" si="2"/>
        <v>1</v>
      </c>
      <c r="W166" s="201">
        <f t="shared" si="2"/>
        <v>1</v>
      </c>
      <c r="X166" s="201">
        <f t="shared" si="2"/>
        <v>1</v>
      </c>
      <c r="Y166" s="201">
        <f t="shared" si="2"/>
        <v>1</v>
      </c>
      <c r="Z166" s="201">
        <f t="shared" si="2"/>
        <v>1</v>
      </c>
      <c r="AA166" s="201">
        <f t="shared" si="2"/>
        <v>1</v>
      </c>
      <c r="AB166" s="201">
        <f t="shared" si="2"/>
        <v>1</v>
      </c>
      <c r="AC166" s="201">
        <f t="shared" si="2"/>
        <v>0</v>
      </c>
      <c r="AD166" s="201">
        <f t="shared" si="2"/>
        <v>0</v>
      </c>
      <c r="AE166" s="201">
        <f t="shared" si="2"/>
        <v>0</v>
      </c>
      <c r="AF166" s="201">
        <f t="shared" si="2"/>
        <v>0</v>
      </c>
      <c r="AG166" s="201">
        <f t="shared" si="2"/>
        <v>0</v>
      </c>
      <c r="AH166" s="201">
        <f t="shared" si="2"/>
        <v>0</v>
      </c>
      <c r="AI166" s="201">
        <f t="shared" si="2"/>
        <v>0</v>
      </c>
      <c r="AJ166" s="201">
        <f t="shared" si="2"/>
        <v>0</v>
      </c>
      <c r="AK166" s="201">
        <f t="shared" si="2"/>
        <v>0</v>
      </c>
      <c r="AL166" s="201">
        <f t="shared" si="2"/>
        <v>0</v>
      </c>
      <c r="AM166" s="201">
        <f t="shared" si="2"/>
        <v>0</v>
      </c>
      <c r="AN166" s="201">
        <f t="shared" si="2"/>
        <v>0</v>
      </c>
      <c r="AO166" s="201">
        <f t="shared" si="2"/>
        <v>0</v>
      </c>
      <c r="AP166" s="201">
        <f t="shared" si="2"/>
        <v>0</v>
      </c>
      <c r="AQ166" s="201">
        <f t="shared" si="2"/>
        <v>0</v>
      </c>
      <c r="AR166" s="201">
        <f t="shared" si="2"/>
        <v>0</v>
      </c>
      <c r="AS166" s="201">
        <f t="shared" si="2"/>
        <v>0</v>
      </c>
      <c r="AT166" s="201">
        <f t="shared" si="2"/>
        <v>0</v>
      </c>
      <c r="AU166" s="201">
        <f t="shared" si="2"/>
        <v>0</v>
      </c>
      <c r="AV166" s="201">
        <f t="shared" si="2"/>
        <v>0</v>
      </c>
      <c r="AW166" s="201">
        <f t="shared" si="2"/>
        <v>0</v>
      </c>
      <c r="AX166" s="201">
        <f t="shared" si="2"/>
        <v>0</v>
      </c>
      <c r="AY166" s="201">
        <f t="shared" ref="AY166:BR166" si="3">(COUNTIF(AY14:AY163,"N")+COUNTIF(AY14:AY163,"I"))</f>
        <v>0</v>
      </c>
      <c r="AZ166" s="201">
        <f t="shared" si="3"/>
        <v>0</v>
      </c>
      <c r="BA166" s="201">
        <f t="shared" si="3"/>
        <v>0</v>
      </c>
      <c r="BB166" s="201">
        <f t="shared" si="3"/>
        <v>0</v>
      </c>
      <c r="BC166" s="201">
        <f t="shared" si="3"/>
        <v>0</v>
      </c>
      <c r="BD166" s="201">
        <f t="shared" si="3"/>
        <v>0</v>
      </c>
      <c r="BE166" s="201">
        <f t="shared" si="3"/>
        <v>0</v>
      </c>
      <c r="BF166" s="201">
        <f t="shared" si="3"/>
        <v>0</v>
      </c>
      <c r="BG166" s="201">
        <f t="shared" si="3"/>
        <v>0</v>
      </c>
      <c r="BH166" s="201">
        <f t="shared" si="3"/>
        <v>0</v>
      </c>
      <c r="BI166" s="201">
        <f t="shared" si="3"/>
        <v>0</v>
      </c>
      <c r="BJ166" s="201">
        <f t="shared" si="3"/>
        <v>0</v>
      </c>
      <c r="BK166" s="201">
        <f t="shared" si="3"/>
        <v>0</v>
      </c>
      <c r="BL166" s="201">
        <f t="shared" si="3"/>
        <v>0</v>
      </c>
      <c r="BM166" s="201">
        <f t="shared" si="3"/>
        <v>0</v>
      </c>
      <c r="BN166" s="201">
        <f t="shared" si="3"/>
        <v>0</v>
      </c>
      <c r="BO166" s="201">
        <f t="shared" si="3"/>
        <v>0</v>
      </c>
      <c r="BP166" s="201">
        <f t="shared" si="3"/>
        <v>0</v>
      </c>
      <c r="BQ166" s="201">
        <f t="shared" si="3"/>
        <v>0</v>
      </c>
      <c r="BR166" s="201">
        <f t="shared" si="3"/>
        <v>0</v>
      </c>
      <c r="BS166" s="130"/>
    </row>
    <row r="167" spans="1:71" ht="45" customHeight="1" x14ac:dyDescent="0.25">
      <c r="A167" s="425" t="s">
        <v>42</v>
      </c>
      <c r="B167" s="426"/>
      <c r="C167" s="426"/>
      <c r="D167" s="426"/>
      <c r="E167" s="426"/>
      <c r="F167" s="124">
        <f>F168</f>
        <v>0</v>
      </c>
      <c r="G167" s="422">
        <f>SUM(G168:J168)</f>
        <v>0</v>
      </c>
      <c r="H167" s="422"/>
      <c r="I167" s="422"/>
      <c r="J167" s="422"/>
      <c r="K167" s="422">
        <f>SUM(K168:L168)</f>
        <v>0.5</v>
      </c>
      <c r="L167" s="422"/>
      <c r="M167" s="422">
        <f>SUM(M168:N168)</f>
        <v>1</v>
      </c>
      <c r="N167" s="422"/>
      <c r="O167" s="422">
        <f>SUM(O168:P168)</f>
        <v>1</v>
      </c>
      <c r="P167" s="422"/>
      <c r="Q167" s="422">
        <f>SUM(Q168:R168)</f>
        <v>1</v>
      </c>
      <c r="R167" s="422"/>
      <c r="S167" s="422">
        <f>SUM(S168:U168)</f>
        <v>0.5</v>
      </c>
      <c r="T167" s="422"/>
      <c r="U167" s="422"/>
      <c r="V167" s="422">
        <f>SUM(V168:Y168)</f>
        <v>1</v>
      </c>
      <c r="W167" s="422"/>
      <c r="X167" s="422"/>
      <c r="Y167" s="422"/>
      <c r="Z167" s="422">
        <f>SUM(Z168:AC168)</f>
        <v>0.75</v>
      </c>
      <c r="AA167" s="422"/>
      <c r="AB167" s="422"/>
      <c r="AC167" s="422"/>
      <c r="AD167" s="422">
        <f>SUM(AD168:AE168)</f>
        <v>0</v>
      </c>
      <c r="AE167" s="422"/>
      <c r="AF167" s="422">
        <f>SUM(AF168:AG168)</f>
        <v>0</v>
      </c>
      <c r="AG167" s="422"/>
      <c r="AH167" s="422">
        <f>SUM(AH168:AI168)</f>
        <v>0</v>
      </c>
      <c r="AI167" s="422"/>
      <c r="AJ167" s="422">
        <f>SUM(AJ168:AK168)</f>
        <v>0</v>
      </c>
      <c r="AK167" s="422"/>
      <c r="AL167" s="422">
        <f>SUM(AL168:AN168)</f>
        <v>0</v>
      </c>
      <c r="AM167" s="422"/>
      <c r="AN167" s="422"/>
      <c r="AO167" s="422">
        <f>SUM(AO168:AR168)</f>
        <v>0</v>
      </c>
      <c r="AP167" s="422"/>
      <c r="AQ167" s="422"/>
      <c r="AR167" s="422"/>
      <c r="AS167" s="422">
        <f>SUM(AS168:AV168)</f>
        <v>0</v>
      </c>
      <c r="AT167" s="422"/>
      <c r="AU167" s="422"/>
      <c r="AV167" s="422"/>
      <c r="AW167" s="422">
        <f>SUM(AW168:AY168)</f>
        <v>0</v>
      </c>
      <c r="AX167" s="422"/>
      <c r="AY167" s="422"/>
      <c r="AZ167" s="422">
        <f>SUM(AZ168:BA168)</f>
        <v>0</v>
      </c>
      <c r="BA167" s="422"/>
      <c r="BB167" s="422">
        <f>SUM(BB168:BC168)</f>
        <v>0</v>
      </c>
      <c r="BC167" s="422"/>
      <c r="BD167" s="422">
        <f>SUM(BD168:BF168)</f>
        <v>0</v>
      </c>
      <c r="BE167" s="422"/>
      <c r="BF167" s="422"/>
      <c r="BG167" s="422">
        <f>SUM(BG168:BH168)</f>
        <v>0</v>
      </c>
      <c r="BH167" s="422"/>
      <c r="BI167" s="422">
        <f>SUM(BI168:BJ168)</f>
        <v>0</v>
      </c>
      <c r="BJ167" s="422"/>
      <c r="BK167" s="422">
        <f>SUM(BK168:BL168)</f>
        <v>0</v>
      </c>
      <c r="BL167" s="422"/>
      <c r="BM167" s="422">
        <f>SUM(BM168:BN168)</f>
        <v>0</v>
      </c>
      <c r="BN167" s="422"/>
      <c r="BO167" s="422">
        <f>SUM(BO168:BP168)</f>
        <v>0</v>
      </c>
      <c r="BP167" s="422"/>
      <c r="BQ167" s="422">
        <f>SUM(BQ168:BR168)</f>
        <v>0</v>
      </c>
      <c r="BR167" s="422"/>
      <c r="BS167" s="130"/>
    </row>
    <row r="168" spans="1:71" ht="35.1" customHeight="1" x14ac:dyDescent="0.25">
      <c r="A168" s="425"/>
      <c r="B168" s="426"/>
      <c r="C168" s="426"/>
      <c r="D168" s="426"/>
      <c r="E168" s="426"/>
      <c r="F168" s="125">
        <f>(COUNTIF(F16:F165,"N")+COUNTIF(F16:F165,"I"))/4</f>
        <v>0</v>
      </c>
      <c r="G168" s="125">
        <f>(COUNTIF(G16:G165,"N")+COUNTIF(G16:G165,"I"))/4</f>
        <v>0</v>
      </c>
      <c r="H168" s="125">
        <f>(COUNTIF(H16:H165,"N")+COUNTIF(H16:H165,"I"))/4</f>
        <v>0</v>
      </c>
      <c r="I168" s="125">
        <f>(COUNTIF(I16:I165,"N")+COUNTIF(I16:I165,"I"))/4</f>
        <v>0</v>
      </c>
      <c r="J168" s="125">
        <f>(COUNTIF(J16:J165,"N")+COUNTIF(J16:J165,"I"))/4</f>
        <v>0</v>
      </c>
      <c r="K168" s="125">
        <f t="shared" ref="K168:S168" si="4">(COUNTIF(K16:K165,"N")+COUNTIF(K16:K165,"I"))/2</f>
        <v>0</v>
      </c>
      <c r="L168" s="125">
        <f t="shared" si="4"/>
        <v>0.5</v>
      </c>
      <c r="M168" s="125">
        <f t="shared" si="4"/>
        <v>0.5</v>
      </c>
      <c r="N168" s="125">
        <f t="shared" si="4"/>
        <v>0.5</v>
      </c>
      <c r="O168" s="125">
        <f t="shared" si="4"/>
        <v>0.5</v>
      </c>
      <c r="P168" s="125">
        <f t="shared" si="4"/>
        <v>0.5</v>
      </c>
      <c r="Q168" s="125">
        <f t="shared" si="4"/>
        <v>0.5</v>
      </c>
      <c r="R168" s="125">
        <f t="shared" si="4"/>
        <v>0.5</v>
      </c>
      <c r="S168" s="125">
        <f t="shared" si="4"/>
        <v>0</v>
      </c>
      <c r="T168" s="125">
        <f t="shared" ref="T168:AC168" si="5">(COUNTIF(T16:T165,"N")+COUNTIF(T16:T165,"I"))/4</f>
        <v>0.25</v>
      </c>
      <c r="U168" s="125">
        <f t="shared" si="5"/>
        <v>0.25</v>
      </c>
      <c r="V168" s="125">
        <f t="shared" si="5"/>
        <v>0.25</v>
      </c>
      <c r="W168" s="125">
        <f t="shared" si="5"/>
        <v>0.25</v>
      </c>
      <c r="X168" s="125">
        <f t="shared" si="5"/>
        <v>0.25</v>
      </c>
      <c r="Y168" s="125">
        <f t="shared" si="5"/>
        <v>0.25</v>
      </c>
      <c r="Z168" s="125">
        <f t="shared" si="5"/>
        <v>0.25</v>
      </c>
      <c r="AA168" s="125">
        <f t="shared" si="5"/>
        <v>0.25</v>
      </c>
      <c r="AB168" s="125">
        <f t="shared" si="5"/>
        <v>0.25</v>
      </c>
      <c r="AC168" s="125">
        <f t="shared" si="5"/>
        <v>0</v>
      </c>
      <c r="AD168" s="125">
        <f t="shared" ref="AD168:AL168" si="6">(COUNTIF(AD16:AD165,"N")+COUNTIF(AD16:AD165,"I"))/2</f>
        <v>0</v>
      </c>
      <c r="AE168" s="125">
        <f t="shared" si="6"/>
        <v>0</v>
      </c>
      <c r="AF168" s="125">
        <f t="shared" si="6"/>
        <v>0</v>
      </c>
      <c r="AG168" s="125">
        <f t="shared" si="6"/>
        <v>0</v>
      </c>
      <c r="AH168" s="125">
        <f t="shared" si="6"/>
        <v>0</v>
      </c>
      <c r="AI168" s="125">
        <f t="shared" si="6"/>
        <v>0</v>
      </c>
      <c r="AJ168" s="125">
        <f t="shared" si="6"/>
        <v>0</v>
      </c>
      <c r="AK168" s="125">
        <f t="shared" si="6"/>
        <v>0</v>
      </c>
      <c r="AL168" s="125">
        <f t="shared" si="6"/>
        <v>0</v>
      </c>
      <c r="AM168" s="125">
        <f t="shared" ref="AM168:AX168" si="7">(COUNTIF(AM16:AM165,"N")+COUNTIF(AM16:AM165,"I"))/4</f>
        <v>0</v>
      </c>
      <c r="AN168" s="125">
        <f t="shared" si="7"/>
        <v>0</v>
      </c>
      <c r="AO168" s="125">
        <f t="shared" si="7"/>
        <v>0</v>
      </c>
      <c r="AP168" s="125">
        <f t="shared" si="7"/>
        <v>0</v>
      </c>
      <c r="AQ168" s="125">
        <f t="shared" si="7"/>
        <v>0</v>
      </c>
      <c r="AR168" s="125">
        <f t="shared" si="7"/>
        <v>0</v>
      </c>
      <c r="AS168" s="125">
        <f t="shared" si="7"/>
        <v>0</v>
      </c>
      <c r="AT168" s="125">
        <f t="shared" si="7"/>
        <v>0</v>
      </c>
      <c r="AU168" s="125">
        <f t="shared" si="7"/>
        <v>0</v>
      </c>
      <c r="AV168" s="125">
        <f t="shared" si="7"/>
        <v>0</v>
      </c>
      <c r="AW168" s="125">
        <f t="shared" si="7"/>
        <v>0</v>
      </c>
      <c r="AX168" s="125">
        <f t="shared" si="7"/>
        <v>0</v>
      </c>
      <c r="AY168" s="125">
        <f>(COUNTIF(AY16:AY165,"N")+COUNTIF(AY16:AY165,"I"))/2</f>
        <v>0</v>
      </c>
      <c r="AZ168" s="125">
        <f>(COUNTIF(AZ16:AZ165,"N")+COUNTIF(AZ16:AZ165,"I"))/2</f>
        <v>0</v>
      </c>
      <c r="BA168" s="125">
        <f>(COUNTIF(BA16:BA165,"N")+COUNTIF(BA16:BA165,"I"))/2</f>
        <v>0</v>
      </c>
      <c r="BB168" s="125">
        <f>(COUNTIF(BB16:BB165,"N")+COUNTIF(BB16:BB165,"I"))/2</f>
        <v>0</v>
      </c>
      <c r="BC168" s="125">
        <f>(COUNTIF(BC16:BC165,"N")+COUNTIF(BC16:BC165,"I"))/2</f>
        <v>0</v>
      </c>
      <c r="BD168" s="125">
        <f>(COUNTIF(BD16:BD165,"N")+COUNTIF(BD16:BD165,"I"))/4</f>
        <v>0</v>
      </c>
      <c r="BE168" s="125">
        <f>(COUNTIF(BE16:BE165,"N")+COUNTIF(BE16:BE165,"I"))/4</f>
        <v>0</v>
      </c>
      <c r="BF168" s="125">
        <f t="shared" ref="BF168:BR168" si="8">(COUNTIF(BF16:BF165,"N")+COUNTIF(BF16:BF165,"I"))/2</f>
        <v>0</v>
      </c>
      <c r="BG168" s="125">
        <f t="shared" si="8"/>
        <v>0</v>
      </c>
      <c r="BH168" s="125">
        <f t="shared" si="8"/>
        <v>0</v>
      </c>
      <c r="BI168" s="125">
        <f t="shared" si="8"/>
        <v>0</v>
      </c>
      <c r="BJ168" s="125">
        <f t="shared" si="8"/>
        <v>0</v>
      </c>
      <c r="BK168" s="125">
        <f t="shared" si="8"/>
        <v>0</v>
      </c>
      <c r="BL168" s="125">
        <f t="shared" si="8"/>
        <v>0</v>
      </c>
      <c r="BM168" s="125">
        <f t="shared" si="8"/>
        <v>0</v>
      </c>
      <c r="BN168" s="125">
        <f t="shared" si="8"/>
        <v>0</v>
      </c>
      <c r="BO168" s="125">
        <f t="shared" si="8"/>
        <v>0</v>
      </c>
      <c r="BP168" s="125">
        <f t="shared" si="8"/>
        <v>0</v>
      </c>
      <c r="BQ168" s="125">
        <f t="shared" si="8"/>
        <v>0</v>
      </c>
      <c r="BR168" s="125">
        <f t="shared" si="8"/>
        <v>0</v>
      </c>
      <c r="BS168" s="130"/>
    </row>
    <row r="169" spans="1:71" ht="45" customHeight="1" x14ac:dyDescent="0.25">
      <c r="A169" s="427" t="s">
        <v>250</v>
      </c>
      <c r="B169" s="428"/>
      <c r="C169" s="428"/>
      <c r="D169" s="428"/>
      <c r="E169" s="429"/>
      <c r="F169" s="180">
        <f t="shared" ref="F169:AK169" si="9">IFERROR(F2/F167,0)</f>
        <v>0</v>
      </c>
      <c r="G169" s="484">
        <f t="shared" si="9"/>
        <v>0</v>
      </c>
      <c r="H169" s="484">
        <f t="shared" si="9"/>
        <v>0</v>
      </c>
      <c r="I169" s="484">
        <f t="shared" si="9"/>
        <v>0</v>
      </c>
      <c r="J169" s="484">
        <f t="shared" si="9"/>
        <v>0</v>
      </c>
      <c r="K169" s="484">
        <f t="shared" si="9"/>
        <v>0</v>
      </c>
      <c r="L169" s="484">
        <f t="shared" si="9"/>
        <v>0</v>
      </c>
      <c r="M169" s="484">
        <f t="shared" si="9"/>
        <v>0</v>
      </c>
      <c r="N169" s="484">
        <f t="shared" si="9"/>
        <v>0</v>
      </c>
      <c r="O169" s="484">
        <f t="shared" si="9"/>
        <v>0</v>
      </c>
      <c r="P169" s="484">
        <f t="shared" si="9"/>
        <v>0</v>
      </c>
      <c r="Q169" s="484">
        <f t="shared" si="9"/>
        <v>0</v>
      </c>
      <c r="R169" s="484">
        <f t="shared" si="9"/>
        <v>0</v>
      </c>
      <c r="S169" s="484">
        <f t="shared" si="9"/>
        <v>0</v>
      </c>
      <c r="T169" s="484">
        <f t="shared" si="9"/>
        <v>0</v>
      </c>
      <c r="U169" s="484">
        <f t="shared" si="9"/>
        <v>0</v>
      </c>
      <c r="V169" s="484">
        <f t="shared" si="9"/>
        <v>0</v>
      </c>
      <c r="W169" s="484">
        <f t="shared" si="9"/>
        <v>0</v>
      </c>
      <c r="X169" s="484">
        <f t="shared" si="9"/>
        <v>0</v>
      </c>
      <c r="Y169" s="484">
        <f t="shared" si="9"/>
        <v>0</v>
      </c>
      <c r="Z169" s="484">
        <f t="shared" si="9"/>
        <v>0</v>
      </c>
      <c r="AA169" s="484">
        <f t="shared" si="9"/>
        <v>0</v>
      </c>
      <c r="AB169" s="484">
        <f t="shared" si="9"/>
        <v>0</v>
      </c>
      <c r="AC169" s="484">
        <f t="shared" si="9"/>
        <v>0</v>
      </c>
      <c r="AD169" s="484">
        <f t="shared" si="9"/>
        <v>0</v>
      </c>
      <c r="AE169" s="484">
        <f t="shared" si="9"/>
        <v>0</v>
      </c>
      <c r="AF169" s="484">
        <f t="shared" si="9"/>
        <v>0</v>
      </c>
      <c r="AG169" s="484">
        <f t="shared" si="9"/>
        <v>0</v>
      </c>
      <c r="AH169" s="484">
        <f t="shared" si="9"/>
        <v>0</v>
      </c>
      <c r="AI169" s="484">
        <f t="shared" si="9"/>
        <v>0</v>
      </c>
      <c r="AJ169" s="484">
        <f t="shared" si="9"/>
        <v>0</v>
      </c>
      <c r="AK169" s="484">
        <f t="shared" si="9"/>
        <v>0</v>
      </c>
      <c r="AL169" s="484">
        <f t="shared" ref="AL169:BR169" si="10">IFERROR(AL2/AL167,0)</f>
        <v>0</v>
      </c>
      <c r="AM169" s="484">
        <f t="shared" si="10"/>
        <v>0</v>
      </c>
      <c r="AN169" s="484">
        <f t="shared" si="10"/>
        <v>0</v>
      </c>
      <c r="AO169" s="484">
        <f t="shared" si="10"/>
        <v>0</v>
      </c>
      <c r="AP169" s="484">
        <f t="shared" si="10"/>
        <v>0</v>
      </c>
      <c r="AQ169" s="484">
        <f t="shared" si="10"/>
        <v>0</v>
      </c>
      <c r="AR169" s="484">
        <f t="shared" si="10"/>
        <v>0</v>
      </c>
      <c r="AS169" s="484">
        <f t="shared" si="10"/>
        <v>0</v>
      </c>
      <c r="AT169" s="484">
        <f t="shared" si="10"/>
        <v>0</v>
      </c>
      <c r="AU169" s="484">
        <f t="shared" si="10"/>
        <v>0</v>
      </c>
      <c r="AV169" s="484">
        <f t="shared" si="10"/>
        <v>0</v>
      </c>
      <c r="AW169" s="484">
        <f t="shared" si="10"/>
        <v>0</v>
      </c>
      <c r="AX169" s="484">
        <f t="shared" si="10"/>
        <v>0</v>
      </c>
      <c r="AY169" s="484">
        <f t="shared" si="10"/>
        <v>0</v>
      </c>
      <c r="AZ169" s="484">
        <f t="shared" si="10"/>
        <v>0</v>
      </c>
      <c r="BA169" s="484">
        <f t="shared" si="10"/>
        <v>0</v>
      </c>
      <c r="BB169" s="484">
        <f t="shared" si="10"/>
        <v>0</v>
      </c>
      <c r="BC169" s="484">
        <f t="shared" si="10"/>
        <v>0</v>
      </c>
      <c r="BD169" s="484">
        <f t="shared" si="10"/>
        <v>0</v>
      </c>
      <c r="BE169" s="484">
        <f t="shared" si="10"/>
        <v>0</v>
      </c>
      <c r="BF169" s="484">
        <f t="shared" si="10"/>
        <v>0</v>
      </c>
      <c r="BG169" s="180">
        <f t="shared" si="10"/>
        <v>0</v>
      </c>
      <c r="BH169" s="180">
        <f t="shared" si="10"/>
        <v>0</v>
      </c>
      <c r="BI169" s="484">
        <f t="shared" si="10"/>
        <v>0</v>
      </c>
      <c r="BJ169" s="484">
        <f t="shared" si="10"/>
        <v>0</v>
      </c>
      <c r="BK169" s="484">
        <f t="shared" si="10"/>
        <v>0</v>
      </c>
      <c r="BL169" s="484">
        <f t="shared" si="10"/>
        <v>0</v>
      </c>
      <c r="BM169" s="484">
        <f t="shared" si="10"/>
        <v>0</v>
      </c>
      <c r="BN169" s="484">
        <f t="shared" si="10"/>
        <v>0</v>
      </c>
      <c r="BO169" s="484">
        <f t="shared" si="10"/>
        <v>0</v>
      </c>
      <c r="BP169" s="484">
        <f t="shared" si="10"/>
        <v>0</v>
      </c>
      <c r="BQ169" s="484">
        <f t="shared" si="10"/>
        <v>0</v>
      </c>
      <c r="BR169" s="484">
        <f t="shared" si="10"/>
        <v>0</v>
      </c>
      <c r="BS169" s="130"/>
    </row>
    <row r="170" spans="1:71" ht="45" customHeight="1" x14ac:dyDescent="0.25">
      <c r="A170" s="126"/>
      <c r="B170" s="430"/>
      <c r="C170" s="430"/>
      <c r="D170" s="406"/>
      <c r="E170" s="408"/>
      <c r="F170" s="406"/>
      <c r="G170" s="407"/>
      <c r="H170" s="407"/>
      <c r="I170" s="408"/>
      <c r="J170" s="406"/>
      <c r="K170" s="407"/>
      <c r="L170" s="407"/>
      <c r="M170" s="408"/>
      <c r="N170" s="406"/>
      <c r="O170" s="407"/>
      <c r="P170" s="407"/>
      <c r="Q170" s="408"/>
      <c r="R170" s="406"/>
      <c r="S170" s="407"/>
      <c r="T170" s="407"/>
      <c r="U170" s="408"/>
      <c r="V170" s="406"/>
      <c r="W170" s="407"/>
      <c r="X170" s="407"/>
      <c r="Y170" s="408"/>
      <c r="Z170" s="406"/>
      <c r="AA170" s="407"/>
      <c r="AB170" s="408"/>
      <c r="AC170" s="430"/>
      <c r="AD170" s="430"/>
      <c r="AE170" s="430"/>
      <c r="AF170" s="430"/>
      <c r="AG170" s="435"/>
      <c r="AH170" s="436"/>
      <c r="AI170" s="436"/>
      <c r="AJ170" s="436"/>
      <c r="AK170" s="436"/>
      <c r="AL170" s="436"/>
      <c r="AM170" s="437"/>
      <c r="AN170" s="489"/>
      <c r="AO170" s="489"/>
      <c r="AP170" s="489"/>
      <c r="AQ170" s="489"/>
      <c r="AR170" s="489"/>
      <c r="AS170" s="489"/>
      <c r="AT170" s="489"/>
      <c r="AU170" s="489"/>
      <c r="AV170" s="489"/>
      <c r="AW170" s="489"/>
      <c r="AX170" s="489"/>
      <c r="AY170" s="489"/>
      <c r="AZ170" s="489"/>
      <c r="BA170" s="489"/>
      <c r="BB170" s="489"/>
      <c r="BC170" s="489"/>
      <c r="BD170" s="489"/>
      <c r="BE170" s="489"/>
      <c r="BF170" s="489"/>
      <c r="BG170" s="489"/>
      <c r="BH170" s="489"/>
      <c r="BI170" s="489"/>
      <c r="BJ170" s="489"/>
      <c r="BK170" s="489"/>
      <c r="BL170" s="489"/>
      <c r="BM170" s="489"/>
      <c r="BN170" s="489"/>
      <c r="BO170" s="489"/>
      <c r="BP170" s="489"/>
      <c r="BQ170" s="489"/>
      <c r="BR170" s="489"/>
      <c r="BS170" s="130"/>
    </row>
    <row r="171" spans="1:71" ht="45" customHeight="1" thickBot="1" x14ac:dyDescent="0.3">
      <c r="A171" s="127">
        <f>J171/D171</f>
        <v>0</v>
      </c>
      <c r="B171" s="403">
        <f>F171/D171</f>
        <v>0</v>
      </c>
      <c r="C171" s="405"/>
      <c r="D171" s="403">
        <f>SUM(F168:BR168)+12</f>
        <v>17.75</v>
      </c>
      <c r="E171" s="404"/>
      <c r="F171" s="404">
        <f>SUM(F3:BR3)</f>
        <v>0</v>
      </c>
      <c r="G171" s="404"/>
      <c r="H171" s="404"/>
      <c r="I171" s="404"/>
      <c r="J171" s="404">
        <f>SUM(F5:BR5)</f>
        <v>0</v>
      </c>
      <c r="K171" s="404"/>
      <c r="L171" s="404"/>
      <c r="M171" s="404"/>
      <c r="N171" s="404">
        <f>SUM(F7:BR7)</f>
        <v>0</v>
      </c>
      <c r="O171" s="404"/>
      <c r="P171" s="404"/>
      <c r="Q171" s="404"/>
      <c r="R171" s="404">
        <f>SUM(F8:BR8)</f>
        <v>0</v>
      </c>
      <c r="S171" s="404"/>
      <c r="T171" s="404"/>
      <c r="U171" s="404"/>
      <c r="V171" s="404">
        <f>SUM(F9:BR9)</f>
        <v>0</v>
      </c>
      <c r="W171" s="404"/>
      <c r="X171" s="404"/>
      <c r="Y171" s="404"/>
      <c r="Z171" s="404" t="e">
        <f>SUM(F11:BR11)</f>
        <v>#REF!</v>
      </c>
      <c r="AA171" s="404"/>
      <c r="AB171" s="405"/>
      <c r="AC171" s="403" t="e">
        <f>SUM(F12:BR12)</f>
        <v>#REF!</v>
      </c>
      <c r="AD171" s="438"/>
      <c r="AE171" s="438"/>
      <c r="AF171" s="405"/>
      <c r="AG171" s="403" t="e">
        <f>SUM(F13:BR13)</f>
        <v>#REF!</v>
      </c>
      <c r="AH171" s="438"/>
      <c r="AI171" s="438"/>
      <c r="AJ171" s="438"/>
      <c r="AK171" s="438"/>
      <c r="AL171" s="438"/>
      <c r="AM171" s="405"/>
      <c r="AN171" s="414"/>
      <c r="AO171" s="414"/>
      <c r="AP171" s="414"/>
      <c r="AQ171" s="414"/>
      <c r="AR171" s="414"/>
      <c r="AS171" s="414"/>
      <c r="AT171" s="414"/>
      <c r="AU171" s="414"/>
      <c r="AV171" s="414"/>
      <c r="AW171" s="414"/>
      <c r="AX171" s="414"/>
      <c r="AY171" s="414"/>
      <c r="AZ171" s="414"/>
      <c r="BA171" s="414"/>
      <c r="BB171" s="414"/>
      <c r="BC171" s="414"/>
      <c r="BD171" s="414"/>
      <c r="BE171" s="414"/>
      <c r="BF171" s="414"/>
      <c r="BG171" s="414"/>
      <c r="BH171" s="414"/>
      <c r="BI171" s="414"/>
      <c r="BJ171" s="414"/>
      <c r="BK171" s="414"/>
      <c r="BL171" s="414"/>
      <c r="BM171" s="414"/>
      <c r="BN171" s="414"/>
      <c r="BO171" s="414"/>
      <c r="BP171" s="414"/>
      <c r="BQ171" s="414"/>
      <c r="BR171" s="414"/>
      <c r="BS171" s="130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16:E16 E17:E165 A17:A33 A39:A45 A137:A152 A154:A165 A48:A81 A35 A83:A134" name="Intervallo1"/>
    <protectedRange sqref="AO170:BR171 AM170:AN170 AL171:AN171" name="Intervallo1_4"/>
    <protectedRange sqref="B17:D165 A46:A47" name="Intervallo1_2"/>
    <protectedRange sqref="AE28:AE35 AL161:BR165 K16:M18 K19:L25 M19:M24 BR22:BR160 AM91:BJ91 BM22:BQ91 BJ22:BL54 BI84:BJ84 M142:M160 BI85:BI90 BJ87:BL90 BJ85:BJ86 BK84:BL85 AD153:AK165 AL153:BQ160 J16:J84 K26:K83 AX92:BK116 AL83:BH90 BI83 AE37:AE54 AL22:BI25 AK108:AK135 T16:BR20 AJ92:AJ137 J85:K160 L26:L160 M26:M78 N16:S54 F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F161:P165" name="Intervallo1_1"/>
    <protectedRange sqref="AL91" name="Intervallo1_2_1"/>
  </protectedRanges>
  <mergeCells count="202">
    <mergeCell ref="BQ2:BR2"/>
    <mergeCell ref="BQ4:BR4"/>
    <mergeCell ref="BQ6:BR6"/>
    <mergeCell ref="BQ10:BR10"/>
    <mergeCell ref="BQ167:BR167"/>
    <mergeCell ref="AC171:AF171"/>
    <mergeCell ref="AC170:AF170"/>
    <mergeCell ref="BD167:BF167"/>
    <mergeCell ref="BG167:BH167"/>
    <mergeCell ref="BI167:BJ167"/>
    <mergeCell ref="BK167:BL167"/>
    <mergeCell ref="BM167:BN167"/>
    <mergeCell ref="BO167:BP167"/>
    <mergeCell ref="AL167:AN167"/>
    <mergeCell ref="AO167:AR167"/>
    <mergeCell ref="AS167:AV167"/>
    <mergeCell ref="AW167:AY167"/>
    <mergeCell ref="AZ167:BA167"/>
    <mergeCell ref="BB167:BC167"/>
    <mergeCell ref="BO10:BP10"/>
    <mergeCell ref="BG4:BH4"/>
    <mergeCell ref="BI4:BJ4"/>
    <mergeCell ref="AJ167:AK167"/>
    <mergeCell ref="BO4:BP4"/>
    <mergeCell ref="B171:C171"/>
    <mergeCell ref="A169:E169"/>
    <mergeCell ref="B170:C170"/>
    <mergeCell ref="G169:J169"/>
    <mergeCell ref="K169:L169"/>
    <mergeCell ref="M169:N169"/>
    <mergeCell ref="O169:P169"/>
    <mergeCell ref="Q169:R169"/>
    <mergeCell ref="S169:U169"/>
    <mergeCell ref="D170:E170"/>
    <mergeCell ref="D171:E171"/>
    <mergeCell ref="J170:M170"/>
    <mergeCell ref="F170:I170"/>
    <mergeCell ref="F171:I171"/>
    <mergeCell ref="J171:M171"/>
    <mergeCell ref="N170:Q170"/>
    <mergeCell ref="N171:Q171"/>
    <mergeCell ref="V167:Y167"/>
    <mergeCell ref="Z167:AC167"/>
    <mergeCell ref="AD167:AE167"/>
    <mergeCell ref="AF167:AG167"/>
    <mergeCell ref="AH167:AI167"/>
    <mergeCell ref="A15:E15"/>
    <mergeCell ref="E16:E22"/>
    <mergeCell ref="E23:E31"/>
    <mergeCell ref="E32:E46"/>
    <mergeCell ref="E47:E53"/>
    <mergeCell ref="E54:E66"/>
    <mergeCell ref="E67:E79"/>
    <mergeCell ref="E80:E86"/>
    <mergeCell ref="E87:E109"/>
    <mergeCell ref="G167:J167"/>
    <mergeCell ref="K167:L167"/>
    <mergeCell ref="M167:N167"/>
    <mergeCell ref="O167:P167"/>
    <mergeCell ref="Q167:R167"/>
    <mergeCell ref="S167:U167"/>
    <mergeCell ref="E110:E154"/>
    <mergeCell ref="E155:E165"/>
    <mergeCell ref="A167:E168"/>
    <mergeCell ref="A166:E166"/>
    <mergeCell ref="A12:E12"/>
    <mergeCell ref="A13:E13"/>
    <mergeCell ref="A14:E14"/>
    <mergeCell ref="BB10:BC10"/>
    <mergeCell ref="BD10:BF10"/>
    <mergeCell ref="BG10:BH10"/>
    <mergeCell ref="BI10:BJ10"/>
    <mergeCell ref="BK10:BL10"/>
    <mergeCell ref="BM10:BN10"/>
    <mergeCell ref="AJ10:AK10"/>
    <mergeCell ref="AL10:AN10"/>
    <mergeCell ref="AD10:AE10"/>
    <mergeCell ref="AF10:AG10"/>
    <mergeCell ref="AH10:AI10"/>
    <mergeCell ref="V12:Y12"/>
    <mergeCell ref="Z12:AC12"/>
    <mergeCell ref="V13:Y13"/>
    <mergeCell ref="Z13:AC13"/>
    <mergeCell ref="AO12:AR12"/>
    <mergeCell ref="AO13:AR13"/>
    <mergeCell ref="AS12:AV12"/>
    <mergeCell ref="AS13:AV13"/>
    <mergeCell ref="K10:L10"/>
    <mergeCell ref="M10:N10"/>
    <mergeCell ref="O10:P10"/>
    <mergeCell ref="Q10:R10"/>
    <mergeCell ref="AZ6:BA6"/>
    <mergeCell ref="AH6:AI6"/>
    <mergeCell ref="AJ6:AK6"/>
    <mergeCell ref="AL6:AN6"/>
    <mergeCell ref="AO6:AR6"/>
    <mergeCell ref="AS6:AV6"/>
    <mergeCell ref="AW6:AY6"/>
    <mergeCell ref="Q6:R6"/>
    <mergeCell ref="S6:U6"/>
    <mergeCell ref="AO10:AR10"/>
    <mergeCell ref="AS10:AV10"/>
    <mergeCell ref="AW10:AY10"/>
    <mergeCell ref="AZ10:BA10"/>
    <mergeCell ref="S10:U10"/>
    <mergeCell ref="V10:Y10"/>
    <mergeCell ref="Z10:AC10"/>
    <mergeCell ref="V6:Y6"/>
    <mergeCell ref="Z6:AC6"/>
    <mergeCell ref="AD6:AE6"/>
    <mergeCell ref="AF6:AG6"/>
    <mergeCell ref="BD4:BF4"/>
    <mergeCell ref="BM6:BN6"/>
    <mergeCell ref="BO6:BP6"/>
    <mergeCell ref="BB6:BC6"/>
    <mergeCell ref="BD6:BF6"/>
    <mergeCell ref="BG6:BH6"/>
    <mergeCell ref="BI6:BJ6"/>
    <mergeCell ref="BK6:BL6"/>
    <mergeCell ref="BK4:BL4"/>
    <mergeCell ref="BM4:BN4"/>
    <mergeCell ref="AW4:AY4"/>
    <mergeCell ref="AZ4:BA4"/>
    <mergeCell ref="Z4:AC4"/>
    <mergeCell ref="AD4:AE4"/>
    <mergeCell ref="AF4:AG4"/>
    <mergeCell ref="AH4:AI4"/>
    <mergeCell ref="AJ4:AK4"/>
    <mergeCell ref="AL4:AN4"/>
    <mergeCell ref="BB4:BC4"/>
    <mergeCell ref="BM2:BN2"/>
    <mergeCell ref="BO2:BP2"/>
    <mergeCell ref="A4:E5"/>
    <mergeCell ref="G4:J4"/>
    <mergeCell ref="K4:L4"/>
    <mergeCell ref="M4:N4"/>
    <mergeCell ref="O4:P4"/>
    <mergeCell ref="Q4:R4"/>
    <mergeCell ref="S4:U4"/>
    <mergeCell ref="V4:Y4"/>
    <mergeCell ref="AZ2:BA2"/>
    <mergeCell ref="BB2:BC2"/>
    <mergeCell ref="BD2:BF2"/>
    <mergeCell ref="BG2:BH2"/>
    <mergeCell ref="BI2:BJ2"/>
    <mergeCell ref="BK2:BL2"/>
    <mergeCell ref="AH2:AI2"/>
    <mergeCell ref="AJ2:AK2"/>
    <mergeCell ref="AL2:AN2"/>
    <mergeCell ref="AO2:AR2"/>
    <mergeCell ref="AS2:AV2"/>
    <mergeCell ref="AW2:AY2"/>
    <mergeCell ref="Q2:R2"/>
    <mergeCell ref="S2:U2"/>
    <mergeCell ref="AL169:AN169"/>
    <mergeCell ref="AO169:AR169"/>
    <mergeCell ref="AS169:AV169"/>
    <mergeCell ref="V2:Y2"/>
    <mergeCell ref="Z2:AC2"/>
    <mergeCell ref="AD2:AE2"/>
    <mergeCell ref="AF2:AG2"/>
    <mergeCell ref="A1:E1"/>
    <mergeCell ref="A2:E3"/>
    <mergeCell ref="G2:J2"/>
    <mergeCell ref="K2:L2"/>
    <mergeCell ref="M2:N2"/>
    <mergeCell ref="O2:P2"/>
    <mergeCell ref="A6:E7"/>
    <mergeCell ref="G6:J6"/>
    <mergeCell ref="K6:L6"/>
    <mergeCell ref="M6:N6"/>
    <mergeCell ref="O6:P6"/>
    <mergeCell ref="AO4:AR4"/>
    <mergeCell ref="AS4:AV4"/>
    <mergeCell ref="A8:E8"/>
    <mergeCell ref="A9:E9"/>
    <mergeCell ref="A10:E11"/>
    <mergeCell ref="G10:J10"/>
    <mergeCell ref="AG170:AM170"/>
    <mergeCell ref="AG171:AM171"/>
    <mergeCell ref="AN170:BR171"/>
    <mergeCell ref="BQ169:BR169"/>
    <mergeCell ref="Z171:AB171"/>
    <mergeCell ref="Z170:AB170"/>
    <mergeCell ref="V170:Y170"/>
    <mergeCell ref="V171:Y171"/>
    <mergeCell ref="R170:U170"/>
    <mergeCell ref="R171:U171"/>
    <mergeCell ref="BK169:BL169"/>
    <mergeCell ref="BM169:BN169"/>
    <mergeCell ref="BO169:BP169"/>
    <mergeCell ref="AW169:AY169"/>
    <mergeCell ref="AZ169:BA169"/>
    <mergeCell ref="BB169:BC169"/>
    <mergeCell ref="BD169:BF169"/>
    <mergeCell ref="BI169:BJ169"/>
    <mergeCell ref="V169:Y169"/>
    <mergeCell ref="Z169:AC169"/>
    <mergeCell ref="AD169:AE169"/>
    <mergeCell ref="AF169:AG169"/>
    <mergeCell ref="AH169:AI169"/>
    <mergeCell ref="AJ169:AK169"/>
  </mergeCells>
  <conditionalFormatting sqref="A16:A33 A39:A45 A137:A152 A154:A165 A48:A81 A35 A83:A134">
    <cfRule type="duplicateValues" dxfId="197" priority="210"/>
  </conditionalFormatting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196" priority="19" operator="equal">
      <formula>"F"</formula>
    </cfRule>
    <cfRule type="cellIs" dxfId="195" priority="20" operator="equal">
      <formula>"N"</formula>
    </cfRule>
    <cfRule type="cellIs" dxfId="194" priority="21" operator="equal">
      <formula>"I"</formula>
    </cfRule>
  </conditionalFormatting>
  <conditionalFormatting sqref="AE95">
    <cfRule type="cellIs" dxfId="193" priority="16" operator="equal">
      <formula>"F"</formula>
    </cfRule>
    <cfRule type="cellIs" dxfId="192" priority="17" operator="equal">
      <formula>"N"</formula>
    </cfRule>
    <cfRule type="cellIs" dxfId="191" priority="18" operator="equal">
      <formula>"I"</formula>
    </cfRule>
  </conditionalFormatting>
  <conditionalFormatting sqref="AL91">
    <cfRule type="cellIs" dxfId="190" priority="13" operator="equal">
      <formula>"F"</formula>
    </cfRule>
    <cfRule type="cellIs" dxfId="189" priority="14" operator="equal">
      <formula>"N"</formula>
    </cfRule>
    <cfRule type="cellIs" dxfId="188" priority="15" operator="equal">
      <formula>"I"</formula>
    </cfRule>
  </conditionalFormatting>
  <conditionalFormatting sqref="AE134">
    <cfRule type="cellIs" dxfId="187" priority="10" operator="equal">
      <formula>"F"</formula>
    </cfRule>
    <cfRule type="cellIs" dxfId="186" priority="11" operator="equal">
      <formula>"N"</formula>
    </cfRule>
    <cfRule type="cellIs" dxfId="185" priority="12" operator="equal">
      <formula>"I"</formula>
    </cfRule>
  </conditionalFormatting>
  <conditionalFormatting sqref="AF34">
    <cfRule type="cellIs" dxfId="184" priority="7" operator="equal">
      <formula>"F"</formula>
    </cfRule>
    <cfRule type="cellIs" dxfId="183" priority="8" operator="equal">
      <formula>"N"</formula>
    </cfRule>
    <cfRule type="cellIs" dxfId="182" priority="9" operator="equal">
      <formula>"I"</formula>
    </cfRule>
  </conditionalFormatting>
  <conditionalFormatting sqref="AE93">
    <cfRule type="cellIs" dxfId="181" priority="4" operator="equal">
      <formula>"F"</formula>
    </cfRule>
    <cfRule type="cellIs" dxfId="180" priority="5" operator="equal">
      <formula>"N"</formula>
    </cfRule>
    <cfRule type="cellIs" dxfId="179" priority="6" operator="equal">
      <formula>"I"</formula>
    </cfRule>
  </conditionalFormatting>
  <conditionalFormatting sqref="AF99">
    <cfRule type="cellIs" dxfId="178" priority="1" operator="equal">
      <formula>"F"</formula>
    </cfRule>
    <cfRule type="cellIs" dxfId="177" priority="2" operator="equal">
      <formula>"N"</formula>
    </cfRule>
    <cfRule type="cellIs" dxfId="176" priority="3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5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F3445E-F8E3-4C54-B7EF-AB650EA7C066}">
          <x14:formula1>
            <xm:f>TOT!$B$4:$B$11</xm:f>
          </x14:formula1>
          <xm:sqref>A16:A165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neareVEN">
    <tabColor rgb="FF00B050"/>
    <pageSetUpPr fitToPage="1"/>
  </sheetPr>
  <dimension ref="A1:BS284"/>
  <sheetViews>
    <sheetView zoomScale="38" zoomScaleNormal="38" zoomScaleSheetLayoutView="20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62">
        <f>LUN!A1+4</f>
        <v>45891</v>
      </c>
      <c r="B1" s="463"/>
      <c r="C1" s="463"/>
      <c r="D1" s="463"/>
      <c r="E1" s="464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65" t="s">
        <v>35</v>
      </c>
      <c r="B2" s="466"/>
      <c r="C2" s="466"/>
      <c r="D2" s="466"/>
      <c r="E2" s="467"/>
      <c r="F2" s="41">
        <f>F3</f>
        <v>0</v>
      </c>
      <c r="G2" s="442">
        <f>SUM(G3:J3)</f>
        <v>0</v>
      </c>
      <c r="H2" s="442"/>
      <c r="I2" s="442"/>
      <c r="J2" s="442"/>
      <c r="K2" s="442">
        <f>SUM(K3:L3)</f>
        <v>0</v>
      </c>
      <c r="L2" s="442"/>
      <c r="M2" s="442">
        <f>SUM(M3:N3)</f>
        <v>0</v>
      </c>
      <c r="N2" s="442"/>
      <c r="O2" s="442">
        <f>SUM(O3:P3)</f>
        <v>0</v>
      </c>
      <c r="P2" s="442"/>
      <c r="Q2" s="442">
        <f>SUM(Q3:R3)</f>
        <v>0</v>
      </c>
      <c r="R2" s="442"/>
      <c r="S2" s="442">
        <f>SUM(S3:U3)</f>
        <v>0</v>
      </c>
      <c r="T2" s="442"/>
      <c r="U2" s="442"/>
      <c r="V2" s="442">
        <f>SUM(V3:Y3)</f>
        <v>0</v>
      </c>
      <c r="W2" s="442"/>
      <c r="X2" s="442"/>
      <c r="Y2" s="442"/>
      <c r="Z2" s="442">
        <f>SUM(Z3:AC3)</f>
        <v>0</v>
      </c>
      <c r="AA2" s="442"/>
      <c r="AB2" s="442"/>
      <c r="AC2" s="442"/>
      <c r="AD2" s="442">
        <f>SUM(AD3:AE3)</f>
        <v>0</v>
      </c>
      <c r="AE2" s="442"/>
      <c r="AF2" s="442">
        <f>SUM(AF3:AG3)</f>
        <v>0</v>
      </c>
      <c r="AG2" s="442"/>
      <c r="AH2" s="442">
        <f>SUM(AH3:AI3)</f>
        <v>0</v>
      </c>
      <c r="AI2" s="442"/>
      <c r="AJ2" s="442">
        <f>SUM(AJ3:AK3)</f>
        <v>0</v>
      </c>
      <c r="AK2" s="442"/>
      <c r="AL2" s="442">
        <f>SUM(AL3:AN3)</f>
        <v>0</v>
      </c>
      <c r="AM2" s="442"/>
      <c r="AN2" s="442"/>
      <c r="AO2" s="442">
        <f>SUM(AO3:AR3)</f>
        <v>0</v>
      </c>
      <c r="AP2" s="442"/>
      <c r="AQ2" s="442"/>
      <c r="AR2" s="442"/>
      <c r="AS2" s="442">
        <f>SUM(AS3:AV3)</f>
        <v>0</v>
      </c>
      <c r="AT2" s="442"/>
      <c r="AU2" s="442"/>
      <c r="AV2" s="442"/>
      <c r="AW2" s="442">
        <f>SUM(AW3:AY3)</f>
        <v>0</v>
      </c>
      <c r="AX2" s="442"/>
      <c r="AY2" s="442"/>
      <c r="AZ2" s="442">
        <f>SUM(AZ3:BA3)</f>
        <v>0</v>
      </c>
      <c r="BA2" s="442"/>
      <c r="BB2" s="442">
        <f>SUM(BB3:BC3)</f>
        <v>0</v>
      </c>
      <c r="BC2" s="442"/>
      <c r="BD2" s="442">
        <f>SUM(BD3:BF3)</f>
        <v>0</v>
      </c>
      <c r="BE2" s="442"/>
      <c r="BF2" s="442"/>
      <c r="BG2" s="442">
        <f>SUM(BG3:BH3)</f>
        <v>0</v>
      </c>
      <c r="BH2" s="442"/>
      <c r="BI2" s="442">
        <f>SUM(BI3:BJ3)</f>
        <v>0</v>
      </c>
      <c r="BJ2" s="442"/>
      <c r="BK2" s="442">
        <f>SUM(BK3:BL3)</f>
        <v>0</v>
      </c>
      <c r="BL2" s="442"/>
      <c r="BM2" s="442">
        <f>SUM(BM3:BN3)</f>
        <v>0</v>
      </c>
      <c r="BN2" s="442"/>
      <c r="BO2" s="442">
        <f>SUM(BO3:BP3)</f>
        <v>0</v>
      </c>
      <c r="BP2" s="442"/>
      <c r="BQ2" s="442">
        <f>BQ3</f>
        <v>0</v>
      </c>
      <c r="BR2" s="442"/>
      <c r="BS2" s="42"/>
    </row>
    <row r="3" spans="1:71" ht="35.1" customHeight="1" x14ac:dyDescent="0.25">
      <c r="A3" s="468"/>
      <c r="B3" s="469"/>
      <c r="C3" s="469"/>
      <c r="D3" s="469"/>
      <c r="E3" s="470"/>
      <c r="F3" s="43">
        <f>Fasce_Tot!AA4</f>
        <v>0</v>
      </c>
      <c r="G3" s="43">
        <f>Fasce_Tot!AA5</f>
        <v>0</v>
      </c>
      <c r="H3" s="43">
        <f>Fasce_Tot!AA6</f>
        <v>0</v>
      </c>
      <c r="I3" s="43">
        <f>Fasce_Tot!AA7</f>
        <v>0</v>
      </c>
      <c r="J3" s="43">
        <f>Fasce_Tot!AA8</f>
        <v>0</v>
      </c>
      <c r="K3" s="43">
        <f>Fasce_Tot!AA9</f>
        <v>0</v>
      </c>
      <c r="L3" s="43">
        <f>Fasce_Tot!AA10</f>
        <v>0</v>
      </c>
      <c r="M3" s="43">
        <f>Fasce_Tot!AA11</f>
        <v>0</v>
      </c>
      <c r="N3" s="43">
        <f>Fasce_Tot!AA12</f>
        <v>0</v>
      </c>
      <c r="O3" s="43">
        <f>Fasce_Tot!AA13</f>
        <v>0</v>
      </c>
      <c r="P3" s="43">
        <f>Fasce_Tot!AA14</f>
        <v>0</v>
      </c>
      <c r="Q3" s="43">
        <f>Fasce_Tot!AA15</f>
        <v>0</v>
      </c>
      <c r="R3" s="43">
        <f>Fasce_Tot!AA16</f>
        <v>0</v>
      </c>
      <c r="S3" s="43">
        <f>Fasce_Tot!AA17</f>
        <v>0</v>
      </c>
      <c r="T3" s="43">
        <f>Fasce_Tot!AA18</f>
        <v>0</v>
      </c>
      <c r="U3" s="43">
        <f>Fasce_Tot!AA19</f>
        <v>0</v>
      </c>
      <c r="V3" s="43">
        <f>Fasce_Tot!AA20</f>
        <v>0</v>
      </c>
      <c r="W3" s="43">
        <f>Fasce_Tot!AA21</f>
        <v>0</v>
      </c>
      <c r="X3" s="43">
        <f>Fasce_Tot!AA22</f>
        <v>0</v>
      </c>
      <c r="Y3" s="43">
        <f>Fasce_Tot!AA23</f>
        <v>0</v>
      </c>
      <c r="Z3" s="43">
        <f>Fasce_Tot!AA24</f>
        <v>0</v>
      </c>
      <c r="AA3" s="43">
        <f>Fasce_Tot!AA25</f>
        <v>0</v>
      </c>
      <c r="AB3" s="43">
        <f>Fasce_Tot!AA26</f>
        <v>0</v>
      </c>
      <c r="AC3" s="43">
        <f>Fasce_Tot!AA27</f>
        <v>0</v>
      </c>
      <c r="AD3" s="43">
        <f>Fasce_Tot!AA28</f>
        <v>0</v>
      </c>
      <c r="AE3" s="43">
        <f>Fasce_Tot!AA29</f>
        <v>0</v>
      </c>
      <c r="AF3" s="43">
        <f>Fasce_Tot!AA30</f>
        <v>0</v>
      </c>
      <c r="AG3" s="43">
        <f>Fasce_Tot!AA31</f>
        <v>0</v>
      </c>
      <c r="AH3" s="43">
        <f>Fasce_Tot!AA32</f>
        <v>0</v>
      </c>
      <c r="AI3" s="43">
        <f>Fasce_Tot!AA33</f>
        <v>0</v>
      </c>
      <c r="AJ3" s="43">
        <f>Fasce_Tot!AA34</f>
        <v>0</v>
      </c>
      <c r="AK3" s="43">
        <f>Fasce_Tot!AA35</f>
        <v>0</v>
      </c>
      <c r="AL3" s="43">
        <f>Fasce_Tot!AA36</f>
        <v>0</v>
      </c>
      <c r="AM3" s="43">
        <f>Fasce_Tot!AA37</f>
        <v>0</v>
      </c>
      <c r="AN3" s="43">
        <f>Fasce_Tot!AA38</f>
        <v>0</v>
      </c>
      <c r="AO3" s="43">
        <f>Fasce_Tot!AA39</f>
        <v>0</v>
      </c>
      <c r="AP3" s="43">
        <f>Fasce_Tot!AA40</f>
        <v>0</v>
      </c>
      <c r="AQ3" s="43">
        <f>Fasce_Tot!AA41</f>
        <v>0</v>
      </c>
      <c r="AR3" s="43">
        <f>Fasce_Tot!AA42</f>
        <v>0</v>
      </c>
      <c r="AS3" s="43">
        <f>Fasce_Tot!AA43</f>
        <v>0</v>
      </c>
      <c r="AT3" s="43">
        <f>Fasce_Tot!AA44</f>
        <v>0</v>
      </c>
      <c r="AU3" s="43">
        <f>Fasce_Tot!AA45</f>
        <v>0</v>
      </c>
      <c r="AV3" s="43">
        <f>Fasce_Tot!AA46</f>
        <v>0</v>
      </c>
      <c r="AW3" s="43">
        <f>Fasce_Tot!AA47</f>
        <v>0</v>
      </c>
      <c r="AX3" s="43">
        <f>Fasce_Tot!AA48</f>
        <v>0</v>
      </c>
      <c r="AY3" s="43">
        <f>Fasce_Tot!AA49</f>
        <v>0</v>
      </c>
      <c r="AZ3" s="43">
        <f>Fasce_Tot!AA50</f>
        <v>0</v>
      </c>
      <c r="BA3" s="43">
        <f>Fasce_Tot!AA51</f>
        <v>0</v>
      </c>
      <c r="BB3" s="43">
        <f>Fasce_Tot!AA52</f>
        <v>0</v>
      </c>
      <c r="BC3" s="43">
        <f>Fasce_Tot!AA53</f>
        <v>0</v>
      </c>
      <c r="BD3" s="43">
        <f>Fasce_Tot!AA54</f>
        <v>0</v>
      </c>
      <c r="BE3" s="43">
        <f>Fasce_Tot!AA55</f>
        <v>0</v>
      </c>
      <c r="BF3" s="43">
        <f>Fasce_Tot!AA56</f>
        <v>0</v>
      </c>
      <c r="BG3" s="43">
        <f>Fasce_Tot!AA57</f>
        <v>0</v>
      </c>
      <c r="BH3" s="43">
        <f>Fasce_Tot!AA58</f>
        <v>0</v>
      </c>
      <c r="BI3" s="43">
        <f>Fasce_Tot!AA59</f>
        <v>0</v>
      </c>
      <c r="BJ3" s="43">
        <f>Fasce_Tot!AA60</f>
        <v>0</v>
      </c>
      <c r="BK3" s="43">
        <f>Fasce_Tot!AA61</f>
        <v>0</v>
      </c>
      <c r="BL3" s="43">
        <f>Fasce_Tot!AA62</f>
        <v>0</v>
      </c>
      <c r="BM3" s="43">
        <f>Fasce_Tot!AA63</f>
        <v>0</v>
      </c>
      <c r="BN3" s="43">
        <f>Fasce_Tot!AA64</f>
        <v>0</v>
      </c>
      <c r="BO3" s="43">
        <f>Fasce_Tot!AA65</f>
        <v>0</v>
      </c>
      <c r="BP3" s="43">
        <f>Fasce_Tot!AA66</f>
        <v>0</v>
      </c>
      <c r="BQ3" s="43">
        <f>SUM(Fasce_Tot!AG5:'Fasce_Tot'!AG6)</f>
        <v>0</v>
      </c>
      <c r="BR3" s="43">
        <f>SUM(Fasce_Tot!AG7:'Fasce_Tot'!AG8)</f>
        <v>0</v>
      </c>
      <c r="BS3" s="42"/>
    </row>
    <row r="4" spans="1:71" ht="45" customHeight="1" x14ac:dyDescent="0.25">
      <c r="A4" s="471" t="s">
        <v>299</v>
      </c>
      <c r="B4" s="472"/>
      <c r="C4" s="472"/>
      <c r="D4" s="472"/>
      <c r="E4" s="473"/>
      <c r="F4" s="44">
        <f>F5</f>
        <v>0</v>
      </c>
      <c r="G4" s="443">
        <f>SUM(G5:J5)</f>
        <v>0</v>
      </c>
      <c r="H4" s="444"/>
      <c r="I4" s="444"/>
      <c r="J4" s="445"/>
      <c r="K4" s="446">
        <f>SUM(K5:L5)</f>
        <v>0</v>
      </c>
      <c r="L4" s="446"/>
      <c r="M4" s="446">
        <f>SUM(M5:N5)</f>
        <v>0</v>
      </c>
      <c r="N4" s="446"/>
      <c r="O4" s="446">
        <f>SUM(O5:P5)</f>
        <v>0</v>
      </c>
      <c r="P4" s="446"/>
      <c r="Q4" s="446">
        <f>SUM(Q5:R5)</f>
        <v>0</v>
      </c>
      <c r="R4" s="446"/>
      <c r="S4" s="446">
        <f>SUM(S5:U5)</f>
        <v>0</v>
      </c>
      <c r="T4" s="446"/>
      <c r="U4" s="446"/>
      <c r="V4" s="446">
        <f>SUM(V5:Y5)</f>
        <v>0</v>
      </c>
      <c r="W4" s="446"/>
      <c r="X4" s="446"/>
      <c r="Y4" s="446"/>
      <c r="Z4" s="446">
        <f>SUM(Z5:AC5)</f>
        <v>0</v>
      </c>
      <c r="AA4" s="446"/>
      <c r="AB4" s="446"/>
      <c r="AC4" s="446"/>
      <c r="AD4" s="446">
        <f>SUM(AD5:AE5)</f>
        <v>0</v>
      </c>
      <c r="AE4" s="446"/>
      <c r="AF4" s="446">
        <f>SUM(AF5:AG5)</f>
        <v>0</v>
      </c>
      <c r="AG4" s="446"/>
      <c r="AH4" s="446">
        <f>SUM(AH5:AI5)</f>
        <v>0</v>
      </c>
      <c r="AI4" s="446"/>
      <c r="AJ4" s="446">
        <f>SUM(AJ5:AK5)</f>
        <v>0</v>
      </c>
      <c r="AK4" s="446"/>
      <c r="AL4" s="446">
        <f>SUM(AL5:AN5)</f>
        <v>0</v>
      </c>
      <c r="AM4" s="446"/>
      <c r="AN4" s="446"/>
      <c r="AO4" s="446">
        <f>SUM(AO5:AR5)</f>
        <v>0</v>
      </c>
      <c r="AP4" s="446"/>
      <c r="AQ4" s="446"/>
      <c r="AR4" s="446"/>
      <c r="AS4" s="446">
        <f>SUM(AS5:AV5)</f>
        <v>0</v>
      </c>
      <c r="AT4" s="446"/>
      <c r="AU4" s="446"/>
      <c r="AV4" s="446"/>
      <c r="AW4" s="446">
        <f>SUM(AW5:AY5)</f>
        <v>0</v>
      </c>
      <c r="AX4" s="446"/>
      <c r="AY4" s="446"/>
      <c r="AZ4" s="446">
        <f>SUM(AZ5:BA5)</f>
        <v>0</v>
      </c>
      <c r="BA4" s="446"/>
      <c r="BB4" s="446">
        <f>SUM(BB5:BC5)</f>
        <v>0</v>
      </c>
      <c r="BC4" s="446"/>
      <c r="BD4" s="446">
        <f>SUM(BD5:BF5)</f>
        <v>0</v>
      </c>
      <c r="BE4" s="446"/>
      <c r="BF4" s="446"/>
      <c r="BG4" s="446">
        <f>SUM(BG5:BH5)</f>
        <v>0</v>
      </c>
      <c r="BH4" s="446"/>
      <c r="BI4" s="446">
        <f>SUM(BI5:BJ5)</f>
        <v>0</v>
      </c>
      <c r="BJ4" s="446"/>
      <c r="BK4" s="446">
        <f>SUM(BK5:BL5)</f>
        <v>0</v>
      </c>
      <c r="BL4" s="446"/>
      <c r="BM4" s="446">
        <f>SUM(BM5:BN5)</f>
        <v>0</v>
      </c>
      <c r="BN4" s="446"/>
      <c r="BO4" s="446">
        <f>SUM(BO5:BP5)</f>
        <v>0</v>
      </c>
      <c r="BP4" s="446"/>
      <c r="BQ4" s="446">
        <f>BQ5</f>
        <v>0</v>
      </c>
      <c r="BR4" s="446"/>
      <c r="BS4" s="42"/>
    </row>
    <row r="5" spans="1:71" ht="35.1" customHeight="1" x14ac:dyDescent="0.25">
      <c r="A5" s="474"/>
      <c r="B5" s="475"/>
      <c r="C5" s="475"/>
      <c r="D5" s="475"/>
      <c r="E5" s="476"/>
      <c r="F5" s="45">
        <f>Fasce_Tot!AB$4</f>
        <v>0</v>
      </c>
      <c r="G5" s="45">
        <f>Fasce_Tot!AB$5</f>
        <v>0</v>
      </c>
      <c r="H5" s="45">
        <f>Fasce_Tot!AB$6</f>
        <v>0</v>
      </c>
      <c r="I5" s="45">
        <f>Fasce_Tot!AB$7</f>
        <v>0</v>
      </c>
      <c r="J5" s="45">
        <f>Fasce_Tot!AB$8</f>
        <v>0</v>
      </c>
      <c r="K5" s="45">
        <f>Fasce_Tot!AB$9</f>
        <v>0</v>
      </c>
      <c r="L5" s="45">
        <f>Fasce_Tot!AB$10</f>
        <v>0</v>
      </c>
      <c r="M5" s="45">
        <f>Fasce_Tot!AB$11</f>
        <v>0</v>
      </c>
      <c r="N5" s="45">
        <f>Fasce_Tot!AB$12</f>
        <v>0</v>
      </c>
      <c r="O5" s="45">
        <f>Fasce_Tot!AB$13</f>
        <v>0</v>
      </c>
      <c r="P5" s="45">
        <f>Fasce_Tot!AB$14</f>
        <v>0</v>
      </c>
      <c r="Q5" s="45">
        <f>Fasce_Tot!AB$15</f>
        <v>0</v>
      </c>
      <c r="R5" s="45">
        <f>Fasce_Tot!AB$16</f>
        <v>0</v>
      </c>
      <c r="S5" s="45">
        <f>Fasce_Tot!AB$17</f>
        <v>0</v>
      </c>
      <c r="T5" s="45">
        <f>Fasce_Tot!AB$18</f>
        <v>0</v>
      </c>
      <c r="U5" s="45">
        <f>Fasce_Tot!AB$19</f>
        <v>0</v>
      </c>
      <c r="V5" s="45">
        <f>Fasce_Tot!AB$20</f>
        <v>0</v>
      </c>
      <c r="W5" s="45">
        <f>Fasce_Tot!AB$21</f>
        <v>0</v>
      </c>
      <c r="X5" s="45">
        <f>Fasce_Tot!AB$22</f>
        <v>0</v>
      </c>
      <c r="Y5" s="45">
        <f>Fasce_Tot!AB$23</f>
        <v>0</v>
      </c>
      <c r="Z5" s="45">
        <f>Fasce_Tot!AB$24</f>
        <v>0</v>
      </c>
      <c r="AA5" s="45">
        <f>Fasce_Tot!AB$25</f>
        <v>0</v>
      </c>
      <c r="AB5" s="45">
        <f>Fasce_Tot!AB$26</f>
        <v>0</v>
      </c>
      <c r="AC5" s="45">
        <f>Fasce_Tot!AB$27</f>
        <v>0</v>
      </c>
      <c r="AD5" s="45">
        <f>Fasce_Tot!AB$28</f>
        <v>0</v>
      </c>
      <c r="AE5" s="45">
        <f>Fasce_Tot!AB$29</f>
        <v>0</v>
      </c>
      <c r="AF5" s="45">
        <f>Fasce_Tot!AB$30</f>
        <v>0</v>
      </c>
      <c r="AG5" s="45">
        <f>Fasce_Tot!AB$31</f>
        <v>0</v>
      </c>
      <c r="AH5" s="45">
        <f>Fasce_Tot!AB$32</f>
        <v>0</v>
      </c>
      <c r="AI5" s="45">
        <f>Fasce_Tot!AB$33</f>
        <v>0</v>
      </c>
      <c r="AJ5" s="45">
        <f>Fasce_Tot!AB$34</f>
        <v>0</v>
      </c>
      <c r="AK5" s="45">
        <f>Fasce_Tot!AB$35</f>
        <v>0</v>
      </c>
      <c r="AL5" s="45">
        <f>Fasce_Tot!AB$36</f>
        <v>0</v>
      </c>
      <c r="AM5" s="45">
        <f>Fasce_Tot!AB$37</f>
        <v>0</v>
      </c>
      <c r="AN5" s="45">
        <f>Fasce_Tot!AB$38</f>
        <v>0</v>
      </c>
      <c r="AO5" s="45">
        <f>Fasce_Tot!AB$39</f>
        <v>0</v>
      </c>
      <c r="AP5" s="45">
        <f>Fasce_Tot!AB$40</f>
        <v>0</v>
      </c>
      <c r="AQ5" s="45">
        <f>Fasce_Tot!AB$41</f>
        <v>0</v>
      </c>
      <c r="AR5" s="45">
        <f>Fasce_Tot!AB$42</f>
        <v>0</v>
      </c>
      <c r="AS5" s="45">
        <f>Fasce_Tot!AB$43</f>
        <v>0</v>
      </c>
      <c r="AT5" s="45">
        <f>Fasce_Tot!AB$44</f>
        <v>0</v>
      </c>
      <c r="AU5" s="45">
        <f>Fasce_Tot!AB$45</f>
        <v>0</v>
      </c>
      <c r="AV5" s="45">
        <f>Fasce_Tot!AB$46</f>
        <v>0</v>
      </c>
      <c r="AW5" s="45">
        <f>Fasce_Tot!AB$47</f>
        <v>0</v>
      </c>
      <c r="AX5" s="45">
        <f>Fasce_Tot!AB$48</f>
        <v>0</v>
      </c>
      <c r="AY5" s="45">
        <f>Fasce_Tot!AB$49</f>
        <v>0</v>
      </c>
      <c r="AZ5" s="45">
        <f>Fasce_Tot!AB$50</f>
        <v>0</v>
      </c>
      <c r="BA5" s="45">
        <f>Fasce_Tot!AB$51</f>
        <v>0</v>
      </c>
      <c r="BB5" s="45">
        <f>Fasce_Tot!AB$52</f>
        <v>0</v>
      </c>
      <c r="BC5" s="45">
        <f>Fasce_Tot!AB$53</f>
        <v>0</v>
      </c>
      <c r="BD5" s="45">
        <f>Fasce_Tot!AB$54</f>
        <v>0</v>
      </c>
      <c r="BE5" s="45">
        <f>Fasce_Tot!AB$55</f>
        <v>0</v>
      </c>
      <c r="BF5" s="45">
        <f>Fasce_Tot!AB$56</f>
        <v>0</v>
      </c>
      <c r="BG5" s="45">
        <f>Fasce_Tot!AB$57</f>
        <v>0</v>
      </c>
      <c r="BH5" s="45">
        <f>Fasce_Tot!AB$58</f>
        <v>0</v>
      </c>
      <c r="BI5" s="45">
        <f>Fasce_Tot!AB$59</f>
        <v>0</v>
      </c>
      <c r="BJ5" s="45">
        <f>Fasce_Tot!AB$60</f>
        <v>0</v>
      </c>
      <c r="BK5" s="45">
        <f>Fasce_Tot!AB$61</f>
        <v>0</v>
      </c>
      <c r="BL5" s="45">
        <f>Fasce_Tot!AB$62</f>
        <v>0</v>
      </c>
      <c r="BM5" s="45">
        <f>Fasce_Tot!AB$63</f>
        <v>0</v>
      </c>
      <c r="BN5" s="45">
        <f>Fasce_Tot!AB$64</f>
        <v>0</v>
      </c>
      <c r="BO5" s="45">
        <f>Fasce_Tot!AB$65</f>
        <v>0</v>
      </c>
      <c r="BP5" s="45">
        <f>Fasce_Tot!AB$66</f>
        <v>0</v>
      </c>
      <c r="BQ5" s="45">
        <f>SUM(Fasce_Tot!AH5:'Fasce_Tot'!AH6)</f>
        <v>0</v>
      </c>
      <c r="BR5" s="45">
        <f>SUM(Fasce_Tot!AH7:'Fasce_Tot'!AH8)</f>
        <v>0</v>
      </c>
      <c r="BS5" s="42"/>
    </row>
    <row r="6" spans="1:71" ht="45" customHeight="1" x14ac:dyDescent="0.25">
      <c r="A6" s="465" t="s">
        <v>308</v>
      </c>
      <c r="B6" s="466"/>
      <c r="C6" s="466"/>
      <c r="D6" s="466"/>
      <c r="E6" s="467"/>
      <c r="F6" s="41">
        <f>F7</f>
        <v>0</v>
      </c>
      <c r="G6" s="459">
        <f>SUM(G7:J7)</f>
        <v>0</v>
      </c>
      <c r="H6" s="460"/>
      <c r="I6" s="460"/>
      <c r="J6" s="461"/>
      <c r="K6" s="442">
        <f>SUM(K7:L7)</f>
        <v>0</v>
      </c>
      <c r="L6" s="442"/>
      <c r="M6" s="442">
        <f>SUM(M7:N7)</f>
        <v>0</v>
      </c>
      <c r="N6" s="442"/>
      <c r="O6" s="442">
        <f>SUM(O7:P7)</f>
        <v>0</v>
      </c>
      <c r="P6" s="442"/>
      <c r="Q6" s="442">
        <f>SUM(Q7:R7)</f>
        <v>0</v>
      </c>
      <c r="R6" s="442"/>
      <c r="S6" s="442">
        <f>SUM(S7:U7)</f>
        <v>0</v>
      </c>
      <c r="T6" s="442"/>
      <c r="U6" s="442"/>
      <c r="V6" s="442">
        <f>SUM(V7:Y7)</f>
        <v>0</v>
      </c>
      <c r="W6" s="442"/>
      <c r="X6" s="442"/>
      <c r="Y6" s="442"/>
      <c r="Z6" s="442">
        <f>SUM(Z7:AC7)</f>
        <v>0</v>
      </c>
      <c r="AA6" s="442"/>
      <c r="AB6" s="442"/>
      <c r="AC6" s="442"/>
      <c r="AD6" s="442">
        <f>SUM(AD7:AE7)</f>
        <v>0</v>
      </c>
      <c r="AE6" s="442"/>
      <c r="AF6" s="442">
        <f>SUM(AF7:AG7)</f>
        <v>0</v>
      </c>
      <c r="AG6" s="442"/>
      <c r="AH6" s="442">
        <f>SUM(AH7:AI7)</f>
        <v>0</v>
      </c>
      <c r="AI6" s="442"/>
      <c r="AJ6" s="442">
        <f>SUM(AJ7:AK7)</f>
        <v>0</v>
      </c>
      <c r="AK6" s="442"/>
      <c r="AL6" s="442">
        <f>SUM(AL7:AN7)</f>
        <v>0</v>
      </c>
      <c r="AM6" s="442"/>
      <c r="AN6" s="442"/>
      <c r="AO6" s="442">
        <f>SUM(AO7:AR7)</f>
        <v>0</v>
      </c>
      <c r="AP6" s="442"/>
      <c r="AQ6" s="442"/>
      <c r="AR6" s="442"/>
      <c r="AS6" s="442">
        <f>SUM(AS7:AV7)</f>
        <v>0</v>
      </c>
      <c r="AT6" s="442"/>
      <c r="AU6" s="442"/>
      <c r="AV6" s="442"/>
      <c r="AW6" s="442">
        <f>SUM(AW7:AY7)</f>
        <v>0</v>
      </c>
      <c r="AX6" s="442"/>
      <c r="AY6" s="442"/>
      <c r="AZ6" s="442">
        <f>SUM(AZ7:BA7)</f>
        <v>0</v>
      </c>
      <c r="BA6" s="442"/>
      <c r="BB6" s="442">
        <f>SUM(BB7:BC7)</f>
        <v>0</v>
      </c>
      <c r="BC6" s="442"/>
      <c r="BD6" s="442">
        <f>SUM(BD7:BF7)</f>
        <v>0</v>
      </c>
      <c r="BE6" s="442"/>
      <c r="BF6" s="442"/>
      <c r="BG6" s="442">
        <f>SUM(BG7:BH7)</f>
        <v>0</v>
      </c>
      <c r="BH6" s="442"/>
      <c r="BI6" s="442">
        <f>SUM(BI7:BJ7)</f>
        <v>0</v>
      </c>
      <c r="BJ6" s="442"/>
      <c r="BK6" s="442">
        <f>SUM(BK7:BL7)</f>
        <v>0</v>
      </c>
      <c r="BL6" s="442"/>
      <c r="BM6" s="442">
        <f>SUM(BM7:BN7)</f>
        <v>0</v>
      </c>
      <c r="BN6" s="442"/>
      <c r="BO6" s="442">
        <f>SUM(BO7:BP7)</f>
        <v>0</v>
      </c>
      <c r="BP6" s="442"/>
      <c r="BQ6" s="442">
        <f>BQ7</f>
        <v>0</v>
      </c>
      <c r="BR6" s="442"/>
      <c r="BS6" s="42"/>
    </row>
    <row r="7" spans="1:71" ht="35.1" customHeight="1" x14ac:dyDescent="0.25">
      <c r="A7" s="468"/>
      <c r="B7" s="469"/>
      <c r="C7" s="469"/>
      <c r="D7" s="469"/>
      <c r="E7" s="470"/>
      <c r="F7" s="43">
        <f>IF((F5-F8-F9)&lt;0,0,F5-F8-F9)</f>
        <v>0</v>
      </c>
      <c r="G7" s="43">
        <f t="shared" ref="G7:BR7" si="0">IF((G5-G8-G9)&lt;0,0,G5-G8-G9)</f>
        <v>0</v>
      </c>
      <c r="H7" s="43">
        <f t="shared" si="0"/>
        <v>0</v>
      </c>
      <c r="I7" s="43">
        <f t="shared" si="0"/>
        <v>0</v>
      </c>
      <c r="J7" s="43">
        <f t="shared" si="0"/>
        <v>0</v>
      </c>
      <c r="K7" s="43">
        <f t="shared" si="0"/>
        <v>0</v>
      </c>
      <c r="L7" s="43">
        <f t="shared" si="0"/>
        <v>0</v>
      </c>
      <c r="M7" s="43">
        <f t="shared" si="0"/>
        <v>0</v>
      </c>
      <c r="N7" s="43">
        <f t="shared" si="0"/>
        <v>0</v>
      </c>
      <c r="O7" s="43">
        <f t="shared" si="0"/>
        <v>0</v>
      </c>
      <c r="P7" s="43">
        <f t="shared" si="0"/>
        <v>0</v>
      </c>
      <c r="Q7" s="43">
        <f t="shared" si="0"/>
        <v>0</v>
      </c>
      <c r="R7" s="43">
        <f t="shared" si="0"/>
        <v>0</v>
      </c>
      <c r="S7" s="43">
        <f t="shared" si="0"/>
        <v>0</v>
      </c>
      <c r="T7" s="43">
        <f t="shared" si="0"/>
        <v>0</v>
      </c>
      <c r="U7" s="43">
        <f t="shared" si="0"/>
        <v>0</v>
      </c>
      <c r="V7" s="43">
        <f t="shared" si="0"/>
        <v>0</v>
      </c>
      <c r="W7" s="43">
        <f t="shared" si="0"/>
        <v>0</v>
      </c>
      <c r="X7" s="43">
        <f t="shared" si="0"/>
        <v>0</v>
      </c>
      <c r="Y7" s="43">
        <f t="shared" si="0"/>
        <v>0</v>
      </c>
      <c r="Z7" s="43">
        <f t="shared" si="0"/>
        <v>0</v>
      </c>
      <c r="AA7" s="43">
        <f t="shared" si="0"/>
        <v>0</v>
      </c>
      <c r="AB7" s="43">
        <f t="shared" si="0"/>
        <v>0</v>
      </c>
      <c r="AC7" s="43">
        <f t="shared" si="0"/>
        <v>0</v>
      </c>
      <c r="AD7" s="43">
        <f t="shared" si="0"/>
        <v>0</v>
      </c>
      <c r="AE7" s="43">
        <f t="shared" si="0"/>
        <v>0</v>
      </c>
      <c r="AF7" s="43">
        <f t="shared" si="0"/>
        <v>0</v>
      </c>
      <c r="AG7" s="43">
        <f t="shared" si="0"/>
        <v>0</v>
      </c>
      <c r="AH7" s="43">
        <f t="shared" si="0"/>
        <v>0</v>
      </c>
      <c r="AI7" s="43">
        <f t="shared" si="0"/>
        <v>0</v>
      </c>
      <c r="AJ7" s="43">
        <f t="shared" si="0"/>
        <v>0</v>
      </c>
      <c r="AK7" s="43">
        <f t="shared" si="0"/>
        <v>0</v>
      </c>
      <c r="AL7" s="43">
        <f t="shared" si="0"/>
        <v>0</v>
      </c>
      <c r="AM7" s="43">
        <f t="shared" si="0"/>
        <v>0</v>
      </c>
      <c r="AN7" s="43">
        <f t="shared" si="0"/>
        <v>0</v>
      </c>
      <c r="AO7" s="43">
        <f t="shared" si="0"/>
        <v>0</v>
      </c>
      <c r="AP7" s="43">
        <f t="shared" si="0"/>
        <v>0</v>
      </c>
      <c r="AQ7" s="43">
        <f t="shared" si="0"/>
        <v>0</v>
      </c>
      <c r="AR7" s="43">
        <f t="shared" si="0"/>
        <v>0</v>
      </c>
      <c r="AS7" s="43">
        <f t="shared" si="0"/>
        <v>0</v>
      </c>
      <c r="AT7" s="43">
        <f t="shared" si="0"/>
        <v>0</v>
      </c>
      <c r="AU7" s="43">
        <f t="shared" si="0"/>
        <v>0</v>
      </c>
      <c r="AV7" s="43">
        <f t="shared" si="0"/>
        <v>0</v>
      </c>
      <c r="AW7" s="43">
        <f t="shared" si="0"/>
        <v>0</v>
      </c>
      <c r="AX7" s="43">
        <f t="shared" si="0"/>
        <v>0</v>
      </c>
      <c r="AY7" s="43">
        <f t="shared" si="0"/>
        <v>0</v>
      </c>
      <c r="AZ7" s="43">
        <f t="shared" si="0"/>
        <v>0</v>
      </c>
      <c r="BA7" s="43">
        <f t="shared" si="0"/>
        <v>0</v>
      </c>
      <c r="BB7" s="43">
        <f t="shared" si="0"/>
        <v>0</v>
      </c>
      <c r="BC7" s="43">
        <f t="shared" si="0"/>
        <v>0</v>
      </c>
      <c r="BD7" s="43">
        <f t="shared" si="0"/>
        <v>0</v>
      </c>
      <c r="BE7" s="43">
        <f t="shared" si="0"/>
        <v>0</v>
      </c>
      <c r="BF7" s="43">
        <f t="shared" si="0"/>
        <v>0</v>
      </c>
      <c r="BG7" s="43">
        <f t="shared" si="0"/>
        <v>0</v>
      </c>
      <c r="BH7" s="43">
        <f t="shared" si="0"/>
        <v>0</v>
      </c>
      <c r="BI7" s="43">
        <f t="shared" si="0"/>
        <v>0</v>
      </c>
      <c r="BJ7" s="43">
        <f t="shared" si="0"/>
        <v>0</v>
      </c>
      <c r="BK7" s="43">
        <f t="shared" si="0"/>
        <v>0</v>
      </c>
      <c r="BL7" s="43">
        <f t="shared" si="0"/>
        <v>0</v>
      </c>
      <c r="BM7" s="43">
        <f t="shared" si="0"/>
        <v>0</v>
      </c>
      <c r="BN7" s="43">
        <f t="shared" si="0"/>
        <v>0</v>
      </c>
      <c r="BO7" s="43">
        <f t="shared" si="0"/>
        <v>0</v>
      </c>
      <c r="BP7" s="43">
        <f t="shared" si="0"/>
        <v>0</v>
      </c>
      <c r="BQ7" s="43">
        <f t="shared" si="0"/>
        <v>0</v>
      </c>
      <c r="BR7" s="43">
        <f t="shared" si="0"/>
        <v>0</v>
      </c>
      <c r="BS7" s="42"/>
    </row>
    <row r="8" spans="1:71" ht="39.950000000000003" customHeight="1" x14ac:dyDescent="0.25">
      <c r="A8" s="456" t="s">
        <v>300</v>
      </c>
      <c r="B8" s="457"/>
      <c r="C8" s="457"/>
      <c r="D8" s="457"/>
      <c r="E8" s="458"/>
      <c r="F8" s="45">
        <f>Fasce_Tot!AC$4</f>
        <v>0</v>
      </c>
      <c r="G8" s="45">
        <f>Fasce_Tot!AC$5</f>
        <v>0</v>
      </c>
      <c r="H8" s="45">
        <f>Fasce_Tot!AC$6</f>
        <v>0</v>
      </c>
      <c r="I8" s="45">
        <f>Fasce_Tot!AC$7</f>
        <v>0</v>
      </c>
      <c r="J8" s="45">
        <f>Fasce_Tot!AC$8</f>
        <v>0</v>
      </c>
      <c r="K8" s="45">
        <f>Fasce_Tot!AC$9</f>
        <v>0</v>
      </c>
      <c r="L8" s="45">
        <f>Fasce_Tot!AC$10</f>
        <v>0</v>
      </c>
      <c r="M8" s="45">
        <f>Fasce_Tot!AC$11</f>
        <v>0</v>
      </c>
      <c r="N8" s="45">
        <f>Fasce_Tot!AC$12</f>
        <v>0</v>
      </c>
      <c r="O8" s="45">
        <f>Fasce_Tot!AC$13</f>
        <v>0</v>
      </c>
      <c r="P8" s="45">
        <f>Fasce_Tot!AC$14</f>
        <v>0</v>
      </c>
      <c r="Q8" s="45">
        <f>Fasce_Tot!AC$15</f>
        <v>0</v>
      </c>
      <c r="R8" s="45">
        <f>Fasce_Tot!AC$16</f>
        <v>0</v>
      </c>
      <c r="S8" s="45">
        <f>Fasce_Tot!AC$17</f>
        <v>0</v>
      </c>
      <c r="T8" s="45">
        <f>Fasce_Tot!AC$18</f>
        <v>0</v>
      </c>
      <c r="U8" s="45">
        <f>Fasce_Tot!AC$19</f>
        <v>0</v>
      </c>
      <c r="V8" s="45">
        <f>Fasce_Tot!AC$20</f>
        <v>0</v>
      </c>
      <c r="W8" s="45">
        <f>Fasce_Tot!AC$21</f>
        <v>0</v>
      </c>
      <c r="X8" s="45">
        <f>Fasce_Tot!AC$22</f>
        <v>0</v>
      </c>
      <c r="Y8" s="45">
        <f>Fasce_Tot!AC$23</f>
        <v>0</v>
      </c>
      <c r="Z8" s="45">
        <f>Fasce_Tot!AC$24</f>
        <v>0</v>
      </c>
      <c r="AA8" s="45">
        <f>Fasce_Tot!AC$25</f>
        <v>0</v>
      </c>
      <c r="AB8" s="45">
        <f>Fasce_Tot!AC$26</f>
        <v>0</v>
      </c>
      <c r="AC8" s="45">
        <f>Fasce_Tot!AC$27</f>
        <v>0</v>
      </c>
      <c r="AD8" s="45">
        <f>Fasce_Tot!AC$28</f>
        <v>0</v>
      </c>
      <c r="AE8" s="45">
        <f>Fasce_Tot!AC$29</f>
        <v>0</v>
      </c>
      <c r="AF8" s="45">
        <f>Fasce_Tot!AC$30</f>
        <v>0</v>
      </c>
      <c r="AG8" s="45">
        <f>Fasce_Tot!AC$31</f>
        <v>0</v>
      </c>
      <c r="AH8" s="45">
        <f>Fasce_Tot!AC$32</f>
        <v>0</v>
      </c>
      <c r="AI8" s="45">
        <f>Fasce_Tot!AC$33</f>
        <v>0</v>
      </c>
      <c r="AJ8" s="45">
        <f>Fasce_Tot!AC$34</f>
        <v>0</v>
      </c>
      <c r="AK8" s="45">
        <f>Fasce_Tot!AC$35</f>
        <v>0</v>
      </c>
      <c r="AL8" s="45">
        <f>Fasce_Tot!AC$36</f>
        <v>0</v>
      </c>
      <c r="AM8" s="45">
        <f>Fasce_Tot!AC$37</f>
        <v>0</v>
      </c>
      <c r="AN8" s="45">
        <f>Fasce_Tot!AC$38</f>
        <v>0</v>
      </c>
      <c r="AO8" s="45">
        <f>Fasce_Tot!AC$39</f>
        <v>0</v>
      </c>
      <c r="AP8" s="45">
        <f>Fasce_Tot!AC$40</f>
        <v>0</v>
      </c>
      <c r="AQ8" s="45">
        <f>Fasce_Tot!AC$41</f>
        <v>0</v>
      </c>
      <c r="AR8" s="45">
        <f>Fasce_Tot!AC$42</f>
        <v>0</v>
      </c>
      <c r="AS8" s="45">
        <f>Fasce_Tot!AC$43</f>
        <v>0</v>
      </c>
      <c r="AT8" s="45">
        <f>Fasce_Tot!AC$44</f>
        <v>0</v>
      </c>
      <c r="AU8" s="45">
        <f>Fasce_Tot!AC$45</f>
        <v>0</v>
      </c>
      <c r="AV8" s="45">
        <f>Fasce_Tot!AC$46</f>
        <v>0</v>
      </c>
      <c r="AW8" s="45">
        <f>Fasce_Tot!AC$47</f>
        <v>0</v>
      </c>
      <c r="AX8" s="45">
        <f>Fasce_Tot!AC$48</f>
        <v>0</v>
      </c>
      <c r="AY8" s="45">
        <f>Fasce_Tot!AC$49</f>
        <v>0</v>
      </c>
      <c r="AZ8" s="45">
        <f>Fasce_Tot!AC$50</f>
        <v>0</v>
      </c>
      <c r="BA8" s="45">
        <f>Fasce_Tot!AC$51</f>
        <v>0</v>
      </c>
      <c r="BB8" s="45">
        <f>Fasce_Tot!AC$52</f>
        <v>0</v>
      </c>
      <c r="BC8" s="45">
        <f>Fasce_Tot!AC$53</f>
        <v>0</v>
      </c>
      <c r="BD8" s="45">
        <f>Fasce_Tot!AC$54</f>
        <v>0</v>
      </c>
      <c r="BE8" s="45">
        <f>Fasce_Tot!AC$55</f>
        <v>0</v>
      </c>
      <c r="BF8" s="45">
        <f>Fasce_Tot!AC$56</f>
        <v>0</v>
      </c>
      <c r="BG8" s="45">
        <f>Fasce_Tot!AC$57</f>
        <v>0</v>
      </c>
      <c r="BH8" s="45">
        <f>Fasce_Tot!AC$58</f>
        <v>0</v>
      </c>
      <c r="BI8" s="45">
        <f>Fasce_Tot!AC$59</f>
        <v>0</v>
      </c>
      <c r="BJ8" s="45">
        <f>Fasce_Tot!AC$60</f>
        <v>0</v>
      </c>
      <c r="BK8" s="45">
        <f>Fasce_Tot!AC$61</f>
        <v>0</v>
      </c>
      <c r="BL8" s="45">
        <f>Fasce_Tot!AC$62</f>
        <v>0</v>
      </c>
      <c r="BM8" s="45">
        <f>Fasce_Tot!AC$63</f>
        <v>0</v>
      </c>
      <c r="BN8" s="45">
        <f>Fasce_Tot!AC$64</f>
        <v>0</v>
      </c>
      <c r="BO8" s="45">
        <f>Fasce_Tot!AC$65</f>
        <v>0</v>
      </c>
      <c r="BP8" s="45">
        <f>Fasce_Tot!AC$66</f>
        <v>0</v>
      </c>
      <c r="BQ8" s="45">
        <f>SUM(Fasce_Tot!AI5:'Fasce_Tot'!AI6)</f>
        <v>0</v>
      </c>
      <c r="BR8" s="45">
        <f>SUM(Fasce_Tot!AI7:'Fasce_Tot'!AI8)</f>
        <v>0</v>
      </c>
      <c r="BS8" s="42"/>
    </row>
    <row r="9" spans="1:71" ht="39.950000000000003" customHeight="1" x14ac:dyDescent="0.25">
      <c r="A9" s="477" t="s">
        <v>301</v>
      </c>
      <c r="B9" s="478"/>
      <c r="C9" s="478"/>
      <c r="D9" s="478"/>
      <c r="E9" s="479"/>
      <c r="F9" s="43">
        <f>Fasce_Tot!AD$4</f>
        <v>0</v>
      </c>
      <c r="G9" s="43">
        <f>Fasce_Tot!AD$5</f>
        <v>0</v>
      </c>
      <c r="H9" s="43">
        <f>Fasce_Tot!AD$6</f>
        <v>0</v>
      </c>
      <c r="I9" s="43">
        <f>Fasce_Tot!AD$7</f>
        <v>0</v>
      </c>
      <c r="J9" s="43">
        <f>Fasce_Tot!AD$8</f>
        <v>0</v>
      </c>
      <c r="K9" s="43">
        <f>Fasce_Tot!AD$9</f>
        <v>0</v>
      </c>
      <c r="L9" s="43">
        <f>Fasce_Tot!AD$10</f>
        <v>0</v>
      </c>
      <c r="M9" s="43">
        <f>Fasce_Tot!AD$11</f>
        <v>0</v>
      </c>
      <c r="N9" s="43">
        <f>Fasce_Tot!AD$12</f>
        <v>0</v>
      </c>
      <c r="O9" s="43">
        <f>Fasce_Tot!AD$13</f>
        <v>0</v>
      </c>
      <c r="P9" s="43">
        <f>Fasce_Tot!AD$14</f>
        <v>0</v>
      </c>
      <c r="Q9" s="43">
        <f>Fasce_Tot!AD$15</f>
        <v>0</v>
      </c>
      <c r="R9" s="43">
        <f>Fasce_Tot!AD$16</f>
        <v>0</v>
      </c>
      <c r="S9" s="43">
        <f>Fasce_Tot!AD$17</f>
        <v>0</v>
      </c>
      <c r="T9" s="43">
        <f>Fasce_Tot!AD$18</f>
        <v>0</v>
      </c>
      <c r="U9" s="43">
        <f>Fasce_Tot!AD$19</f>
        <v>0</v>
      </c>
      <c r="V9" s="43">
        <f>Fasce_Tot!AD$20</f>
        <v>0</v>
      </c>
      <c r="W9" s="43">
        <f>Fasce_Tot!AD$21</f>
        <v>0</v>
      </c>
      <c r="X9" s="43">
        <f>Fasce_Tot!AD$22</f>
        <v>0</v>
      </c>
      <c r="Y9" s="43">
        <f>Fasce_Tot!AD$23</f>
        <v>0</v>
      </c>
      <c r="Z9" s="43">
        <f>Fasce_Tot!AD$24</f>
        <v>0</v>
      </c>
      <c r="AA9" s="43">
        <f>Fasce_Tot!AD$25</f>
        <v>0</v>
      </c>
      <c r="AB9" s="43">
        <f>Fasce_Tot!AD$26</f>
        <v>0</v>
      </c>
      <c r="AC9" s="43">
        <f>Fasce_Tot!AD$27</f>
        <v>0</v>
      </c>
      <c r="AD9" s="43">
        <f>Fasce_Tot!AD$28</f>
        <v>0</v>
      </c>
      <c r="AE9" s="43">
        <f>Fasce_Tot!AD$29</f>
        <v>0</v>
      </c>
      <c r="AF9" s="43">
        <f>Fasce_Tot!AD$30</f>
        <v>0</v>
      </c>
      <c r="AG9" s="43">
        <f>Fasce_Tot!AD$31</f>
        <v>0</v>
      </c>
      <c r="AH9" s="43">
        <f>Fasce_Tot!AD$32</f>
        <v>0</v>
      </c>
      <c r="AI9" s="43">
        <f>Fasce_Tot!AD$33</f>
        <v>0</v>
      </c>
      <c r="AJ9" s="43">
        <f>Fasce_Tot!AD$34</f>
        <v>0</v>
      </c>
      <c r="AK9" s="43">
        <f>Fasce_Tot!AD$35</f>
        <v>0</v>
      </c>
      <c r="AL9" s="43">
        <f>Fasce_Tot!AD$36</f>
        <v>0</v>
      </c>
      <c r="AM9" s="43">
        <f>Fasce_Tot!AD$37</f>
        <v>0</v>
      </c>
      <c r="AN9" s="43">
        <f>Fasce_Tot!AD$38</f>
        <v>0</v>
      </c>
      <c r="AO9" s="43">
        <f>Fasce_Tot!AD$39</f>
        <v>0</v>
      </c>
      <c r="AP9" s="43">
        <f>Fasce_Tot!AD$40</f>
        <v>0</v>
      </c>
      <c r="AQ9" s="43">
        <f>Fasce_Tot!AD$41</f>
        <v>0</v>
      </c>
      <c r="AR9" s="43">
        <f>Fasce_Tot!AD$42</f>
        <v>0</v>
      </c>
      <c r="AS9" s="43">
        <f>Fasce_Tot!AD$43</f>
        <v>0</v>
      </c>
      <c r="AT9" s="43">
        <f>Fasce_Tot!AD$44</f>
        <v>0</v>
      </c>
      <c r="AU9" s="43">
        <f>Fasce_Tot!AD$45</f>
        <v>0</v>
      </c>
      <c r="AV9" s="43">
        <f>Fasce_Tot!AD$46</f>
        <v>0</v>
      </c>
      <c r="AW9" s="43">
        <f>Fasce_Tot!AD$47</f>
        <v>0</v>
      </c>
      <c r="AX9" s="43">
        <f>Fasce_Tot!AD$48</f>
        <v>0</v>
      </c>
      <c r="AY9" s="43">
        <f>Fasce_Tot!AD$49</f>
        <v>0</v>
      </c>
      <c r="AZ9" s="43">
        <f>Fasce_Tot!AD$50</f>
        <v>0</v>
      </c>
      <c r="BA9" s="43">
        <f>Fasce_Tot!AD$51</f>
        <v>0</v>
      </c>
      <c r="BB9" s="43">
        <f>Fasce_Tot!AD$52</f>
        <v>0</v>
      </c>
      <c r="BC9" s="43">
        <f>Fasce_Tot!AD$53</f>
        <v>0</v>
      </c>
      <c r="BD9" s="43">
        <f>Fasce_Tot!AD$54</f>
        <v>0</v>
      </c>
      <c r="BE9" s="43">
        <f>Fasce_Tot!AD$55</f>
        <v>0</v>
      </c>
      <c r="BF9" s="43">
        <f>Fasce_Tot!AD$56</f>
        <v>0</v>
      </c>
      <c r="BG9" s="43">
        <f>Fasce_Tot!F$57</f>
        <v>0</v>
      </c>
      <c r="BH9" s="43">
        <f>Fasce_Tot!AD$58</f>
        <v>0</v>
      </c>
      <c r="BI9" s="43">
        <f>Fasce_Tot!AD$59</f>
        <v>0</v>
      </c>
      <c r="BJ9" s="43">
        <f>Fasce_Tot!AD$60</f>
        <v>0</v>
      </c>
      <c r="BK9" s="43">
        <f>Fasce_Tot!AD$61</f>
        <v>0</v>
      </c>
      <c r="BL9" s="43">
        <f>Fasce_Tot!AD$62</f>
        <v>0</v>
      </c>
      <c r="BM9" s="43">
        <f>Fasce_Tot!AD$63</f>
        <v>0</v>
      </c>
      <c r="BN9" s="43">
        <f>Fasce_Tot!AD$64</f>
        <v>0</v>
      </c>
      <c r="BO9" s="43">
        <f>Fasce_Tot!AD$65</f>
        <v>0</v>
      </c>
      <c r="BP9" s="43">
        <f>Fasce_Tot!AD$66</f>
        <v>0</v>
      </c>
      <c r="BQ9" s="43">
        <f>SUM(Fasce_Tot!AJ5:'Fasce_Tot'!AJ6)</f>
        <v>0</v>
      </c>
      <c r="BR9" s="43">
        <f>SUM(Fasce_Tot!AJ7:'Fasce_Tot'!AJ8)</f>
        <v>0</v>
      </c>
      <c r="BS9" s="42"/>
    </row>
    <row r="10" spans="1:71" ht="45" customHeight="1" x14ac:dyDescent="0.25">
      <c r="A10" s="447" t="s">
        <v>302</v>
      </c>
      <c r="B10" s="448"/>
      <c r="C10" s="448"/>
      <c r="D10" s="448"/>
      <c r="E10" s="449"/>
      <c r="F10" s="44" t="e">
        <f>F11</f>
        <v>#REF!</v>
      </c>
      <c r="G10" s="443" t="e">
        <f>SUM(G11:J11)</f>
        <v>#REF!</v>
      </c>
      <c r="H10" s="444"/>
      <c r="I10" s="444"/>
      <c r="J10" s="445"/>
      <c r="K10" s="446" t="e">
        <f>SUM(K11:L11)</f>
        <v>#REF!</v>
      </c>
      <c r="L10" s="446"/>
      <c r="M10" s="446" t="e">
        <f>SUM(M11:N11)</f>
        <v>#REF!</v>
      </c>
      <c r="N10" s="446"/>
      <c r="O10" s="446" t="e">
        <f>SUM(O11:P11)</f>
        <v>#REF!</v>
      </c>
      <c r="P10" s="446"/>
      <c r="Q10" s="446" t="e">
        <f>SUM(Q11:R11)</f>
        <v>#REF!</v>
      </c>
      <c r="R10" s="446"/>
      <c r="S10" s="446" t="e">
        <f>SUM(S11:U11)</f>
        <v>#REF!</v>
      </c>
      <c r="T10" s="446"/>
      <c r="U10" s="446"/>
      <c r="V10" s="446" t="e">
        <f>SUM(V11:Y11)</f>
        <v>#REF!</v>
      </c>
      <c r="W10" s="446"/>
      <c r="X10" s="446"/>
      <c r="Y10" s="446"/>
      <c r="Z10" s="446" t="e">
        <f>SUM(Z11:AC11)</f>
        <v>#REF!</v>
      </c>
      <c r="AA10" s="446"/>
      <c r="AB10" s="446"/>
      <c r="AC10" s="446"/>
      <c r="AD10" s="446" t="e">
        <f>SUM(AD11:AE11)</f>
        <v>#REF!</v>
      </c>
      <c r="AE10" s="446"/>
      <c r="AF10" s="446" t="e">
        <f>SUM(AF11:AG11)</f>
        <v>#REF!</v>
      </c>
      <c r="AG10" s="446"/>
      <c r="AH10" s="446" t="e">
        <f>SUM(AH11:AI11)</f>
        <v>#REF!</v>
      </c>
      <c r="AI10" s="446"/>
      <c r="AJ10" s="446" t="e">
        <f>SUM(AJ11:AK11)</f>
        <v>#REF!</v>
      </c>
      <c r="AK10" s="446"/>
      <c r="AL10" s="446" t="e">
        <f>SUM(AL11:AN11)</f>
        <v>#REF!</v>
      </c>
      <c r="AM10" s="446"/>
      <c r="AN10" s="446"/>
      <c r="AO10" s="446" t="e">
        <f>SUM(AO11:AR11)</f>
        <v>#REF!</v>
      </c>
      <c r="AP10" s="446"/>
      <c r="AQ10" s="446"/>
      <c r="AR10" s="446"/>
      <c r="AS10" s="446" t="e">
        <f>SUM(AS11:AV11)</f>
        <v>#REF!</v>
      </c>
      <c r="AT10" s="446"/>
      <c r="AU10" s="446"/>
      <c r="AV10" s="446"/>
      <c r="AW10" s="446" t="e">
        <f>SUM(AW11:AY11)</f>
        <v>#REF!</v>
      </c>
      <c r="AX10" s="446"/>
      <c r="AY10" s="446"/>
      <c r="AZ10" s="446" t="e">
        <f>SUM(AZ11:BA11)</f>
        <v>#REF!</v>
      </c>
      <c r="BA10" s="446"/>
      <c r="BB10" s="446" t="e">
        <f>SUM(BB11:BC11)</f>
        <v>#REF!</v>
      </c>
      <c r="BC10" s="446"/>
      <c r="BD10" s="446" t="e">
        <f>SUM(BD11:BF11)</f>
        <v>#REF!</v>
      </c>
      <c r="BE10" s="446"/>
      <c r="BF10" s="446"/>
      <c r="BG10" s="446" t="e">
        <f>SUM(BG11:BH11)</f>
        <v>#REF!</v>
      </c>
      <c r="BH10" s="446"/>
      <c r="BI10" s="446" t="e">
        <f>SUM(BI11:BJ11)</f>
        <v>#REF!</v>
      </c>
      <c r="BJ10" s="446"/>
      <c r="BK10" s="446" t="e">
        <f>SUM(BK11:BL11)</f>
        <v>#REF!</v>
      </c>
      <c r="BL10" s="446"/>
      <c r="BM10" s="446" t="e">
        <f>SUM(BM11:BN11)</f>
        <v>#REF!</v>
      </c>
      <c r="BN10" s="446"/>
      <c r="BO10" s="446" t="e">
        <f>SUM(BO11:BP11)</f>
        <v>#REF!</v>
      </c>
      <c r="BP10" s="446"/>
      <c r="BQ10" s="446" t="e">
        <f>BQ11</f>
        <v>#REF!</v>
      </c>
      <c r="BR10" s="446"/>
      <c r="BS10" s="42"/>
    </row>
    <row r="11" spans="1:71" ht="35.1" customHeight="1" x14ac:dyDescent="0.25">
      <c r="A11" s="450"/>
      <c r="B11" s="451"/>
      <c r="C11" s="451"/>
      <c r="D11" s="451"/>
      <c r="E11" s="45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53" t="s">
        <v>36</v>
      </c>
      <c r="B12" s="454"/>
      <c r="C12" s="454"/>
      <c r="D12" s="454"/>
      <c r="E12" s="45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18" t="e">
        <f>V$4*Percentuali!$M$10</f>
        <v>#REF!</v>
      </c>
      <c r="W12" s="419"/>
      <c r="X12" s="419"/>
      <c r="Y12" s="420"/>
      <c r="Z12" s="418" t="e">
        <f>Z$4*Percentuali!$M$11</f>
        <v>#REF!</v>
      </c>
      <c r="AA12" s="419"/>
      <c r="AB12" s="419"/>
      <c r="AC12" s="420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18" t="e">
        <f>AO$4*Percentuali!$M$17</f>
        <v>#REF!</v>
      </c>
      <c r="AP12" s="419"/>
      <c r="AQ12" s="419"/>
      <c r="AR12" s="420"/>
      <c r="AS12" s="418" t="e">
        <f>AS$4*Percentuali!$M$18</f>
        <v>#REF!</v>
      </c>
      <c r="AT12" s="419"/>
      <c r="AU12" s="419"/>
      <c r="AV12" s="420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56" t="s">
        <v>183</v>
      </c>
      <c r="B13" s="457"/>
      <c r="C13" s="457"/>
      <c r="D13" s="457"/>
      <c r="E13" s="458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15" t="e">
        <f>V$4*Percentuali!$N$10</f>
        <v>#REF!</v>
      </c>
      <c r="W13" s="416"/>
      <c r="X13" s="416"/>
      <c r="Y13" s="417"/>
      <c r="Z13" s="415" t="e">
        <f>Z$4*Percentuali!$N$11</f>
        <v>#REF!</v>
      </c>
      <c r="AA13" s="416"/>
      <c r="AB13" s="416"/>
      <c r="AC13" s="417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15" t="e">
        <f>AO$4*Percentuali!$N$17</f>
        <v>#REF!</v>
      </c>
      <c r="AP13" s="416"/>
      <c r="AQ13" s="416"/>
      <c r="AR13" s="417"/>
      <c r="AS13" s="415" t="e">
        <f>AS$4*Percentuali!$N$18</f>
        <v>#REF!</v>
      </c>
      <c r="AT13" s="416"/>
      <c r="AU13" s="416"/>
      <c r="AV13" s="417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53" t="s">
        <v>304</v>
      </c>
      <c r="B14" s="454"/>
      <c r="C14" s="454"/>
      <c r="D14" s="454"/>
      <c r="E14" s="45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53" t="s">
        <v>303</v>
      </c>
      <c r="B15" s="454"/>
      <c r="C15" s="454"/>
      <c r="D15" s="454"/>
      <c r="E15" s="45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51"/>
      <c r="B16" s="52"/>
      <c r="C16" s="52"/>
      <c r="D16" s="53"/>
      <c r="E16" s="424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130"/>
    </row>
    <row r="17" spans="1:71" ht="24.95" customHeight="1" x14ac:dyDescent="0.55000000000000004">
      <c r="A17" s="268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2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130"/>
    </row>
    <row r="18" spans="1:71" ht="32.1" customHeight="1" x14ac:dyDescent="0.55000000000000004">
      <c r="A18" s="51"/>
      <c r="B18" s="52"/>
      <c r="C18" s="66"/>
      <c r="D18" s="66"/>
      <c r="E18" s="424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130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2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130"/>
    </row>
    <row r="20" spans="1:71" ht="32.1" customHeight="1" x14ac:dyDescent="0.55000000000000004">
      <c r="A20" s="51"/>
      <c r="B20" s="52"/>
      <c r="C20" s="66"/>
      <c r="D20" s="66"/>
      <c r="E20" s="424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130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2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130"/>
    </row>
    <row r="22" spans="1:71" ht="32.1" customHeight="1" thickBot="1" x14ac:dyDescent="0.6">
      <c r="A22" s="68"/>
      <c r="B22" s="69"/>
      <c r="C22" s="70"/>
      <c r="D22" s="70"/>
      <c r="E22" s="440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130"/>
    </row>
    <row r="23" spans="1:71" ht="32.1" customHeight="1" x14ac:dyDescent="0.55000000000000004">
      <c r="A23" s="71"/>
      <c r="B23" s="72"/>
      <c r="C23" s="73"/>
      <c r="D23" s="73"/>
      <c r="E23" s="423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130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2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130"/>
    </row>
    <row r="25" spans="1:71" ht="32.1" customHeight="1" x14ac:dyDescent="0.55000000000000004">
      <c r="A25" s="51"/>
      <c r="B25" s="52"/>
      <c r="C25" s="66"/>
      <c r="D25" s="66"/>
      <c r="E25" s="424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130"/>
    </row>
    <row r="26" spans="1:71" ht="24.95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24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130"/>
    </row>
    <row r="27" spans="1:71" ht="32.1" customHeight="1" x14ac:dyDescent="0.55000000000000004">
      <c r="A27" s="51"/>
      <c r="B27" s="52"/>
      <c r="C27" s="66"/>
      <c r="D27" s="66"/>
      <c r="E27" s="424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130"/>
    </row>
    <row r="28" spans="1:71" ht="24.95" customHeight="1" x14ac:dyDescent="0.55000000000000004">
      <c r="A28" s="60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2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130"/>
    </row>
    <row r="29" spans="1:71" ht="32.1" customHeight="1" x14ac:dyDescent="0.55000000000000004">
      <c r="A29" s="51"/>
      <c r="B29" s="52"/>
      <c r="C29" s="66"/>
      <c r="D29" s="66"/>
      <c r="E29" s="424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130"/>
    </row>
    <row r="30" spans="1:71" ht="24.95" customHeight="1" x14ac:dyDescent="0.55000000000000004">
      <c r="A30" s="60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2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130"/>
    </row>
    <row r="31" spans="1:71" ht="32.1" customHeight="1" thickBot="1" x14ac:dyDescent="0.6">
      <c r="A31" s="98"/>
      <c r="B31" s="99"/>
      <c r="C31" s="100"/>
      <c r="D31" s="100"/>
      <c r="E31" s="441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30"/>
    </row>
    <row r="32" spans="1:71" ht="32.1" customHeight="1" x14ac:dyDescent="0.55000000000000004">
      <c r="A32" s="103"/>
      <c r="B32" s="104"/>
      <c r="C32" s="105"/>
      <c r="D32" s="105"/>
      <c r="E32" s="439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130"/>
    </row>
    <row r="33" spans="1:71" ht="24.95" customHeight="1" x14ac:dyDescent="0.55000000000000004">
      <c r="A33" s="268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2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130"/>
    </row>
    <row r="34" spans="1:71" ht="32.1" customHeight="1" x14ac:dyDescent="0.55000000000000004">
      <c r="A34" s="51"/>
      <c r="B34" s="52"/>
      <c r="C34" s="66"/>
      <c r="D34" s="66"/>
      <c r="E34" s="424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130"/>
    </row>
    <row r="35" spans="1:71" ht="24.95" customHeight="1" x14ac:dyDescent="0.55000000000000004">
      <c r="A35" s="268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2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130"/>
    </row>
    <row r="36" spans="1:71" ht="32.1" customHeight="1" x14ac:dyDescent="0.55000000000000004">
      <c r="A36" s="51"/>
      <c r="B36" s="52"/>
      <c r="C36" s="66"/>
      <c r="D36" s="66"/>
      <c r="E36" s="424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130"/>
    </row>
    <row r="37" spans="1:71" ht="24.95" customHeight="1" x14ac:dyDescent="0.55000000000000004">
      <c r="A37" s="60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2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130"/>
    </row>
    <row r="38" spans="1:71" ht="32.1" customHeight="1" x14ac:dyDescent="0.55000000000000004">
      <c r="A38" s="51"/>
      <c r="B38" s="52"/>
      <c r="C38" s="66"/>
      <c r="D38" s="66"/>
      <c r="E38" s="424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130"/>
    </row>
    <row r="39" spans="1:71" ht="24.95" customHeight="1" x14ac:dyDescent="0.55000000000000004">
      <c r="A39" s="268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2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130"/>
    </row>
    <row r="40" spans="1:71" ht="32.1" customHeight="1" x14ac:dyDescent="0.55000000000000004">
      <c r="A40" s="51"/>
      <c r="B40" s="52"/>
      <c r="C40" s="66"/>
      <c r="D40" s="66"/>
      <c r="E40" s="424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130"/>
    </row>
    <row r="41" spans="1:71" ht="24.95" customHeight="1" x14ac:dyDescent="0.55000000000000004">
      <c r="A41" s="268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2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130"/>
    </row>
    <row r="42" spans="1:71" ht="32.1" customHeight="1" x14ac:dyDescent="0.55000000000000004">
      <c r="A42" s="51"/>
      <c r="B42" s="52"/>
      <c r="C42" s="66"/>
      <c r="D42" s="66"/>
      <c r="E42" s="424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130"/>
    </row>
    <row r="43" spans="1:71" ht="24.95" customHeight="1" x14ac:dyDescent="0.55000000000000004">
      <c r="A43" s="60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2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130"/>
    </row>
    <row r="44" spans="1:71" ht="32.1" customHeight="1" x14ac:dyDescent="0.55000000000000004">
      <c r="A44" s="51"/>
      <c r="B44" s="52"/>
      <c r="C44" s="66"/>
      <c r="D44" s="66"/>
      <c r="E44" s="424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130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2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130"/>
    </row>
    <row r="46" spans="1:71" ht="32.1" customHeight="1" thickBot="1" x14ac:dyDescent="0.6">
      <c r="A46" s="68"/>
      <c r="B46" s="69"/>
      <c r="C46" s="70"/>
      <c r="D46" s="70"/>
      <c r="E46" s="440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130"/>
    </row>
    <row r="47" spans="1:71" ht="32.1" customHeight="1" x14ac:dyDescent="0.55000000000000004">
      <c r="A47" s="71"/>
      <c r="B47" s="72"/>
      <c r="C47" s="73"/>
      <c r="D47" s="73"/>
      <c r="E47" s="423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130"/>
    </row>
    <row r="48" spans="1:71" ht="24.95" customHeight="1" x14ac:dyDescent="0.55000000000000004">
      <c r="A48" s="60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2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130"/>
    </row>
    <row r="49" spans="1:71" ht="32.1" customHeight="1" x14ac:dyDescent="0.55000000000000004">
      <c r="A49" s="51"/>
      <c r="B49" s="52"/>
      <c r="C49" s="66"/>
      <c r="D49" s="66"/>
      <c r="E49" s="424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130"/>
    </row>
    <row r="50" spans="1:71" ht="24.95" customHeight="1" x14ac:dyDescent="0.55000000000000004">
      <c r="A50" s="268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2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130"/>
    </row>
    <row r="51" spans="1:71" ht="32.1" customHeight="1" x14ac:dyDescent="0.55000000000000004">
      <c r="A51" s="51"/>
      <c r="B51" s="52"/>
      <c r="C51" s="66"/>
      <c r="D51" s="66"/>
      <c r="E51" s="424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130"/>
    </row>
    <row r="52" spans="1:71" ht="24.95" customHeight="1" x14ac:dyDescent="0.55000000000000004">
      <c r="A52" s="268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2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130"/>
    </row>
    <row r="53" spans="1:71" ht="32.1" customHeight="1" thickBot="1" x14ac:dyDescent="0.6">
      <c r="A53" s="100"/>
      <c r="B53" s="99"/>
      <c r="C53" s="100"/>
      <c r="D53" s="100"/>
      <c r="E53" s="441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30"/>
    </row>
    <row r="54" spans="1:71" ht="32.1" customHeight="1" x14ac:dyDescent="0.55000000000000004">
      <c r="A54" s="103"/>
      <c r="B54" s="104"/>
      <c r="C54" s="105"/>
      <c r="D54" s="105"/>
      <c r="E54" s="439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130"/>
    </row>
    <row r="55" spans="1:71" ht="24.95" customHeight="1" x14ac:dyDescent="0.55000000000000004">
      <c r="A55" s="60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24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130"/>
    </row>
    <row r="56" spans="1:71" ht="32.1" customHeight="1" x14ac:dyDescent="0.55000000000000004">
      <c r="A56" s="51"/>
      <c r="B56" s="52"/>
      <c r="C56" s="66"/>
      <c r="D56" s="66"/>
      <c r="E56" s="424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130"/>
    </row>
    <row r="57" spans="1:71" ht="24.95" customHeight="1" x14ac:dyDescent="0.55000000000000004">
      <c r="A57" s="268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24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130"/>
    </row>
    <row r="58" spans="1:71" ht="32.1" customHeight="1" x14ac:dyDescent="0.55000000000000004">
      <c r="A58" s="51"/>
      <c r="B58" s="52"/>
      <c r="C58" s="66"/>
      <c r="D58" s="66"/>
      <c r="E58" s="424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130"/>
    </row>
    <row r="59" spans="1:71" ht="24.95" customHeight="1" x14ac:dyDescent="0.55000000000000004">
      <c r="A59" s="268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24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130"/>
    </row>
    <row r="60" spans="1:71" ht="32.1" customHeight="1" x14ac:dyDescent="0.55000000000000004">
      <c r="A60" s="51"/>
      <c r="B60" s="52"/>
      <c r="C60" s="66"/>
      <c r="D60" s="66"/>
      <c r="E60" s="424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130"/>
    </row>
    <row r="61" spans="1:71" ht="24.95" customHeight="1" x14ac:dyDescent="0.55000000000000004">
      <c r="A61" s="60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24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130"/>
    </row>
    <row r="62" spans="1:71" ht="32.1" customHeight="1" x14ac:dyDescent="0.55000000000000004">
      <c r="A62" s="51"/>
      <c r="B62" s="52"/>
      <c r="C62" s="66"/>
      <c r="D62" s="66"/>
      <c r="E62" s="424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130"/>
    </row>
    <row r="63" spans="1:71" ht="24.95" customHeight="1" x14ac:dyDescent="0.55000000000000004">
      <c r="A63" s="268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24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130"/>
    </row>
    <row r="64" spans="1:71" ht="32.1" customHeight="1" x14ac:dyDescent="0.55000000000000004">
      <c r="A64" s="51"/>
      <c r="B64" s="52"/>
      <c r="C64" s="66"/>
      <c r="D64" s="66"/>
      <c r="E64" s="424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130"/>
    </row>
    <row r="65" spans="1:71" ht="24.95" customHeight="1" x14ac:dyDescent="0.55000000000000004">
      <c r="A65" s="109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24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130"/>
    </row>
    <row r="66" spans="1:71" ht="32.1" customHeight="1" thickBot="1" x14ac:dyDescent="0.6">
      <c r="A66" s="98"/>
      <c r="B66" s="69"/>
      <c r="C66" s="70"/>
      <c r="D66" s="70"/>
      <c r="E66" s="440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130"/>
    </row>
    <row r="67" spans="1:71" ht="32.1" customHeight="1" x14ac:dyDescent="0.55000000000000004">
      <c r="A67" s="71"/>
      <c r="B67" s="72"/>
      <c r="C67" s="73"/>
      <c r="D67" s="73"/>
      <c r="E67" s="423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130"/>
    </row>
    <row r="68" spans="1:71" ht="24.95" customHeight="1" x14ac:dyDescent="0.55000000000000004">
      <c r="A68" s="268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2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130"/>
    </row>
    <row r="69" spans="1:71" ht="32.1" customHeight="1" x14ac:dyDescent="0.55000000000000004">
      <c r="A69" s="51"/>
      <c r="B69" s="52"/>
      <c r="C69" s="66"/>
      <c r="D69" s="66"/>
      <c r="E69" s="424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130"/>
    </row>
    <row r="70" spans="1:71" ht="24.95" customHeight="1" x14ac:dyDescent="0.55000000000000004">
      <c r="A70" s="60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24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130"/>
    </row>
    <row r="71" spans="1:71" ht="32.1" customHeight="1" x14ac:dyDescent="0.55000000000000004">
      <c r="A71" s="51"/>
      <c r="B71" s="52"/>
      <c r="C71" s="66"/>
      <c r="D71" s="66"/>
      <c r="E71" s="424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130"/>
    </row>
    <row r="72" spans="1:71" ht="24.95" customHeight="1" x14ac:dyDescent="0.55000000000000004">
      <c r="A72" s="268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24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130"/>
    </row>
    <row r="73" spans="1:71" ht="32.1" customHeight="1" x14ac:dyDescent="0.55000000000000004">
      <c r="A73" s="51"/>
      <c r="B73" s="52"/>
      <c r="C73" s="66"/>
      <c r="D73" s="66"/>
      <c r="E73" s="424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130"/>
    </row>
    <row r="74" spans="1:71" ht="24.95" customHeight="1" x14ac:dyDescent="0.55000000000000004">
      <c r="A74" s="60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24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130"/>
    </row>
    <row r="75" spans="1:71" ht="32.1" customHeight="1" x14ac:dyDescent="0.55000000000000004">
      <c r="A75" s="51"/>
      <c r="B75" s="52"/>
      <c r="C75" s="66"/>
      <c r="D75" s="66"/>
      <c r="E75" s="424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130"/>
    </row>
    <row r="76" spans="1:71" ht="24.95" customHeight="1" x14ac:dyDescent="0.55000000000000004">
      <c r="A76" s="60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24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130"/>
    </row>
    <row r="77" spans="1:71" ht="32.1" customHeight="1" x14ac:dyDescent="0.55000000000000004">
      <c r="A77" s="51"/>
      <c r="B77" s="52"/>
      <c r="C77" s="66"/>
      <c r="D77" s="66"/>
      <c r="E77" s="424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130"/>
    </row>
    <row r="78" spans="1:71" ht="24.95" customHeight="1" x14ac:dyDescent="0.55000000000000004">
      <c r="A78" s="109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24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130"/>
    </row>
    <row r="79" spans="1:71" ht="32.1" customHeight="1" thickBot="1" x14ac:dyDescent="0.6">
      <c r="A79" s="98"/>
      <c r="B79" s="99"/>
      <c r="C79" s="100"/>
      <c r="D79" s="100"/>
      <c r="E79" s="441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130"/>
    </row>
    <row r="80" spans="1:71" ht="32.1" customHeight="1" x14ac:dyDescent="0.55000000000000004">
      <c r="A80" s="103"/>
      <c r="B80" s="104"/>
      <c r="C80" s="105"/>
      <c r="D80" s="105"/>
      <c r="E80" s="439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130"/>
    </row>
    <row r="81" spans="1:71" ht="24.95" customHeight="1" x14ac:dyDescent="0.55000000000000004">
      <c r="A81" s="268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2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130"/>
    </row>
    <row r="82" spans="1:71" ht="32.1" customHeight="1" x14ac:dyDescent="0.55000000000000004">
      <c r="A82" s="51"/>
      <c r="B82" s="52"/>
      <c r="C82" s="66"/>
      <c r="D82" s="66"/>
      <c r="E82" s="42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130"/>
    </row>
    <row r="83" spans="1:71" ht="24.95" customHeight="1" x14ac:dyDescent="0.55000000000000004">
      <c r="A83" s="268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24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130"/>
    </row>
    <row r="84" spans="1:71" ht="32.1" customHeight="1" x14ac:dyDescent="0.55000000000000004">
      <c r="A84" s="51"/>
      <c r="B84" s="52"/>
      <c r="C84" s="66"/>
      <c r="D84" s="66"/>
      <c r="E84" s="424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130"/>
    </row>
    <row r="85" spans="1:71" ht="24.95" customHeight="1" x14ac:dyDescent="0.55000000000000004">
      <c r="A85" s="268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2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130"/>
    </row>
    <row r="86" spans="1:71" ht="32.1" customHeight="1" thickBot="1" x14ac:dyDescent="0.6">
      <c r="A86" s="68"/>
      <c r="B86" s="69"/>
      <c r="C86" s="70"/>
      <c r="D86" s="70"/>
      <c r="E86" s="440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130"/>
    </row>
    <row r="87" spans="1:71" ht="32.1" customHeight="1" x14ac:dyDescent="0.55000000000000004">
      <c r="A87" s="71"/>
      <c r="B87" s="72"/>
      <c r="C87" s="73"/>
      <c r="D87" s="73"/>
      <c r="E87" s="423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130"/>
    </row>
    <row r="88" spans="1:71" ht="24.95" customHeight="1" x14ac:dyDescent="0.55000000000000004">
      <c r="A88" s="268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2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130"/>
    </row>
    <row r="89" spans="1:71" ht="32.1" customHeight="1" x14ac:dyDescent="0.55000000000000004">
      <c r="A89" s="51"/>
      <c r="B89" s="52"/>
      <c r="C89" s="66"/>
      <c r="D89" s="66"/>
      <c r="E89" s="42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130"/>
    </row>
    <row r="90" spans="1:71" ht="24.95" customHeight="1" x14ac:dyDescent="0.55000000000000004">
      <c r="A90" s="268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2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130"/>
    </row>
    <row r="91" spans="1:71" ht="32.1" customHeight="1" x14ac:dyDescent="0.55000000000000004">
      <c r="A91" s="51"/>
      <c r="B91" s="52"/>
      <c r="C91" s="66"/>
      <c r="D91" s="66"/>
      <c r="E91" s="42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130"/>
    </row>
    <row r="92" spans="1:71" ht="24.95" customHeight="1" x14ac:dyDescent="0.55000000000000004">
      <c r="A92" s="60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2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130"/>
    </row>
    <row r="93" spans="1:71" s="117" customFormat="1" ht="32.1" customHeight="1" x14ac:dyDescent="0.55000000000000004">
      <c r="A93" s="51"/>
      <c r="B93" s="52"/>
      <c r="C93" s="66"/>
      <c r="D93" s="66"/>
      <c r="E93" s="42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52"/>
    </row>
    <row r="94" spans="1:71" ht="24.95" customHeight="1" x14ac:dyDescent="0.55000000000000004">
      <c r="A94" s="60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2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130"/>
    </row>
    <row r="95" spans="1:71" s="117" customFormat="1" ht="32.1" customHeight="1" x14ac:dyDescent="0.55000000000000004">
      <c r="A95" s="51"/>
      <c r="B95" s="52"/>
      <c r="C95" s="66"/>
      <c r="D95" s="66"/>
      <c r="E95" s="42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52"/>
    </row>
    <row r="96" spans="1:71" ht="24.95" customHeight="1" x14ac:dyDescent="0.55000000000000004">
      <c r="A96" s="268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2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130"/>
    </row>
    <row r="97" spans="1:71" s="117" customFormat="1" ht="32.1" customHeight="1" x14ac:dyDescent="0.55000000000000004">
      <c r="A97" s="51"/>
      <c r="B97" s="52"/>
      <c r="C97" s="66"/>
      <c r="D97" s="66"/>
      <c r="E97" s="42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52"/>
    </row>
    <row r="98" spans="1:71" ht="24.95" customHeight="1" x14ac:dyDescent="0.55000000000000004">
      <c r="A98" s="268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2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130"/>
    </row>
    <row r="99" spans="1:71" ht="32.1" customHeight="1" x14ac:dyDescent="0.55000000000000004">
      <c r="A99" s="51"/>
      <c r="B99" s="52"/>
      <c r="C99" s="66"/>
      <c r="D99" s="66"/>
      <c r="E99" s="42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130"/>
    </row>
    <row r="100" spans="1:71" ht="24.95" customHeight="1" x14ac:dyDescent="0.55000000000000004">
      <c r="A100" s="60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2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130"/>
    </row>
    <row r="101" spans="1:71" ht="32.1" customHeight="1" x14ac:dyDescent="0.55000000000000004">
      <c r="A101" s="52"/>
      <c r="B101" s="52"/>
      <c r="C101" s="66"/>
      <c r="D101" s="66"/>
      <c r="E101" s="42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130"/>
    </row>
    <row r="102" spans="1:71" ht="24.95" customHeight="1" x14ac:dyDescent="0.55000000000000004">
      <c r="A102" s="268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2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130"/>
    </row>
    <row r="103" spans="1:71" ht="32.1" customHeight="1" x14ac:dyDescent="0.55000000000000004">
      <c r="A103" s="51"/>
      <c r="B103" s="52"/>
      <c r="C103" s="66"/>
      <c r="D103" s="66"/>
      <c r="E103" s="42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130"/>
    </row>
    <row r="104" spans="1:71" ht="24.95" customHeight="1" x14ac:dyDescent="0.55000000000000004">
      <c r="A104" s="270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2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130"/>
    </row>
    <row r="105" spans="1:71" ht="32.1" customHeight="1" x14ac:dyDescent="0.55000000000000004">
      <c r="B105" s="52"/>
      <c r="C105" s="66"/>
      <c r="D105" s="66"/>
      <c r="E105" s="42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130"/>
    </row>
    <row r="106" spans="1:71" ht="24.95" customHeight="1" x14ac:dyDescent="0.55000000000000004">
      <c r="A106" s="60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2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130"/>
    </row>
    <row r="107" spans="1:71" ht="32.1" customHeight="1" x14ac:dyDescent="0.55000000000000004">
      <c r="A107" s="51"/>
      <c r="B107" s="52"/>
      <c r="C107" s="66"/>
      <c r="D107" s="66"/>
      <c r="E107" s="42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130"/>
    </row>
    <row r="108" spans="1:71" ht="24.95" customHeight="1" x14ac:dyDescent="0.55000000000000004">
      <c r="A108" s="60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2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130"/>
    </row>
    <row r="109" spans="1:71" ht="32.1" customHeight="1" thickBot="1" x14ac:dyDescent="0.6">
      <c r="A109" s="98"/>
      <c r="B109" s="99"/>
      <c r="C109" s="100"/>
      <c r="D109" s="100"/>
      <c r="E109" s="44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130"/>
    </row>
    <row r="110" spans="1:71" ht="32.1" customHeight="1" x14ac:dyDescent="0.55000000000000004">
      <c r="A110" s="103"/>
      <c r="B110" s="104"/>
      <c r="C110" s="105"/>
      <c r="D110" s="105"/>
      <c r="E110" s="439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130"/>
    </row>
    <row r="111" spans="1:71" ht="24.95" customHeight="1" x14ac:dyDescent="0.55000000000000004">
      <c r="A111" s="268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2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130"/>
    </row>
    <row r="112" spans="1:71" ht="32.1" customHeight="1" x14ac:dyDescent="0.55000000000000004">
      <c r="A112" s="52"/>
      <c r="B112" s="52"/>
      <c r="C112" s="66"/>
      <c r="D112" s="66"/>
      <c r="E112" s="42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130"/>
    </row>
    <row r="113" spans="1:71" ht="24.95" customHeight="1" x14ac:dyDescent="0.55000000000000004">
      <c r="A113" s="268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2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130"/>
    </row>
    <row r="114" spans="1:71" ht="32.1" customHeight="1" x14ac:dyDescent="0.55000000000000004">
      <c r="A114" s="51"/>
      <c r="B114" s="52"/>
      <c r="C114" s="66"/>
      <c r="D114" s="66"/>
      <c r="E114" s="42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130"/>
    </row>
    <row r="115" spans="1:71" ht="24.95" customHeight="1" x14ac:dyDescent="0.55000000000000004">
      <c r="A115" s="268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2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130"/>
    </row>
    <row r="116" spans="1:71" ht="32.1" customHeight="1" x14ac:dyDescent="0.55000000000000004">
      <c r="A116" s="51"/>
      <c r="B116" s="52"/>
      <c r="C116" s="66"/>
      <c r="D116" s="66"/>
      <c r="E116" s="42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130"/>
    </row>
    <row r="117" spans="1:71" ht="24.95" customHeight="1" x14ac:dyDescent="0.55000000000000004">
      <c r="A117" s="268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2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130"/>
    </row>
    <row r="118" spans="1:71" ht="32.1" customHeight="1" x14ac:dyDescent="0.55000000000000004">
      <c r="A118" s="51"/>
      <c r="B118" s="52"/>
      <c r="C118" s="66"/>
      <c r="D118" s="66"/>
      <c r="E118" s="424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130"/>
    </row>
    <row r="119" spans="1:71" ht="24.95" customHeight="1" x14ac:dyDescent="0.55000000000000004">
      <c r="A119" s="268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2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130"/>
    </row>
    <row r="120" spans="1:71" ht="32.1" customHeight="1" x14ac:dyDescent="0.55000000000000004">
      <c r="A120" s="51"/>
      <c r="B120" s="52"/>
      <c r="C120" s="66"/>
      <c r="D120" s="66"/>
      <c r="E120" s="42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130"/>
    </row>
    <row r="121" spans="1:71" ht="24.95" customHeight="1" x14ac:dyDescent="0.55000000000000004">
      <c r="A121" s="268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2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130"/>
    </row>
    <row r="122" spans="1:71" ht="32.1" customHeight="1" x14ac:dyDescent="0.55000000000000004">
      <c r="A122" s="51"/>
      <c r="B122" s="52"/>
      <c r="C122" s="66"/>
      <c r="D122" s="66"/>
      <c r="E122" s="42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130"/>
    </row>
    <row r="123" spans="1:71" ht="24.95" customHeight="1" x14ac:dyDescent="0.55000000000000004">
      <c r="A123" s="60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2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130"/>
    </row>
    <row r="124" spans="1:71" ht="32.1" customHeight="1" x14ac:dyDescent="0.55000000000000004">
      <c r="A124" s="51"/>
      <c r="B124" s="52"/>
      <c r="C124" s="66"/>
      <c r="D124" s="66"/>
      <c r="E124" s="42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130"/>
    </row>
    <row r="125" spans="1:71" ht="24.95" customHeight="1" x14ac:dyDescent="0.55000000000000004">
      <c r="A125" s="268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2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130"/>
    </row>
    <row r="126" spans="1:71" ht="32.1" customHeight="1" x14ac:dyDescent="0.55000000000000004">
      <c r="A126" s="51"/>
      <c r="B126" s="52"/>
      <c r="C126" s="66"/>
      <c r="D126" s="66"/>
      <c r="E126" s="42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130"/>
    </row>
    <row r="127" spans="1:71" ht="24.95" customHeight="1" x14ac:dyDescent="0.55000000000000004">
      <c r="A127" s="268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2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130"/>
    </row>
    <row r="128" spans="1:71" ht="32.1" customHeight="1" x14ac:dyDescent="0.55000000000000004">
      <c r="A128" s="51"/>
      <c r="B128" s="52"/>
      <c r="C128" s="66"/>
      <c r="D128" s="66"/>
      <c r="E128" s="42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130"/>
    </row>
    <row r="129" spans="1:71" ht="24.95" customHeight="1" x14ac:dyDescent="0.55000000000000004">
      <c r="A129" s="268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2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130"/>
    </row>
    <row r="130" spans="1:71" ht="32.1" customHeight="1" x14ac:dyDescent="0.55000000000000004">
      <c r="A130" s="52"/>
      <c r="B130" s="52"/>
      <c r="C130" s="66"/>
      <c r="D130" s="66"/>
      <c r="E130" s="42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130"/>
    </row>
    <row r="131" spans="1:71" ht="24.95" customHeight="1" x14ac:dyDescent="0.55000000000000004">
      <c r="A131" s="268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2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130"/>
    </row>
    <row r="132" spans="1:71" ht="32.1" customHeight="1" x14ac:dyDescent="0.55000000000000004">
      <c r="A132" s="51"/>
      <c r="B132" s="52"/>
      <c r="C132" s="66"/>
      <c r="D132" s="66"/>
      <c r="E132" s="42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130"/>
    </row>
    <row r="133" spans="1:71" ht="24.95" customHeight="1" x14ac:dyDescent="0.55000000000000004">
      <c r="A133" s="268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2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130"/>
    </row>
    <row r="134" spans="1:71" ht="32.1" customHeight="1" x14ac:dyDescent="0.55000000000000004">
      <c r="A134" s="51"/>
      <c r="B134" s="52"/>
      <c r="C134" s="66"/>
      <c r="D134" s="66"/>
      <c r="E134" s="42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130"/>
    </row>
    <row r="135" spans="1:71" ht="24.95" customHeight="1" x14ac:dyDescent="0.55000000000000004">
      <c r="A135" s="268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2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130"/>
    </row>
    <row r="136" spans="1:71" ht="32.1" customHeight="1" x14ac:dyDescent="0.55000000000000004">
      <c r="A136" s="51"/>
      <c r="B136" s="52"/>
      <c r="C136" s="66"/>
      <c r="E136" s="42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130"/>
    </row>
    <row r="137" spans="1:71" ht="24.95" customHeight="1" x14ac:dyDescent="0.55000000000000004">
      <c r="A137" s="268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2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130"/>
    </row>
    <row r="138" spans="1:71" ht="32.1" customHeight="1" x14ac:dyDescent="0.55000000000000004">
      <c r="A138" s="52"/>
      <c r="B138" s="52"/>
      <c r="C138" s="66"/>
      <c r="D138" s="66"/>
      <c r="E138" s="42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130"/>
    </row>
    <row r="139" spans="1:71" ht="24.95" customHeight="1" x14ac:dyDescent="0.55000000000000004">
      <c r="A139" s="268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2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130"/>
    </row>
    <row r="140" spans="1:71" ht="32.1" customHeight="1" x14ac:dyDescent="0.55000000000000004">
      <c r="A140" s="51"/>
      <c r="B140" s="52"/>
      <c r="C140" s="66"/>
      <c r="D140" s="66"/>
      <c r="E140" s="42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130"/>
    </row>
    <row r="141" spans="1:71" ht="24.6" customHeight="1" x14ac:dyDescent="0.55000000000000004">
      <c r="A141" s="268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24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130"/>
    </row>
    <row r="142" spans="1:71" ht="32.1" customHeight="1" x14ac:dyDescent="0.55000000000000004">
      <c r="A142" s="51"/>
      <c r="B142" s="52"/>
      <c r="C142" s="66"/>
      <c r="D142" s="66"/>
      <c r="E142" s="42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130"/>
    </row>
    <row r="143" spans="1:71" ht="24.95" customHeight="1" x14ac:dyDescent="0.55000000000000004">
      <c r="A143" s="268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2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130"/>
    </row>
    <row r="144" spans="1:71" ht="32.1" customHeight="1" x14ac:dyDescent="0.55000000000000004">
      <c r="A144" s="51"/>
      <c r="B144" s="52"/>
      <c r="C144" s="66"/>
      <c r="D144" s="66"/>
      <c r="E144" s="42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130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2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130"/>
    </row>
    <row r="146" spans="1:71" ht="32.1" customHeight="1" x14ac:dyDescent="0.55000000000000004">
      <c r="A146" s="51"/>
      <c r="B146" s="52"/>
      <c r="C146" s="66"/>
      <c r="D146" s="66"/>
      <c r="E146" s="42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130"/>
    </row>
    <row r="147" spans="1:71" ht="24.95" customHeight="1" x14ac:dyDescent="0.55000000000000004">
      <c r="A147" s="268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2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130"/>
    </row>
    <row r="148" spans="1:71" ht="32.1" customHeight="1" x14ac:dyDescent="0.55000000000000004">
      <c r="A148" s="51"/>
      <c r="B148" s="52"/>
      <c r="C148" s="66"/>
      <c r="D148" s="66"/>
      <c r="E148" s="42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130"/>
    </row>
    <row r="149" spans="1:71" ht="24.95" customHeight="1" x14ac:dyDescent="0.55000000000000004">
      <c r="A149" s="169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2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130"/>
    </row>
    <row r="150" spans="1:71" ht="32.1" customHeight="1" x14ac:dyDescent="0.55000000000000004">
      <c r="B150" s="52"/>
      <c r="D150" s="66"/>
      <c r="E150" s="424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130"/>
    </row>
    <row r="151" spans="1:71" ht="24.95" customHeight="1" x14ac:dyDescent="0.55000000000000004">
      <c r="A151" s="268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2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130"/>
    </row>
    <row r="152" spans="1:71" ht="32.1" customHeight="1" x14ac:dyDescent="0.55000000000000004">
      <c r="A152" s="51"/>
      <c r="B152" s="52"/>
      <c r="C152" s="66"/>
      <c r="D152" s="66"/>
      <c r="E152" s="42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130"/>
    </row>
    <row r="153" spans="1:71" ht="24.95" customHeight="1" x14ac:dyDescent="0.55000000000000004">
      <c r="A153" s="268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2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130"/>
    </row>
    <row r="154" spans="1:71" ht="32.1" customHeight="1" thickBot="1" x14ac:dyDescent="0.6">
      <c r="A154" s="68"/>
      <c r="B154" s="69"/>
      <c r="C154" s="70"/>
      <c r="D154" s="70"/>
      <c r="E154" s="440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130"/>
    </row>
    <row r="155" spans="1:71" ht="32.1" customHeight="1" x14ac:dyDescent="0.55000000000000004">
      <c r="A155" s="71"/>
      <c r="B155" s="72"/>
      <c r="C155" s="73"/>
      <c r="D155" s="73"/>
      <c r="E155" s="423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130"/>
    </row>
    <row r="156" spans="1:71" ht="24.95" customHeight="1" x14ac:dyDescent="0.55000000000000004">
      <c r="A156" s="268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2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130"/>
    </row>
    <row r="157" spans="1:71" ht="32.1" customHeight="1" x14ac:dyDescent="0.55000000000000004">
      <c r="A157" s="51"/>
      <c r="B157" s="52"/>
      <c r="C157" s="66"/>
      <c r="D157" s="66"/>
      <c r="E157" s="42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130"/>
    </row>
    <row r="158" spans="1:71" ht="24.95" customHeight="1" x14ac:dyDescent="0.55000000000000004">
      <c r="A158" s="268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2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130"/>
    </row>
    <row r="159" spans="1:71" ht="32.1" customHeight="1" x14ac:dyDescent="0.55000000000000004">
      <c r="A159" s="51"/>
      <c r="B159" s="52"/>
      <c r="C159" s="66"/>
      <c r="D159" s="66"/>
      <c r="E159" s="424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130"/>
    </row>
    <row r="160" spans="1:71" ht="24.95" customHeight="1" x14ac:dyDescent="0.55000000000000004">
      <c r="A160" s="109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2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130"/>
    </row>
    <row r="161" spans="1:71" ht="32.1" customHeight="1" x14ac:dyDescent="0.55000000000000004">
      <c r="A161" s="51"/>
      <c r="B161" s="52"/>
      <c r="C161" s="66"/>
      <c r="D161" s="66"/>
      <c r="E161" s="42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130"/>
    </row>
    <row r="162" spans="1:71" ht="24.95" customHeight="1" x14ac:dyDescent="0.55000000000000004">
      <c r="A162" s="268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2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130"/>
    </row>
    <row r="163" spans="1:71" ht="32.1" customHeight="1" x14ac:dyDescent="0.55000000000000004">
      <c r="A163" s="51"/>
      <c r="B163" s="52"/>
      <c r="C163" s="66"/>
      <c r="D163" s="66"/>
      <c r="E163" s="42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130"/>
    </row>
    <row r="164" spans="1:71" ht="24.95" customHeight="1" x14ac:dyDescent="0.55000000000000004">
      <c r="A164" s="109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2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130"/>
    </row>
    <row r="165" spans="1:71" ht="32.1" customHeight="1" x14ac:dyDescent="0.55000000000000004">
      <c r="A165" s="51"/>
      <c r="B165" s="52"/>
      <c r="C165" s="52"/>
      <c r="D165" s="52"/>
      <c r="E165" s="424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130"/>
    </row>
    <row r="166" spans="1:71" ht="42.75" customHeight="1" x14ac:dyDescent="0.25">
      <c r="A166" s="427" t="s">
        <v>259</v>
      </c>
      <c r="B166" s="428"/>
      <c r="C166" s="428"/>
      <c r="D166" s="428"/>
      <c r="E166" s="429"/>
      <c r="F166" s="201">
        <f t="shared" ref="F166:K166" si="1">(COUNTIF(F16:F165,"N")+COUNTIF(F16:F165,"I"))</f>
        <v>0</v>
      </c>
      <c r="G166" s="201">
        <f t="shared" si="1"/>
        <v>0</v>
      </c>
      <c r="H166" s="201">
        <f t="shared" si="1"/>
        <v>0</v>
      </c>
      <c r="I166" s="201">
        <f t="shared" si="1"/>
        <v>0</v>
      </c>
      <c r="J166" s="201">
        <f t="shared" si="1"/>
        <v>0</v>
      </c>
      <c r="K166" s="201">
        <f t="shared" si="1"/>
        <v>0</v>
      </c>
      <c r="L166" s="201">
        <f>(COUNTIF(L16:L165,"N")+COUNTIF(L16:L165,"I"))/2</f>
        <v>0.5</v>
      </c>
      <c r="M166" s="201">
        <f>(COUNTIF(M16:M165,"N")+COUNTIF(M16:M165,"I"))</f>
        <v>1</v>
      </c>
      <c r="N166" s="201">
        <f>(COUNTIF(N16:N165,"N")+COUNTIF(N16:N165,"I"))</f>
        <v>1</v>
      </c>
      <c r="O166" s="201">
        <f>(COUNTIF(O14:O163,"N")+COUNTIF(O14:O163,"I"))</f>
        <v>1</v>
      </c>
      <c r="P166" s="201">
        <f>(COUNTIF(P16:P165,"N")+COUNTIF(P16:P165,"I"))</f>
        <v>1</v>
      </c>
      <c r="Q166" s="201">
        <f>(COUNTIF(Q16:Q165,"N")+COUNTIF(Q16:Q165,"I"))</f>
        <v>1</v>
      </c>
      <c r="R166" s="201">
        <f>(COUNTIF(R16:R165,"N")+COUNTIF(R16:R165,"I"))</f>
        <v>1</v>
      </c>
      <c r="S166" s="201">
        <f t="shared" ref="S166:AX166" si="2">(COUNTIF(S14:S163,"N")+COUNTIF(S14:S163,"I"))</f>
        <v>0</v>
      </c>
      <c r="T166" s="201">
        <f t="shared" si="2"/>
        <v>1</v>
      </c>
      <c r="U166" s="201">
        <f t="shared" si="2"/>
        <v>1</v>
      </c>
      <c r="V166" s="201">
        <f t="shared" si="2"/>
        <v>1</v>
      </c>
      <c r="W166" s="201">
        <f t="shared" si="2"/>
        <v>1</v>
      </c>
      <c r="X166" s="201">
        <f t="shared" si="2"/>
        <v>1</v>
      </c>
      <c r="Y166" s="201">
        <f t="shared" si="2"/>
        <v>1</v>
      </c>
      <c r="Z166" s="201">
        <f t="shared" si="2"/>
        <v>1</v>
      </c>
      <c r="AA166" s="201">
        <f t="shared" si="2"/>
        <v>1</v>
      </c>
      <c r="AB166" s="201">
        <f t="shared" si="2"/>
        <v>1</v>
      </c>
      <c r="AC166" s="201">
        <f t="shared" si="2"/>
        <v>0</v>
      </c>
      <c r="AD166" s="201">
        <f t="shared" si="2"/>
        <v>0</v>
      </c>
      <c r="AE166" s="201">
        <f t="shared" si="2"/>
        <v>0</v>
      </c>
      <c r="AF166" s="201">
        <f t="shared" si="2"/>
        <v>0</v>
      </c>
      <c r="AG166" s="201">
        <f t="shared" si="2"/>
        <v>0</v>
      </c>
      <c r="AH166" s="201">
        <f t="shared" si="2"/>
        <v>0</v>
      </c>
      <c r="AI166" s="201">
        <f t="shared" si="2"/>
        <v>0</v>
      </c>
      <c r="AJ166" s="201">
        <f t="shared" si="2"/>
        <v>0</v>
      </c>
      <c r="AK166" s="201">
        <f t="shared" si="2"/>
        <v>0</v>
      </c>
      <c r="AL166" s="201">
        <f t="shared" si="2"/>
        <v>0</v>
      </c>
      <c r="AM166" s="201">
        <f t="shared" si="2"/>
        <v>0</v>
      </c>
      <c r="AN166" s="201">
        <f t="shared" si="2"/>
        <v>0</v>
      </c>
      <c r="AO166" s="201">
        <f t="shared" si="2"/>
        <v>0</v>
      </c>
      <c r="AP166" s="201">
        <f t="shared" si="2"/>
        <v>0</v>
      </c>
      <c r="AQ166" s="201">
        <f t="shared" si="2"/>
        <v>0</v>
      </c>
      <c r="AR166" s="201">
        <f t="shared" si="2"/>
        <v>0</v>
      </c>
      <c r="AS166" s="201">
        <f t="shared" si="2"/>
        <v>0</v>
      </c>
      <c r="AT166" s="201">
        <f t="shared" si="2"/>
        <v>0</v>
      </c>
      <c r="AU166" s="201">
        <f t="shared" si="2"/>
        <v>0</v>
      </c>
      <c r="AV166" s="201">
        <f t="shared" si="2"/>
        <v>0</v>
      </c>
      <c r="AW166" s="201">
        <f t="shared" si="2"/>
        <v>0</v>
      </c>
      <c r="AX166" s="201">
        <f t="shared" si="2"/>
        <v>0</v>
      </c>
      <c r="AY166" s="201">
        <f t="shared" ref="AY166:BR166" si="3">(COUNTIF(AY14:AY163,"N")+COUNTIF(AY14:AY163,"I"))</f>
        <v>0</v>
      </c>
      <c r="AZ166" s="201">
        <f t="shared" si="3"/>
        <v>0</v>
      </c>
      <c r="BA166" s="201">
        <f t="shared" si="3"/>
        <v>0</v>
      </c>
      <c r="BB166" s="201">
        <f t="shared" si="3"/>
        <v>0</v>
      </c>
      <c r="BC166" s="201">
        <f t="shared" si="3"/>
        <v>0</v>
      </c>
      <c r="BD166" s="201">
        <f t="shared" si="3"/>
        <v>0</v>
      </c>
      <c r="BE166" s="201">
        <f t="shared" si="3"/>
        <v>0</v>
      </c>
      <c r="BF166" s="201">
        <f t="shared" si="3"/>
        <v>0</v>
      </c>
      <c r="BG166" s="201">
        <f t="shared" si="3"/>
        <v>0</v>
      </c>
      <c r="BH166" s="201">
        <f t="shared" si="3"/>
        <v>0</v>
      </c>
      <c r="BI166" s="201">
        <f t="shared" si="3"/>
        <v>0</v>
      </c>
      <c r="BJ166" s="201">
        <f t="shared" si="3"/>
        <v>0</v>
      </c>
      <c r="BK166" s="201">
        <f t="shared" si="3"/>
        <v>0</v>
      </c>
      <c r="BL166" s="201">
        <f t="shared" si="3"/>
        <v>0</v>
      </c>
      <c r="BM166" s="201">
        <f t="shared" si="3"/>
        <v>0</v>
      </c>
      <c r="BN166" s="201">
        <f t="shared" si="3"/>
        <v>0</v>
      </c>
      <c r="BO166" s="201">
        <f t="shared" si="3"/>
        <v>0</v>
      </c>
      <c r="BP166" s="201">
        <f t="shared" si="3"/>
        <v>0</v>
      </c>
      <c r="BQ166" s="201">
        <f t="shared" si="3"/>
        <v>0</v>
      </c>
      <c r="BR166" s="201">
        <f t="shared" si="3"/>
        <v>0</v>
      </c>
      <c r="BS166" s="130"/>
    </row>
    <row r="167" spans="1:71" ht="45" customHeight="1" x14ac:dyDescent="0.25">
      <c r="A167" s="425" t="s">
        <v>42</v>
      </c>
      <c r="B167" s="426"/>
      <c r="C167" s="426"/>
      <c r="D167" s="426"/>
      <c r="E167" s="426"/>
      <c r="F167" s="124">
        <f>F168</f>
        <v>0</v>
      </c>
      <c r="G167" s="422">
        <f>SUM(G168:J168)</f>
        <v>0</v>
      </c>
      <c r="H167" s="422"/>
      <c r="I167" s="422"/>
      <c r="J167" s="422"/>
      <c r="K167" s="422">
        <f>SUM(K168:L168)</f>
        <v>0.5</v>
      </c>
      <c r="L167" s="422"/>
      <c r="M167" s="422">
        <f>SUM(M168:N168)</f>
        <v>1</v>
      </c>
      <c r="N167" s="422"/>
      <c r="O167" s="422">
        <f>SUM(O168:P168)</f>
        <v>1</v>
      </c>
      <c r="P167" s="422"/>
      <c r="Q167" s="422">
        <f>SUM(Q168:R168)</f>
        <v>1</v>
      </c>
      <c r="R167" s="422"/>
      <c r="S167" s="422">
        <f>SUM(S168:U168)</f>
        <v>0.5</v>
      </c>
      <c r="T167" s="422"/>
      <c r="U167" s="422"/>
      <c r="V167" s="422">
        <f>SUM(V168:Y168)</f>
        <v>1</v>
      </c>
      <c r="W167" s="422"/>
      <c r="X167" s="422"/>
      <c r="Y167" s="422"/>
      <c r="Z167" s="422">
        <f>SUM(Z168:AC168)</f>
        <v>0.75</v>
      </c>
      <c r="AA167" s="422"/>
      <c r="AB167" s="422"/>
      <c r="AC167" s="422"/>
      <c r="AD167" s="422">
        <f>SUM(AD168:AE168)</f>
        <v>0</v>
      </c>
      <c r="AE167" s="422"/>
      <c r="AF167" s="422">
        <f>SUM(AF168:AG168)</f>
        <v>0</v>
      </c>
      <c r="AG167" s="422"/>
      <c r="AH167" s="422">
        <f>SUM(AH168:AI168)</f>
        <v>0</v>
      </c>
      <c r="AI167" s="422"/>
      <c r="AJ167" s="422">
        <f>SUM(AJ168:AK168)</f>
        <v>0</v>
      </c>
      <c r="AK167" s="422"/>
      <c r="AL167" s="422">
        <f>SUM(AL168:AN168)</f>
        <v>0</v>
      </c>
      <c r="AM167" s="422"/>
      <c r="AN167" s="422"/>
      <c r="AO167" s="422">
        <f>SUM(AO168:AR168)</f>
        <v>0</v>
      </c>
      <c r="AP167" s="422"/>
      <c r="AQ167" s="422"/>
      <c r="AR167" s="422"/>
      <c r="AS167" s="422">
        <f>SUM(AS168:AV168)</f>
        <v>0</v>
      </c>
      <c r="AT167" s="422"/>
      <c r="AU167" s="422"/>
      <c r="AV167" s="422"/>
      <c r="AW167" s="422">
        <f>SUM(AW168:AY168)</f>
        <v>0</v>
      </c>
      <c r="AX167" s="422"/>
      <c r="AY167" s="422"/>
      <c r="AZ167" s="422">
        <f>SUM(AZ168:BA168)</f>
        <v>0</v>
      </c>
      <c r="BA167" s="422"/>
      <c r="BB167" s="422">
        <f>SUM(BB168:BC168)</f>
        <v>0</v>
      </c>
      <c r="BC167" s="422"/>
      <c r="BD167" s="422">
        <f>SUM(BD168:BF168)</f>
        <v>0</v>
      </c>
      <c r="BE167" s="422"/>
      <c r="BF167" s="422"/>
      <c r="BG167" s="422">
        <f>SUM(BG168:BH168)</f>
        <v>0</v>
      </c>
      <c r="BH167" s="422"/>
      <c r="BI167" s="422">
        <f>SUM(BI168:BJ168)</f>
        <v>0</v>
      </c>
      <c r="BJ167" s="422"/>
      <c r="BK167" s="422">
        <f>SUM(BK168:BL168)</f>
        <v>0</v>
      </c>
      <c r="BL167" s="422"/>
      <c r="BM167" s="422">
        <f>SUM(BM168:BN168)</f>
        <v>0</v>
      </c>
      <c r="BN167" s="422"/>
      <c r="BO167" s="422">
        <f>SUM(BO168:BP168)</f>
        <v>0</v>
      </c>
      <c r="BP167" s="422"/>
      <c r="BQ167" s="422">
        <f>SUM(BQ168:BR168)</f>
        <v>0</v>
      </c>
      <c r="BR167" s="422"/>
      <c r="BS167" s="130"/>
    </row>
    <row r="168" spans="1:71" ht="34.9" customHeight="1" x14ac:dyDescent="0.25">
      <c r="A168" s="425"/>
      <c r="B168" s="426"/>
      <c r="C168" s="426"/>
      <c r="D168" s="426"/>
      <c r="E168" s="426"/>
      <c r="F168" s="125">
        <f>(COUNTIF(F16:F165,"N")+COUNTIF(F16:F165,"I"))/4</f>
        <v>0</v>
      </c>
      <c r="G168" s="125">
        <f>(COUNTIF(G16:G165,"N")+COUNTIF(G16:G165,"I"))/4</f>
        <v>0</v>
      </c>
      <c r="H168" s="125">
        <f>(COUNTIF(H16:H165,"N")+COUNTIF(H16:H165,"I"))/4</f>
        <v>0</v>
      </c>
      <c r="I168" s="125">
        <f>(COUNTIF(I16:I165,"N")+COUNTIF(I16:I165,"I"))/4</f>
        <v>0</v>
      </c>
      <c r="J168" s="125">
        <f>(COUNTIF(J16:J165,"N")+COUNTIF(J16:J165,"I"))/4</f>
        <v>0</v>
      </c>
      <c r="K168" s="125">
        <f t="shared" ref="K168:S168" si="4">(COUNTIF(K16:K165,"N")+COUNTIF(K16:K165,"I"))/2</f>
        <v>0</v>
      </c>
      <c r="L168" s="125">
        <f t="shared" si="4"/>
        <v>0.5</v>
      </c>
      <c r="M168" s="125">
        <f t="shared" si="4"/>
        <v>0.5</v>
      </c>
      <c r="N168" s="125">
        <f t="shared" si="4"/>
        <v>0.5</v>
      </c>
      <c r="O168" s="125">
        <f t="shared" si="4"/>
        <v>0.5</v>
      </c>
      <c r="P168" s="125">
        <f t="shared" si="4"/>
        <v>0.5</v>
      </c>
      <c r="Q168" s="125">
        <f t="shared" si="4"/>
        <v>0.5</v>
      </c>
      <c r="R168" s="125">
        <f t="shared" si="4"/>
        <v>0.5</v>
      </c>
      <c r="S168" s="125">
        <f t="shared" si="4"/>
        <v>0</v>
      </c>
      <c r="T168" s="125">
        <f t="shared" ref="T168:AC168" si="5">(COUNTIF(T16:T165,"N")+COUNTIF(T16:T165,"I"))/4</f>
        <v>0.25</v>
      </c>
      <c r="U168" s="125">
        <f t="shared" si="5"/>
        <v>0.25</v>
      </c>
      <c r="V168" s="125">
        <f t="shared" si="5"/>
        <v>0.25</v>
      </c>
      <c r="W168" s="125">
        <f t="shared" si="5"/>
        <v>0.25</v>
      </c>
      <c r="X168" s="125">
        <f t="shared" si="5"/>
        <v>0.25</v>
      </c>
      <c r="Y168" s="125">
        <f t="shared" si="5"/>
        <v>0.25</v>
      </c>
      <c r="Z168" s="125">
        <f t="shared" si="5"/>
        <v>0.25</v>
      </c>
      <c r="AA168" s="125">
        <f t="shared" si="5"/>
        <v>0.25</v>
      </c>
      <c r="AB168" s="125">
        <f t="shared" si="5"/>
        <v>0.25</v>
      </c>
      <c r="AC168" s="125">
        <f t="shared" si="5"/>
        <v>0</v>
      </c>
      <c r="AD168" s="125">
        <f t="shared" ref="AD168:AL168" si="6">(COUNTIF(AD16:AD165,"N")+COUNTIF(AD16:AD165,"I"))/2</f>
        <v>0</v>
      </c>
      <c r="AE168" s="125">
        <f t="shared" si="6"/>
        <v>0</v>
      </c>
      <c r="AF168" s="125">
        <f t="shared" si="6"/>
        <v>0</v>
      </c>
      <c r="AG168" s="125">
        <f t="shared" si="6"/>
        <v>0</v>
      </c>
      <c r="AH168" s="125">
        <f t="shared" si="6"/>
        <v>0</v>
      </c>
      <c r="AI168" s="125">
        <f t="shared" si="6"/>
        <v>0</v>
      </c>
      <c r="AJ168" s="125">
        <f t="shared" si="6"/>
        <v>0</v>
      </c>
      <c r="AK168" s="125">
        <f t="shared" si="6"/>
        <v>0</v>
      </c>
      <c r="AL168" s="125">
        <f t="shared" si="6"/>
        <v>0</v>
      </c>
      <c r="AM168" s="125">
        <f t="shared" ref="AM168:AX168" si="7">(COUNTIF(AM16:AM165,"N")+COUNTIF(AM16:AM165,"I"))/4</f>
        <v>0</v>
      </c>
      <c r="AN168" s="125">
        <f t="shared" si="7"/>
        <v>0</v>
      </c>
      <c r="AO168" s="125">
        <f t="shared" si="7"/>
        <v>0</v>
      </c>
      <c r="AP168" s="125">
        <f t="shared" si="7"/>
        <v>0</v>
      </c>
      <c r="AQ168" s="125">
        <f t="shared" si="7"/>
        <v>0</v>
      </c>
      <c r="AR168" s="125">
        <f t="shared" si="7"/>
        <v>0</v>
      </c>
      <c r="AS168" s="125">
        <f t="shared" si="7"/>
        <v>0</v>
      </c>
      <c r="AT168" s="125">
        <f t="shared" si="7"/>
        <v>0</v>
      </c>
      <c r="AU168" s="125">
        <f t="shared" si="7"/>
        <v>0</v>
      </c>
      <c r="AV168" s="125">
        <f t="shared" si="7"/>
        <v>0</v>
      </c>
      <c r="AW168" s="125">
        <f t="shared" si="7"/>
        <v>0</v>
      </c>
      <c r="AX168" s="125">
        <f t="shared" si="7"/>
        <v>0</v>
      </c>
      <c r="AY168" s="125">
        <f>(COUNTIF(AY16:AY165,"N")+COUNTIF(AY16:AY165,"I"))/2</f>
        <v>0</v>
      </c>
      <c r="AZ168" s="125">
        <f>(COUNTIF(AZ16:AZ165,"N")+COUNTIF(AZ16:AZ165,"I"))/2</f>
        <v>0</v>
      </c>
      <c r="BA168" s="125">
        <f>(COUNTIF(BA16:BA165,"N")+COUNTIF(BA16:BA165,"I"))/2</f>
        <v>0</v>
      </c>
      <c r="BB168" s="125">
        <f>(COUNTIF(BB16:BB165,"N")+COUNTIF(BB16:BB165,"I"))/2</f>
        <v>0</v>
      </c>
      <c r="BC168" s="125">
        <f>(COUNTIF(BC16:BC165,"N")+COUNTIF(BC16:BC165,"I"))/2</f>
        <v>0</v>
      </c>
      <c r="BD168" s="125">
        <f>(COUNTIF(BD16:BD165,"N")+COUNTIF(BD16:BD165,"I"))/4</f>
        <v>0</v>
      </c>
      <c r="BE168" s="125">
        <f>(COUNTIF(BE16:BE165,"N")+COUNTIF(BE16:BE165,"I"))/4</f>
        <v>0</v>
      </c>
      <c r="BF168" s="125">
        <f t="shared" ref="BF168:BR168" si="8">(COUNTIF(BF16:BF165,"N")+COUNTIF(BF16:BF165,"I"))/2</f>
        <v>0</v>
      </c>
      <c r="BG168" s="125">
        <f t="shared" si="8"/>
        <v>0</v>
      </c>
      <c r="BH168" s="125">
        <f t="shared" si="8"/>
        <v>0</v>
      </c>
      <c r="BI168" s="125">
        <f t="shared" si="8"/>
        <v>0</v>
      </c>
      <c r="BJ168" s="125">
        <f t="shared" si="8"/>
        <v>0</v>
      </c>
      <c r="BK168" s="125">
        <f t="shared" si="8"/>
        <v>0</v>
      </c>
      <c r="BL168" s="125">
        <f t="shared" si="8"/>
        <v>0</v>
      </c>
      <c r="BM168" s="125">
        <f t="shared" si="8"/>
        <v>0</v>
      </c>
      <c r="BN168" s="125">
        <f t="shared" si="8"/>
        <v>0</v>
      </c>
      <c r="BO168" s="125">
        <f t="shared" si="8"/>
        <v>0</v>
      </c>
      <c r="BP168" s="125">
        <f t="shared" si="8"/>
        <v>0</v>
      </c>
      <c r="BQ168" s="125">
        <f t="shared" si="8"/>
        <v>0</v>
      </c>
      <c r="BR168" s="125">
        <f t="shared" si="8"/>
        <v>0</v>
      </c>
      <c r="BS168" s="130"/>
    </row>
    <row r="169" spans="1:71" ht="45" customHeight="1" x14ac:dyDescent="0.25">
      <c r="A169" s="427" t="s">
        <v>250</v>
      </c>
      <c r="B169" s="428"/>
      <c r="C169" s="428"/>
      <c r="D169" s="428"/>
      <c r="E169" s="429"/>
      <c r="F169" s="180">
        <f t="shared" ref="F169:AK169" si="9">IFERROR(F2/F167,0)</f>
        <v>0</v>
      </c>
      <c r="G169" s="484">
        <f t="shared" si="9"/>
        <v>0</v>
      </c>
      <c r="H169" s="484">
        <f t="shared" si="9"/>
        <v>0</v>
      </c>
      <c r="I169" s="484">
        <f t="shared" si="9"/>
        <v>0</v>
      </c>
      <c r="J169" s="484">
        <f t="shared" si="9"/>
        <v>0</v>
      </c>
      <c r="K169" s="484">
        <f t="shared" si="9"/>
        <v>0</v>
      </c>
      <c r="L169" s="484">
        <f t="shared" si="9"/>
        <v>0</v>
      </c>
      <c r="M169" s="484">
        <f t="shared" si="9"/>
        <v>0</v>
      </c>
      <c r="N169" s="484">
        <f t="shared" si="9"/>
        <v>0</v>
      </c>
      <c r="O169" s="484">
        <f t="shared" si="9"/>
        <v>0</v>
      </c>
      <c r="P169" s="484">
        <f t="shared" si="9"/>
        <v>0</v>
      </c>
      <c r="Q169" s="484">
        <f t="shared" si="9"/>
        <v>0</v>
      </c>
      <c r="R169" s="484">
        <f t="shared" si="9"/>
        <v>0</v>
      </c>
      <c r="S169" s="484">
        <f t="shared" si="9"/>
        <v>0</v>
      </c>
      <c r="T169" s="484">
        <f t="shared" si="9"/>
        <v>0</v>
      </c>
      <c r="U169" s="484">
        <f t="shared" si="9"/>
        <v>0</v>
      </c>
      <c r="V169" s="484">
        <f t="shared" si="9"/>
        <v>0</v>
      </c>
      <c r="W169" s="484">
        <f t="shared" si="9"/>
        <v>0</v>
      </c>
      <c r="X169" s="484">
        <f t="shared" si="9"/>
        <v>0</v>
      </c>
      <c r="Y169" s="484">
        <f t="shared" si="9"/>
        <v>0</v>
      </c>
      <c r="Z169" s="484">
        <f t="shared" si="9"/>
        <v>0</v>
      </c>
      <c r="AA169" s="484">
        <f t="shared" si="9"/>
        <v>0</v>
      </c>
      <c r="AB169" s="484">
        <f t="shared" si="9"/>
        <v>0</v>
      </c>
      <c r="AC169" s="484">
        <f t="shared" si="9"/>
        <v>0</v>
      </c>
      <c r="AD169" s="484">
        <f t="shared" si="9"/>
        <v>0</v>
      </c>
      <c r="AE169" s="484">
        <f t="shared" si="9"/>
        <v>0</v>
      </c>
      <c r="AF169" s="484">
        <f t="shared" si="9"/>
        <v>0</v>
      </c>
      <c r="AG169" s="484">
        <f t="shared" si="9"/>
        <v>0</v>
      </c>
      <c r="AH169" s="484">
        <f t="shared" si="9"/>
        <v>0</v>
      </c>
      <c r="AI169" s="484">
        <f t="shared" si="9"/>
        <v>0</v>
      </c>
      <c r="AJ169" s="484">
        <f t="shared" si="9"/>
        <v>0</v>
      </c>
      <c r="AK169" s="484">
        <f t="shared" si="9"/>
        <v>0</v>
      </c>
      <c r="AL169" s="484">
        <f t="shared" ref="AL169:BR169" si="10">IFERROR(AL2/AL167,0)</f>
        <v>0</v>
      </c>
      <c r="AM169" s="484">
        <f t="shared" si="10"/>
        <v>0</v>
      </c>
      <c r="AN169" s="484">
        <f t="shared" si="10"/>
        <v>0</v>
      </c>
      <c r="AO169" s="484">
        <f t="shared" si="10"/>
        <v>0</v>
      </c>
      <c r="AP169" s="484">
        <f t="shared" si="10"/>
        <v>0</v>
      </c>
      <c r="AQ169" s="484">
        <f t="shared" si="10"/>
        <v>0</v>
      </c>
      <c r="AR169" s="484">
        <f t="shared" si="10"/>
        <v>0</v>
      </c>
      <c r="AS169" s="484">
        <f t="shared" si="10"/>
        <v>0</v>
      </c>
      <c r="AT169" s="484">
        <f t="shared" si="10"/>
        <v>0</v>
      </c>
      <c r="AU169" s="484">
        <f t="shared" si="10"/>
        <v>0</v>
      </c>
      <c r="AV169" s="484">
        <f t="shared" si="10"/>
        <v>0</v>
      </c>
      <c r="AW169" s="484">
        <f t="shared" si="10"/>
        <v>0</v>
      </c>
      <c r="AX169" s="484">
        <f t="shared" si="10"/>
        <v>0</v>
      </c>
      <c r="AY169" s="484">
        <f t="shared" si="10"/>
        <v>0</v>
      </c>
      <c r="AZ169" s="484">
        <f t="shared" si="10"/>
        <v>0</v>
      </c>
      <c r="BA169" s="484">
        <f t="shared" si="10"/>
        <v>0</v>
      </c>
      <c r="BB169" s="484">
        <f t="shared" si="10"/>
        <v>0</v>
      </c>
      <c r="BC169" s="484">
        <f t="shared" si="10"/>
        <v>0</v>
      </c>
      <c r="BD169" s="484">
        <f t="shared" si="10"/>
        <v>0</v>
      </c>
      <c r="BE169" s="484">
        <f t="shared" si="10"/>
        <v>0</v>
      </c>
      <c r="BF169" s="484">
        <f t="shared" si="10"/>
        <v>0</v>
      </c>
      <c r="BG169" s="180">
        <f t="shared" si="10"/>
        <v>0</v>
      </c>
      <c r="BH169" s="180">
        <f t="shared" si="10"/>
        <v>0</v>
      </c>
      <c r="BI169" s="484">
        <f t="shared" si="10"/>
        <v>0</v>
      </c>
      <c r="BJ169" s="484">
        <f t="shared" si="10"/>
        <v>0</v>
      </c>
      <c r="BK169" s="484">
        <f t="shared" si="10"/>
        <v>0</v>
      </c>
      <c r="BL169" s="484">
        <f t="shared" si="10"/>
        <v>0</v>
      </c>
      <c r="BM169" s="484">
        <f t="shared" si="10"/>
        <v>0</v>
      </c>
      <c r="BN169" s="484">
        <f t="shared" si="10"/>
        <v>0</v>
      </c>
      <c r="BO169" s="484">
        <f t="shared" si="10"/>
        <v>0</v>
      </c>
      <c r="BP169" s="484">
        <f t="shared" si="10"/>
        <v>0</v>
      </c>
      <c r="BQ169" s="484">
        <f t="shared" si="10"/>
        <v>0</v>
      </c>
      <c r="BR169" s="484">
        <f t="shared" si="10"/>
        <v>0</v>
      </c>
      <c r="BS169" s="130"/>
    </row>
    <row r="170" spans="1:71" ht="45" customHeight="1" x14ac:dyDescent="0.25">
      <c r="A170" s="126"/>
      <c r="B170" s="430"/>
      <c r="C170" s="430"/>
      <c r="D170" s="406"/>
      <c r="E170" s="408"/>
      <c r="F170" s="406"/>
      <c r="G170" s="407"/>
      <c r="H170" s="407"/>
      <c r="I170" s="408"/>
      <c r="J170" s="406"/>
      <c r="K170" s="407"/>
      <c r="L170" s="407"/>
      <c r="M170" s="408"/>
      <c r="N170" s="406"/>
      <c r="O170" s="407"/>
      <c r="P170" s="407"/>
      <c r="Q170" s="408"/>
      <c r="R170" s="406"/>
      <c r="S170" s="407"/>
      <c r="T170" s="407"/>
      <c r="U170" s="408"/>
      <c r="V170" s="406"/>
      <c r="W170" s="407"/>
      <c r="X170" s="407"/>
      <c r="Y170" s="408"/>
      <c r="Z170" s="406"/>
      <c r="AA170" s="407"/>
      <c r="AB170" s="408"/>
      <c r="AC170" s="430"/>
      <c r="AD170" s="430"/>
      <c r="AE170" s="430"/>
      <c r="AF170" s="430"/>
      <c r="AG170" s="435"/>
      <c r="AH170" s="436"/>
      <c r="AI170" s="436"/>
      <c r="AJ170" s="436"/>
      <c r="AK170" s="436"/>
      <c r="AL170" s="436"/>
      <c r="AM170" s="437"/>
      <c r="AN170" s="480" t="s">
        <v>247</v>
      </c>
      <c r="AO170" s="488"/>
      <c r="AP170" s="488"/>
      <c r="AQ170" s="488"/>
      <c r="AR170" s="488"/>
      <c r="AS170" s="488"/>
      <c r="AT170" s="488"/>
      <c r="AU170" s="488"/>
      <c r="AV170" s="488"/>
      <c r="AW170" s="488"/>
      <c r="AX170" s="488"/>
      <c r="AY170" s="488"/>
      <c r="AZ170" s="488"/>
      <c r="BA170" s="488"/>
      <c r="BB170" s="488"/>
      <c r="BC170" s="488"/>
      <c r="BD170" s="488"/>
      <c r="BE170" s="488"/>
      <c r="BF170" s="488"/>
      <c r="BG170" s="488"/>
      <c r="BH170" s="488"/>
      <c r="BI170" s="488"/>
      <c r="BJ170" s="488"/>
      <c r="BK170" s="488"/>
      <c r="BL170" s="488"/>
      <c r="BM170" s="488"/>
      <c r="BN170" s="488"/>
      <c r="BO170" s="488"/>
      <c r="BP170" s="488"/>
      <c r="BQ170" s="488"/>
      <c r="BR170" s="488"/>
      <c r="BS170" s="130"/>
    </row>
    <row r="171" spans="1:71" ht="45" customHeight="1" thickBot="1" x14ac:dyDescent="0.3">
      <c r="A171" s="127">
        <f>J171/D171</f>
        <v>0</v>
      </c>
      <c r="B171" s="431">
        <f>F171/(D171+12)</f>
        <v>0</v>
      </c>
      <c r="C171" s="431"/>
      <c r="D171" s="403">
        <f>SUM(F168:BR168)+12</f>
        <v>17.75</v>
      </c>
      <c r="E171" s="404"/>
      <c r="F171" s="404">
        <f>SUM(F3:BR3)</f>
        <v>0</v>
      </c>
      <c r="G171" s="404"/>
      <c r="H171" s="404"/>
      <c r="I171" s="405"/>
      <c r="J171" s="403">
        <f>SUM(F5:BR5)</f>
        <v>0</v>
      </c>
      <c r="K171" s="404"/>
      <c r="L171" s="404"/>
      <c r="M171" s="405"/>
      <c r="N171" s="403">
        <f>SUM(F7:BR7)</f>
        <v>0</v>
      </c>
      <c r="O171" s="404"/>
      <c r="P171" s="404"/>
      <c r="Q171" s="405"/>
      <c r="R171" s="403">
        <f>SUM(F8:BR8)</f>
        <v>0</v>
      </c>
      <c r="S171" s="404"/>
      <c r="T171" s="404"/>
      <c r="U171" s="405"/>
      <c r="V171" s="403">
        <f>SUM(F9:BR9)</f>
        <v>0</v>
      </c>
      <c r="W171" s="404"/>
      <c r="X171" s="404"/>
      <c r="Y171" s="405"/>
      <c r="Z171" s="403" t="e">
        <f>SUM(F11:BR11)</f>
        <v>#REF!</v>
      </c>
      <c r="AA171" s="404"/>
      <c r="AB171" s="405"/>
      <c r="AC171" s="431" t="e">
        <f>SUM(F12:BR12)</f>
        <v>#REF!</v>
      </c>
      <c r="AD171" s="431"/>
      <c r="AE171" s="431"/>
      <c r="AF171" s="431"/>
      <c r="AG171" s="403" t="e">
        <f>SUM(F13:BR13)</f>
        <v>#REF!</v>
      </c>
      <c r="AH171" s="438"/>
      <c r="AI171" s="438"/>
      <c r="AJ171" s="438"/>
      <c r="AK171" s="438"/>
      <c r="AL171" s="438"/>
      <c r="AM171" s="405"/>
      <c r="AN171" s="413"/>
      <c r="AO171" s="414"/>
      <c r="AP171" s="414"/>
      <c r="AQ171" s="414"/>
      <c r="AR171" s="414"/>
      <c r="AS171" s="414"/>
      <c r="AT171" s="414"/>
      <c r="AU171" s="414"/>
      <c r="AV171" s="414"/>
      <c r="AW171" s="414"/>
      <c r="AX171" s="414"/>
      <c r="AY171" s="414"/>
      <c r="AZ171" s="414"/>
      <c r="BA171" s="414"/>
      <c r="BB171" s="414"/>
      <c r="BC171" s="414"/>
      <c r="BD171" s="414"/>
      <c r="BE171" s="414"/>
      <c r="BF171" s="414"/>
      <c r="BG171" s="414"/>
      <c r="BH171" s="414"/>
      <c r="BI171" s="414"/>
      <c r="BJ171" s="414"/>
      <c r="BK171" s="414"/>
      <c r="BL171" s="414"/>
      <c r="BM171" s="414"/>
      <c r="BN171" s="414"/>
      <c r="BO171" s="414"/>
      <c r="BP171" s="414"/>
      <c r="BQ171" s="414"/>
      <c r="BR171" s="414"/>
      <c r="BS171" s="130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16:E16 E17:E165 A114:A129 A131:A137 A102:A104 A106:A111 A139:A149 A151:A165 A54:A100 A17:A52" name="Intervallo1"/>
    <protectedRange sqref="AO170:BR171 AM170:AN170 AL171:AN171" name="Intervallo1_3"/>
    <protectedRange sqref="A101 A112 A130 A138 C17:D17 C151:C165 D137:D165 B18:B165 C18:C149 D18:D135 A53" name="Intervallo1_2"/>
    <protectedRange sqref="B17" name="Intervallo1_4"/>
    <protectedRange sqref="AE28:AE35 AL161:BR165 K16:M18 K19:L25 M19:M24 BR22:BR160 AM91:BJ91 BM22:BQ91 BJ22:BL54 BI84:BJ84 M142:M160 BI85:BI90 BJ87:BL90 BJ85:BJ86 BK84:BL85 AD153:AK165 AL153:BQ160 J16:J84 K26:K83 AX92:BK116 AL83:BH90 BI83 AE37:AE54 AL22:BI25 AK108:AK135 T16:BR20 AJ92:AJ137 J85:K160 L26:L160 M26:M78 N16:S54 F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F161:P165" name="Intervallo1_5"/>
    <protectedRange sqref="AL91" name="Intervallo1_2_1"/>
  </protectedRanges>
  <mergeCells count="202">
    <mergeCell ref="BQ2:BR2"/>
    <mergeCell ref="BQ4:BR4"/>
    <mergeCell ref="BQ6:BR6"/>
    <mergeCell ref="BQ10:BR10"/>
    <mergeCell ref="BQ167:BR167"/>
    <mergeCell ref="AC171:AF171"/>
    <mergeCell ref="AC170:AF170"/>
    <mergeCell ref="BD167:BF167"/>
    <mergeCell ref="BG167:BH167"/>
    <mergeCell ref="BI167:BJ167"/>
    <mergeCell ref="BK167:BL167"/>
    <mergeCell ref="BM167:BN167"/>
    <mergeCell ref="BO167:BP167"/>
    <mergeCell ref="AL167:AN167"/>
    <mergeCell ref="AO167:AR167"/>
    <mergeCell ref="AS167:AV167"/>
    <mergeCell ref="AW167:AY167"/>
    <mergeCell ref="AZ167:BA167"/>
    <mergeCell ref="BB167:BC167"/>
    <mergeCell ref="BO10:BP10"/>
    <mergeCell ref="BG4:BH4"/>
    <mergeCell ref="BI4:BJ4"/>
    <mergeCell ref="AJ167:AK167"/>
    <mergeCell ref="BO4:BP4"/>
    <mergeCell ref="B171:C171"/>
    <mergeCell ref="A169:E169"/>
    <mergeCell ref="B170:C170"/>
    <mergeCell ref="G169:J169"/>
    <mergeCell ref="K169:L169"/>
    <mergeCell ref="M169:N169"/>
    <mergeCell ref="O169:P169"/>
    <mergeCell ref="Q169:R169"/>
    <mergeCell ref="S169:U169"/>
    <mergeCell ref="D170:E170"/>
    <mergeCell ref="D171:E171"/>
    <mergeCell ref="J170:M170"/>
    <mergeCell ref="F170:I170"/>
    <mergeCell ref="F171:I171"/>
    <mergeCell ref="J171:M171"/>
    <mergeCell ref="N170:Q170"/>
    <mergeCell ref="N171:Q171"/>
    <mergeCell ref="V167:Y167"/>
    <mergeCell ref="Z167:AC167"/>
    <mergeCell ref="AD167:AE167"/>
    <mergeCell ref="AF167:AG167"/>
    <mergeCell ref="AH167:AI167"/>
    <mergeCell ref="A15:E15"/>
    <mergeCell ref="E16:E22"/>
    <mergeCell ref="E23:E31"/>
    <mergeCell ref="E32:E46"/>
    <mergeCell ref="E47:E53"/>
    <mergeCell ref="E54:E66"/>
    <mergeCell ref="E67:E79"/>
    <mergeCell ref="E80:E86"/>
    <mergeCell ref="E87:E109"/>
    <mergeCell ref="G167:J167"/>
    <mergeCell ref="K167:L167"/>
    <mergeCell ref="M167:N167"/>
    <mergeCell ref="O167:P167"/>
    <mergeCell ref="Q167:R167"/>
    <mergeCell ref="S167:U167"/>
    <mergeCell ref="E110:E154"/>
    <mergeCell ref="E155:E165"/>
    <mergeCell ref="A167:E168"/>
    <mergeCell ref="A166:E166"/>
    <mergeCell ref="A12:E12"/>
    <mergeCell ref="A13:E13"/>
    <mergeCell ref="A14:E14"/>
    <mergeCell ref="BB10:BC10"/>
    <mergeCell ref="BD10:BF10"/>
    <mergeCell ref="BG10:BH10"/>
    <mergeCell ref="BI10:BJ10"/>
    <mergeCell ref="BK10:BL10"/>
    <mergeCell ref="BM10:BN10"/>
    <mergeCell ref="AJ10:AK10"/>
    <mergeCell ref="AL10:AN10"/>
    <mergeCell ref="AD10:AE10"/>
    <mergeCell ref="AF10:AG10"/>
    <mergeCell ref="AH10:AI10"/>
    <mergeCell ref="V12:Y12"/>
    <mergeCell ref="Z12:AC12"/>
    <mergeCell ref="V13:Y13"/>
    <mergeCell ref="Z13:AC13"/>
    <mergeCell ref="AO12:AR12"/>
    <mergeCell ref="AO13:AR13"/>
    <mergeCell ref="AS12:AV12"/>
    <mergeCell ref="AS13:AV13"/>
    <mergeCell ref="K10:L10"/>
    <mergeCell ref="M10:N10"/>
    <mergeCell ref="O10:P10"/>
    <mergeCell ref="Q10:R10"/>
    <mergeCell ref="AZ6:BA6"/>
    <mergeCell ref="AH6:AI6"/>
    <mergeCell ref="AJ6:AK6"/>
    <mergeCell ref="AL6:AN6"/>
    <mergeCell ref="AO6:AR6"/>
    <mergeCell ref="AS6:AV6"/>
    <mergeCell ref="AW6:AY6"/>
    <mergeCell ref="Q6:R6"/>
    <mergeCell ref="S6:U6"/>
    <mergeCell ref="AO10:AR10"/>
    <mergeCell ref="AS10:AV10"/>
    <mergeCell ref="AW10:AY10"/>
    <mergeCell ref="AZ10:BA10"/>
    <mergeCell ref="S10:U10"/>
    <mergeCell ref="V10:Y10"/>
    <mergeCell ref="Z10:AC10"/>
    <mergeCell ref="V6:Y6"/>
    <mergeCell ref="Z6:AC6"/>
    <mergeCell ref="AD6:AE6"/>
    <mergeCell ref="AF6:AG6"/>
    <mergeCell ref="BD4:BF4"/>
    <mergeCell ref="BM6:BN6"/>
    <mergeCell ref="BO6:BP6"/>
    <mergeCell ref="BB6:BC6"/>
    <mergeCell ref="BD6:BF6"/>
    <mergeCell ref="BG6:BH6"/>
    <mergeCell ref="BI6:BJ6"/>
    <mergeCell ref="BK6:BL6"/>
    <mergeCell ref="BK4:BL4"/>
    <mergeCell ref="BM4:BN4"/>
    <mergeCell ref="AW4:AY4"/>
    <mergeCell ref="AZ4:BA4"/>
    <mergeCell ref="Z4:AC4"/>
    <mergeCell ref="AD4:AE4"/>
    <mergeCell ref="AF4:AG4"/>
    <mergeCell ref="AH4:AI4"/>
    <mergeCell ref="AJ4:AK4"/>
    <mergeCell ref="AL4:AN4"/>
    <mergeCell ref="BB4:BC4"/>
    <mergeCell ref="BM2:BN2"/>
    <mergeCell ref="BO2:BP2"/>
    <mergeCell ref="A4:E5"/>
    <mergeCell ref="G4:J4"/>
    <mergeCell ref="K4:L4"/>
    <mergeCell ref="M4:N4"/>
    <mergeCell ref="O4:P4"/>
    <mergeCell ref="Q4:R4"/>
    <mergeCell ref="S4:U4"/>
    <mergeCell ref="V4:Y4"/>
    <mergeCell ref="AZ2:BA2"/>
    <mergeCell ref="BB2:BC2"/>
    <mergeCell ref="BD2:BF2"/>
    <mergeCell ref="BG2:BH2"/>
    <mergeCell ref="BI2:BJ2"/>
    <mergeCell ref="BK2:BL2"/>
    <mergeCell ref="AH2:AI2"/>
    <mergeCell ref="AJ2:AK2"/>
    <mergeCell ref="AL2:AN2"/>
    <mergeCell ref="AO2:AR2"/>
    <mergeCell ref="AS2:AV2"/>
    <mergeCell ref="AW2:AY2"/>
    <mergeCell ref="Q2:R2"/>
    <mergeCell ref="S2:U2"/>
    <mergeCell ref="AL169:AN169"/>
    <mergeCell ref="AO169:AR169"/>
    <mergeCell ref="AS169:AV169"/>
    <mergeCell ref="V2:Y2"/>
    <mergeCell ref="Z2:AC2"/>
    <mergeCell ref="AD2:AE2"/>
    <mergeCell ref="AF2:AG2"/>
    <mergeCell ref="A1:E1"/>
    <mergeCell ref="A2:E3"/>
    <mergeCell ref="G2:J2"/>
    <mergeCell ref="K2:L2"/>
    <mergeCell ref="M2:N2"/>
    <mergeCell ref="O2:P2"/>
    <mergeCell ref="A6:E7"/>
    <mergeCell ref="G6:J6"/>
    <mergeCell ref="K6:L6"/>
    <mergeCell ref="M6:N6"/>
    <mergeCell ref="O6:P6"/>
    <mergeCell ref="AO4:AR4"/>
    <mergeCell ref="AS4:AV4"/>
    <mergeCell ref="A8:E8"/>
    <mergeCell ref="A9:E9"/>
    <mergeCell ref="A10:E11"/>
    <mergeCell ref="G10:J10"/>
    <mergeCell ref="AG170:AM170"/>
    <mergeCell ref="AG171:AM171"/>
    <mergeCell ref="AN170:BR171"/>
    <mergeCell ref="BQ169:BR169"/>
    <mergeCell ref="Z171:AB171"/>
    <mergeCell ref="Z170:AB170"/>
    <mergeCell ref="V170:Y170"/>
    <mergeCell ref="V171:Y171"/>
    <mergeCell ref="R170:U170"/>
    <mergeCell ref="R171:U171"/>
    <mergeCell ref="BK169:BL169"/>
    <mergeCell ref="BM169:BN169"/>
    <mergeCell ref="BO169:BP169"/>
    <mergeCell ref="AW169:AY169"/>
    <mergeCell ref="AZ169:BA169"/>
    <mergeCell ref="BB169:BC169"/>
    <mergeCell ref="BD169:BF169"/>
    <mergeCell ref="BI169:BJ169"/>
    <mergeCell ref="V169:Y169"/>
    <mergeCell ref="Z169:AC169"/>
    <mergeCell ref="AD169:AE169"/>
    <mergeCell ref="AF169:AG169"/>
    <mergeCell ref="AH169:AI169"/>
    <mergeCell ref="AJ169:AK169"/>
  </mergeCells>
  <conditionalFormatting sqref="A106:A111 A102:A104 A113:A129 A131:A137 A151:A165 A139:A149 A54:A100 A16:A52">
    <cfRule type="duplicateValues" dxfId="175" priority="35"/>
  </conditionalFormatting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174" priority="19" operator="equal">
      <formula>"F"</formula>
    </cfRule>
    <cfRule type="cellIs" dxfId="173" priority="20" operator="equal">
      <formula>"N"</formula>
    </cfRule>
    <cfRule type="cellIs" dxfId="172" priority="21" operator="equal">
      <formula>"I"</formula>
    </cfRule>
  </conditionalFormatting>
  <conditionalFormatting sqref="AE95">
    <cfRule type="cellIs" dxfId="171" priority="16" operator="equal">
      <formula>"F"</formula>
    </cfRule>
    <cfRule type="cellIs" dxfId="170" priority="17" operator="equal">
      <formula>"N"</formula>
    </cfRule>
    <cfRule type="cellIs" dxfId="169" priority="18" operator="equal">
      <formula>"I"</formula>
    </cfRule>
  </conditionalFormatting>
  <conditionalFormatting sqref="AL91">
    <cfRule type="cellIs" dxfId="168" priority="13" operator="equal">
      <formula>"F"</formula>
    </cfRule>
    <cfRule type="cellIs" dxfId="167" priority="14" operator="equal">
      <formula>"N"</formula>
    </cfRule>
    <cfRule type="cellIs" dxfId="166" priority="15" operator="equal">
      <formula>"I"</formula>
    </cfRule>
  </conditionalFormatting>
  <conditionalFormatting sqref="AE134">
    <cfRule type="cellIs" dxfId="165" priority="10" operator="equal">
      <formula>"F"</formula>
    </cfRule>
    <cfRule type="cellIs" dxfId="164" priority="11" operator="equal">
      <formula>"N"</formula>
    </cfRule>
    <cfRule type="cellIs" dxfId="163" priority="12" operator="equal">
      <formula>"I"</formula>
    </cfRule>
  </conditionalFormatting>
  <conditionalFormatting sqref="AF34">
    <cfRule type="cellIs" dxfId="162" priority="7" operator="equal">
      <formula>"F"</formula>
    </cfRule>
    <cfRule type="cellIs" dxfId="161" priority="8" operator="equal">
      <formula>"N"</formula>
    </cfRule>
    <cfRule type="cellIs" dxfId="160" priority="9" operator="equal">
      <formula>"I"</formula>
    </cfRule>
  </conditionalFormatting>
  <conditionalFormatting sqref="AE93">
    <cfRule type="cellIs" dxfId="159" priority="4" operator="equal">
      <formula>"F"</formula>
    </cfRule>
    <cfRule type="cellIs" dxfId="158" priority="5" operator="equal">
      <formula>"N"</formula>
    </cfRule>
    <cfRule type="cellIs" dxfId="157" priority="6" operator="equal">
      <formula>"I"</formula>
    </cfRule>
  </conditionalFormatting>
  <conditionalFormatting sqref="AF99">
    <cfRule type="cellIs" dxfId="156" priority="1" operator="equal">
      <formula>"F"</formula>
    </cfRule>
    <cfRule type="cellIs" dxfId="155" priority="2" operator="equal">
      <formula>"N"</formula>
    </cfRule>
    <cfRule type="cellIs" dxfId="154" priority="3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5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51E375-6139-4A99-931E-585E4F2231B5}">
          <x14:formula1>
            <xm:f>TOT!$B$4:$B$11</xm:f>
          </x14:formula1>
          <xm:sqref>A16:A165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neareSAB">
    <tabColor rgb="FF00B050"/>
    <pageSetUpPr fitToPage="1"/>
  </sheetPr>
  <dimension ref="A1:BS284"/>
  <sheetViews>
    <sheetView zoomScale="38" zoomScaleNormal="38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62">
        <f>LUN!A1+5</f>
        <v>45892</v>
      </c>
      <c r="B1" s="463"/>
      <c r="C1" s="463"/>
      <c r="D1" s="463"/>
      <c r="E1" s="464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65" t="s">
        <v>35</v>
      </c>
      <c r="B2" s="466"/>
      <c r="C2" s="466"/>
      <c r="D2" s="466"/>
      <c r="E2" s="467"/>
      <c r="F2" s="41">
        <f>F3</f>
        <v>0</v>
      </c>
      <c r="G2" s="442">
        <f>SUM(G3:J3)</f>
        <v>0</v>
      </c>
      <c r="H2" s="442"/>
      <c r="I2" s="442"/>
      <c r="J2" s="442"/>
      <c r="K2" s="442">
        <f>SUM(K3:L3)</f>
        <v>0</v>
      </c>
      <c r="L2" s="442"/>
      <c r="M2" s="442">
        <f>SUM(M3:N3)</f>
        <v>0</v>
      </c>
      <c r="N2" s="442"/>
      <c r="O2" s="442">
        <f>SUM(O3:P3)</f>
        <v>0</v>
      </c>
      <c r="P2" s="442"/>
      <c r="Q2" s="442">
        <f>SUM(Q3:R3)</f>
        <v>0</v>
      </c>
      <c r="R2" s="442"/>
      <c r="S2" s="442">
        <f>SUM(S3:U3)</f>
        <v>0</v>
      </c>
      <c r="T2" s="442"/>
      <c r="U2" s="442"/>
      <c r="V2" s="442">
        <f>SUM(V3:Y3)</f>
        <v>0</v>
      </c>
      <c r="W2" s="442"/>
      <c r="X2" s="442"/>
      <c r="Y2" s="442"/>
      <c r="Z2" s="442">
        <f>SUM(Z3:AC3)</f>
        <v>0</v>
      </c>
      <c r="AA2" s="442"/>
      <c r="AB2" s="442"/>
      <c r="AC2" s="442"/>
      <c r="AD2" s="442">
        <f>SUM(AD3:AE3)</f>
        <v>0</v>
      </c>
      <c r="AE2" s="442"/>
      <c r="AF2" s="442">
        <f>SUM(AF3:AG3)</f>
        <v>0</v>
      </c>
      <c r="AG2" s="442"/>
      <c r="AH2" s="442">
        <f>SUM(AH3:AI3)</f>
        <v>0</v>
      </c>
      <c r="AI2" s="442"/>
      <c r="AJ2" s="442">
        <f>SUM(AJ3:AK3)</f>
        <v>0</v>
      </c>
      <c r="AK2" s="442"/>
      <c r="AL2" s="442">
        <f>SUM(AL3:AN3)</f>
        <v>0</v>
      </c>
      <c r="AM2" s="442"/>
      <c r="AN2" s="442"/>
      <c r="AO2" s="442">
        <f>SUM(AO3:AR3)</f>
        <v>0</v>
      </c>
      <c r="AP2" s="442"/>
      <c r="AQ2" s="442"/>
      <c r="AR2" s="442"/>
      <c r="AS2" s="442">
        <f>SUM(AS3:AV3)</f>
        <v>0</v>
      </c>
      <c r="AT2" s="442"/>
      <c r="AU2" s="442"/>
      <c r="AV2" s="442"/>
      <c r="AW2" s="442">
        <f>SUM(AW3:AY3)</f>
        <v>0</v>
      </c>
      <c r="AX2" s="442"/>
      <c r="AY2" s="442"/>
      <c r="AZ2" s="442">
        <f>SUM(AZ3:BA3)</f>
        <v>0</v>
      </c>
      <c r="BA2" s="442"/>
      <c r="BB2" s="442">
        <f>SUM(BB3:BC3)</f>
        <v>0</v>
      </c>
      <c r="BC2" s="442"/>
      <c r="BD2" s="442">
        <f>SUM(BD3:BF3)</f>
        <v>0</v>
      </c>
      <c r="BE2" s="442"/>
      <c r="BF2" s="442"/>
      <c r="BG2" s="442">
        <f>SUM(BG3:BH3)</f>
        <v>0</v>
      </c>
      <c r="BH2" s="442"/>
      <c r="BI2" s="442">
        <f>SUM(BI3:BJ3)</f>
        <v>0</v>
      </c>
      <c r="BJ2" s="442"/>
      <c r="BK2" s="442">
        <f>SUM(BK3:BL3)</f>
        <v>0</v>
      </c>
      <c r="BL2" s="442"/>
      <c r="BM2" s="442">
        <f>SUM(BM3:BN3)</f>
        <v>0</v>
      </c>
      <c r="BN2" s="442"/>
      <c r="BO2" s="442">
        <f>SUM(BO3:BP3)</f>
        <v>0</v>
      </c>
      <c r="BP2" s="442"/>
      <c r="BQ2" s="442">
        <f>BQ3</f>
        <v>0</v>
      </c>
      <c r="BR2" s="442"/>
      <c r="BS2" s="42"/>
    </row>
    <row r="3" spans="1:71" ht="35.1" customHeight="1" x14ac:dyDescent="0.25">
      <c r="A3" s="468"/>
      <c r="B3" s="469"/>
      <c r="C3" s="469"/>
      <c r="D3" s="469"/>
      <c r="E3" s="470"/>
      <c r="F3" s="43">
        <f>Fasce_Tot!AG4</f>
        <v>0</v>
      </c>
      <c r="G3" s="43">
        <f>Fasce_Tot!AG5</f>
        <v>0</v>
      </c>
      <c r="H3" s="43">
        <f>Fasce_Tot!AG6</f>
        <v>0</v>
      </c>
      <c r="I3" s="43">
        <f>Fasce_Tot!AG7</f>
        <v>0</v>
      </c>
      <c r="J3" s="43">
        <f>Fasce_Tot!AG8</f>
        <v>0</v>
      </c>
      <c r="K3" s="43">
        <f>Fasce_Tot!AG9</f>
        <v>0</v>
      </c>
      <c r="L3" s="43">
        <f>Fasce_Tot!AG10</f>
        <v>0</v>
      </c>
      <c r="M3" s="43">
        <f>Fasce_Tot!AG11</f>
        <v>0</v>
      </c>
      <c r="N3" s="43">
        <f>Fasce_Tot!AG12</f>
        <v>0</v>
      </c>
      <c r="O3" s="43">
        <f>Fasce_Tot!AG13</f>
        <v>0</v>
      </c>
      <c r="P3" s="43">
        <f>Fasce_Tot!AG14</f>
        <v>0</v>
      </c>
      <c r="Q3" s="43">
        <f>Fasce_Tot!AG15</f>
        <v>0</v>
      </c>
      <c r="R3" s="43">
        <f>Fasce_Tot!AG16</f>
        <v>0</v>
      </c>
      <c r="S3" s="43">
        <f>Fasce_Tot!AG17</f>
        <v>0</v>
      </c>
      <c r="T3" s="43">
        <f>Fasce_Tot!AG18</f>
        <v>0</v>
      </c>
      <c r="U3" s="43">
        <f>Fasce_Tot!AG19</f>
        <v>0</v>
      </c>
      <c r="V3" s="43">
        <f>Fasce_Tot!AG20</f>
        <v>0</v>
      </c>
      <c r="W3" s="43">
        <f>Fasce_Tot!AG21</f>
        <v>0</v>
      </c>
      <c r="X3" s="43">
        <f>Fasce_Tot!AG22</f>
        <v>0</v>
      </c>
      <c r="Y3" s="43">
        <f>Fasce_Tot!AG23</f>
        <v>0</v>
      </c>
      <c r="Z3" s="43">
        <f>Fasce_Tot!AG24</f>
        <v>0</v>
      </c>
      <c r="AA3" s="43">
        <f>Fasce_Tot!AG25</f>
        <v>0</v>
      </c>
      <c r="AB3" s="43">
        <f>Fasce_Tot!AG26</f>
        <v>0</v>
      </c>
      <c r="AC3" s="43">
        <f>Fasce_Tot!AG27</f>
        <v>0</v>
      </c>
      <c r="AD3" s="43">
        <f>Fasce_Tot!AG28</f>
        <v>0</v>
      </c>
      <c r="AE3" s="43">
        <f>Fasce_Tot!AG29</f>
        <v>0</v>
      </c>
      <c r="AF3" s="43">
        <f>Fasce_Tot!AG30</f>
        <v>0</v>
      </c>
      <c r="AG3" s="43">
        <f>Fasce_Tot!AG31</f>
        <v>0</v>
      </c>
      <c r="AH3" s="43">
        <f>Fasce_Tot!AG32</f>
        <v>0</v>
      </c>
      <c r="AI3" s="43">
        <f>Fasce_Tot!AG33</f>
        <v>0</v>
      </c>
      <c r="AJ3" s="43">
        <f>Fasce_Tot!AG34</f>
        <v>0</v>
      </c>
      <c r="AK3" s="43">
        <f>Fasce_Tot!AG35</f>
        <v>0</v>
      </c>
      <c r="AL3" s="43">
        <f>Fasce_Tot!AG36</f>
        <v>0</v>
      </c>
      <c r="AM3" s="43">
        <f>Fasce_Tot!AG37</f>
        <v>0</v>
      </c>
      <c r="AN3" s="43">
        <f>Fasce_Tot!AG38</f>
        <v>0</v>
      </c>
      <c r="AO3" s="43">
        <f>Fasce_Tot!AG39</f>
        <v>0</v>
      </c>
      <c r="AP3" s="43">
        <f>Fasce_Tot!AG40</f>
        <v>0</v>
      </c>
      <c r="AQ3" s="43">
        <f>Fasce_Tot!AG41</f>
        <v>0</v>
      </c>
      <c r="AR3" s="43">
        <f>Fasce_Tot!AG42</f>
        <v>0</v>
      </c>
      <c r="AS3" s="43">
        <f>Fasce_Tot!AG43</f>
        <v>0</v>
      </c>
      <c r="AT3" s="43">
        <f>Fasce_Tot!AG44</f>
        <v>0</v>
      </c>
      <c r="AU3" s="43">
        <f>Fasce_Tot!AG45</f>
        <v>0</v>
      </c>
      <c r="AV3" s="43">
        <f>Fasce_Tot!AG46</f>
        <v>0</v>
      </c>
      <c r="AW3" s="43">
        <f>Fasce_Tot!AG47</f>
        <v>0</v>
      </c>
      <c r="AX3" s="43">
        <f>Fasce_Tot!AG48</f>
        <v>0</v>
      </c>
      <c r="AY3" s="43">
        <f>Fasce_Tot!AG49</f>
        <v>0</v>
      </c>
      <c r="AZ3" s="43">
        <f>Fasce_Tot!AG50</f>
        <v>0</v>
      </c>
      <c r="BA3" s="43">
        <f>Fasce_Tot!AG51</f>
        <v>0</v>
      </c>
      <c r="BB3" s="43">
        <f>Fasce_Tot!AG52</f>
        <v>0</v>
      </c>
      <c r="BC3" s="43">
        <f>Fasce_Tot!AG53</f>
        <v>0</v>
      </c>
      <c r="BD3" s="43">
        <f>Fasce_Tot!AG54</f>
        <v>0</v>
      </c>
      <c r="BE3" s="43">
        <f>Fasce_Tot!AG55</f>
        <v>0</v>
      </c>
      <c r="BF3" s="43">
        <f>Fasce_Tot!AG56</f>
        <v>0</v>
      </c>
      <c r="BG3" s="43">
        <f>Fasce_Tot!AG57</f>
        <v>0</v>
      </c>
      <c r="BH3" s="43">
        <f>Fasce_Tot!AG58</f>
        <v>0</v>
      </c>
      <c r="BI3" s="43">
        <f>Fasce_Tot!AG59</f>
        <v>0</v>
      </c>
      <c r="BJ3" s="43">
        <f>Fasce_Tot!AG60</f>
        <v>0</v>
      </c>
      <c r="BK3" s="43">
        <f>Fasce_Tot!AG61</f>
        <v>0</v>
      </c>
      <c r="BL3" s="43">
        <f>Fasce_Tot!AG62</f>
        <v>0</v>
      </c>
      <c r="BM3" s="43">
        <f>Fasce_Tot!AG63</f>
        <v>0</v>
      </c>
      <c r="BN3" s="43">
        <f>Fasce_Tot!AG64</f>
        <v>0</v>
      </c>
      <c r="BO3" s="43">
        <f>Fasce_Tot!AG65</f>
        <v>0</v>
      </c>
      <c r="BP3" s="43">
        <f>Fasce_Tot!AG66</f>
        <v>0</v>
      </c>
      <c r="BQ3" s="43">
        <f>SUM(Fasce_Tot!AM5:'Fasce_Tot'!AM6)</f>
        <v>0</v>
      </c>
      <c r="BR3" s="43">
        <f>SUM(Fasce_Tot!AM7:'Fasce_Tot'!AM8)</f>
        <v>0</v>
      </c>
      <c r="BS3" s="42"/>
    </row>
    <row r="4" spans="1:71" ht="45" customHeight="1" x14ac:dyDescent="0.25">
      <c r="A4" s="471" t="s">
        <v>299</v>
      </c>
      <c r="B4" s="472"/>
      <c r="C4" s="472"/>
      <c r="D4" s="472"/>
      <c r="E4" s="473"/>
      <c r="F4" s="44">
        <f>F5</f>
        <v>0</v>
      </c>
      <c r="G4" s="443">
        <f>SUM(G5:J5)</f>
        <v>0</v>
      </c>
      <c r="H4" s="444"/>
      <c r="I4" s="444"/>
      <c r="J4" s="445"/>
      <c r="K4" s="446">
        <f>SUM(K5:L5)</f>
        <v>0</v>
      </c>
      <c r="L4" s="446"/>
      <c r="M4" s="446">
        <f>SUM(M5:N5)</f>
        <v>0</v>
      </c>
      <c r="N4" s="446"/>
      <c r="O4" s="446">
        <f>SUM(O5:P5)</f>
        <v>0</v>
      </c>
      <c r="P4" s="446"/>
      <c r="Q4" s="446">
        <f>SUM(Q5:R5)</f>
        <v>0</v>
      </c>
      <c r="R4" s="446"/>
      <c r="S4" s="446">
        <f>SUM(S5:U5)</f>
        <v>0</v>
      </c>
      <c r="T4" s="446"/>
      <c r="U4" s="446"/>
      <c r="V4" s="446">
        <f>SUM(V5:Y5)</f>
        <v>0</v>
      </c>
      <c r="W4" s="446"/>
      <c r="X4" s="446"/>
      <c r="Y4" s="446"/>
      <c r="Z4" s="446">
        <f>SUM(Z5:AC5)</f>
        <v>0</v>
      </c>
      <c r="AA4" s="446"/>
      <c r="AB4" s="446"/>
      <c r="AC4" s="446"/>
      <c r="AD4" s="446">
        <f>SUM(AD5:AE5)</f>
        <v>0</v>
      </c>
      <c r="AE4" s="446"/>
      <c r="AF4" s="446">
        <f>SUM(AF5:AG5)</f>
        <v>0</v>
      </c>
      <c r="AG4" s="446"/>
      <c r="AH4" s="446">
        <f>SUM(AH5:AI5)</f>
        <v>0</v>
      </c>
      <c r="AI4" s="446"/>
      <c r="AJ4" s="446">
        <f>SUM(AJ5:AK5)</f>
        <v>0</v>
      </c>
      <c r="AK4" s="446"/>
      <c r="AL4" s="446">
        <f>SUM(AL5:AN5)</f>
        <v>0</v>
      </c>
      <c r="AM4" s="446"/>
      <c r="AN4" s="446"/>
      <c r="AO4" s="446">
        <f>SUM(AO5:AR5)</f>
        <v>0</v>
      </c>
      <c r="AP4" s="446"/>
      <c r="AQ4" s="446"/>
      <c r="AR4" s="446"/>
      <c r="AS4" s="446">
        <f>SUM(AS5:AV5)</f>
        <v>0</v>
      </c>
      <c r="AT4" s="446"/>
      <c r="AU4" s="446"/>
      <c r="AV4" s="446"/>
      <c r="AW4" s="446">
        <f>SUM(AW5:AY5)</f>
        <v>0</v>
      </c>
      <c r="AX4" s="446"/>
      <c r="AY4" s="446"/>
      <c r="AZ4" s="446">
        <f>SUM(AZ5:BA5)</f>
        <v>0</v>
      </c>
      <c r="BA4" s="446"/>
      <c r="BB4" s="446">
        <f>SUM(BB5:BC5)</f>
        <v>0</v>
      </c>
      <c r="BC4" s="446"/>
      <c r="BD4" s="446">
        <f>SUM(BD5:BF5)</f>
        <v>0</v>
      </c>
      <c r="BE4" s="446"/>
      <c r="BF4" s="446"/>
      <c r="BG4" s="446">
        <f>SUM(BG5:BH5)</f>
        <v>0</v>
      </c>
      <c r="BH4" s="446"/>
      <c r="BI4" s="446">
        <f>SUM(BI5:BJ5)</f>
        <v>0</v>
      </c>
      <c r="BJ4" s="446"/>
      <c r="BK4" s="446">
        <f>SUM(BK5:BL5)</f>
        <v>0</v>
      </c>
      <c r="BL4" s="446"/>
      <c r="BM4" s="446">
        <f>SUM(BM5:BN5)</f>
        <v>0</v>
      </c>
      <c r="BN4" s="446"/>
      <c r="BO4" s="446">
        <f>SUM(BO5:BP5)</f>
        <v>0</v>
      </c>
      <c r="BP4" s="446"/>
      <c r="BQ4" s="446">
        <f>BQ5</f>
        <v>0</v>
      </c>
      <c r="BR4" s="446"/>
      <c r="BS4" s="42"/>
    </row>
    <row r="5" spans="1:71" ht="35.1" customHeight="1" x14ac:dyDescent="0.25">
      <c r="A5" s="474"/>
      <c r="B5" s="475"/>
      <c r="C5" s="475"/>
      <c r="D5" s="475"/>
      <c r="E5" s="476"/>
      <c r="F5" s="45">
        <f>Fasce_Tot!AH$4</f>
        <v>0</v>
      </c>
      <c r="G5" s="45">
        <f>Fasce_Tot!AH$5</f>
        <v>0</v>
      </c>
      <c r="H5" s="45">
        <f>Fasce_Tot!AH$6</f>
        <v>0</v>
      </c>
      <c r="I5" s="45">
        <f>Fasce_Tot!AH$7</f>
        <v>0</v>
      </c>
      <c r="J5" s="45">
        <f>Fasce_Tot!AH$8</f>
        <v>0</v>
      </c>
      <c r="K5" s="45">
        <f>Fasce_Tot!AH$9</f>
        <v>0</v>
      </c>
      <c r="L5" s="45">
        <f>Fasce_Tot!AH$10</f>
        <v>0</v>
      </c>
      <c r="M5" s="45">
        <f>Fasce_Tot!AH$11</f>
        <v>0</v>
      </c>
      <c r="N5" s="45">
        <f>Fasce_Tot!AH$12</f>
        <v>0</v>
      </c>
      <c r="O5" s="45">
        <f>Fasce_Tot!AH$13</f>
        <v>0</v>
      </c>
      <c r="P5" s="45">
        <f>Fasce_Tot!AH$14</f>
        <v>0</v>
      </c>
      <c r="Q5" s="45">
        <f>Fasce_Tot!AH$15</f>
        <v>0</v>
      </c>
      <c r="R5" s="45">
        <f>Fasce_Tot!AH$16</f>
        <v>0</v>
      </c>
      <c r="S5" s="45">
        <f>Fasce_Tot!AH$17</f>
        <v>0</v>
      </c>
      <c r="T5" s="45">
        <f>Fasce_Tot!AH$18</f>
        <v>0</v>
      </c>
      <c r="U5" s="45">
        <f>Fasce_Tot!AH$19</f>
        <v>0</v>
      </c>
      <c r="V5" s="45">
        <f>Fasce_Tot!AH$20</f>
        <v>0</v>
      </c>
      <c r="W5" s="45">
        <f>Fasce_Tot!AH$21</f>
        <v>0</v>
      </c>
      <c r="X5" s="45">
        <f>Fasce_Tot!AH$22</f>
        <v>0</v>
      </c>
      <c r="Y5" s="45">
        <f>Fasce_Tot!AH$23</f>
        <v>0</v>
      </c>
      <c r="Z5" s="45">
        <f>Fasce_Tot!AH$24</f>
        <v>0</v>
      </c>
      <c r="AA5" s="45">
        <f>Fasce_Tot!AH$25</f>
        <v>0</v>
      </c>
      <c r="AB5" s="45">
        <f>Fasce_Tot!AH$26</f>
        <v>0</v>
      </c>
      <c r="AC5" s="45">
        <f>Fasce_Tot!AH$27</f>
        <v>0</v>
      </c>
      <c r="AD5" s="45">
        <f>Fasce_Tot!AH$28</f>
        <v>0</v>
      </c>
      <c r="AE5" s="45">
        <f>Fasce_Tot!AH$29</f>
        <v>0</v>
      </c>
      <c r="AF5" s="45">
        <f>Fasce_Tot!AH$30</f>
        <v>0</v>
      </c>
      <c r="AG5" s="45">
        <f>Fasce_Tot!AH$31</f>
        <v>0</v>
      </c>
      <c r="AH5" s="45">
        <f>Fasce_Tot!AH$32</f>
        <v>0</v>
      </c>
      <c r="AI5" s="45">
        <f>Fasce_Tot!AH$33</f>
        <v>0</v>
      </c>
      <c r="AJ5" s="45">
        <f>Fasce_Tot!AH$34</f>
        <v>0</v>
      </c>
      <c r="AK5" s="45">
        <f>Fasce_Tot!AH$35</f>
        <v>0</v>
      </c>
      <c r="AL5" s="45">
        <f>Fasce_Tot!AH$36</f>
        <v>0</v>
      </c>
      <c r="AM5" s="45">
        <f>Fasce_Tot!AH$37</f>
        <v>0</v>
      </c>
      <c r="AN5" s="45">
        <f>Fasce_Tot!AH$38</f>
        <v>0</v>
      </c>
      <c r="AO5" s="45">
        <f>Fasce_Tot!AH$39</f>
        <v>0</v>
      </c>
      <c r="AP5" s="45">
        <f>Fasce_Tot!AH$40</f>
        <v>0</v>
      </c>
      <c r="AQ5" s="45">
        <f>Fasce_Tot!AH$41</f>
        <v>0</v>
      </c>
      <c r="AR5" s="45">
        <f>Fasce_Tot!AH$42</f>
        <v>0</v>
      </c>
      <c r="AS5" s="45">
        <f>Fasce_Tot!AH$43</f>
        <v>0</v>
      </c>
      <c r="AT5" s="45">
        <f>Fasce_Tot!AH$44</f>
        <v>0</v>
      </c>
      <c r="AU5" s="45">
        <f>Fasce_Tot!AH$45</f>
        <v>0</v>
      </c>
      <c r="AV5" s="45">
        <f>Fasce_Tot!AH$46</f>
        <v>0</v>
      </c>
      <c r="AW5" s="45">
        <f>Fasce_Tot!AH$47</f>
        <v>0</v>
      </c>
      <c r="AX5" s="45">
        <f>Fasce_Tot!AH$48</f>
        <v>0</v>
      </c>
      <c r="AY5" s="45">
        <f>Fasce_Tot!AH$49</f>
        <v>0</v>
      </c>
      <c r="AZ5" s="45">
        <f>Fasce_Tot!AH$50</f>
        <v>0</v>
      </c>
      <c r="BA5" s="45">
        <f>Fasce_Tot!AH$51</f>
        <v>0</v>
      </c>
      <c r="BB5" s="45">
        <f>Fasce_Tot!AH$52</f>
        <v>0</v>
      </c>
      <c r="BC5" s="45">
        <f>Fasce_Tot!AH$53</f>
        <v>0</v>
      </c>
      <c r="BD5" s="45">
        <f>Fasce_Tot!AH$54</f>
        <v>0</v>
      </c>
      <c r="BE5" s="45">
        <f>Fasce_Tot!AH$55</f>
        <v>0</v>
      </c>
      <c r="BF5" s="45">
        <f>Fasce_Tot!AH$56</f>
        <v>0</v>
      </c>
      <c r="BG5" s="45">
        <f>Fasce_Tot!AH$57</f>
        <v>0</v>
      </c>
      <c r="BH5" s="45">
        <f>Fasce_Tot!AH$58</f>
        <v>0</v>
      </c>
      <c r="BI5" s="45">
        <f>Fasce_Tot!AH$59</f>
        <v>0</v>
      </c>
      <c r="BJ5" s="45">
        <f>Fasce_Tot!AH$60</f>
        <v>0</v>
      </c>
      <c r="BK5" s="45">
        <f>Fasce_Tot!AH$61</f>
        <v>0</v>
      </c>
      <c r="BL5" s="45">
        <f>Fasce_Tot!AH$62</f>
        <v>0</v>
      </c>
      <c r="BM5" s="45">
        <f>Fasce_Tot!AH$63</f>
        <v>0</v>
      </c>
      <c r="BN5" s="45">
        <f>Fasce_Tot!AH$64</f>
        <v>0</v>
      </c>
      <c r="BO5" s="45">
        <f>Fasce_Tot!AH$65</f>
        <v>0</v>
      </c>
      <c r="BP5" s="45">
        <f>Fasce_Tot!AH$66</f>
        <v>0</v>
      </c>
      <c r="BQ5" s="45">
        <f>SUM(Fasce_Tot!AN5:'Fasce_Tot'!AN6)</f>
        <v>0</v>
      </c>
      <c r="BR5" s="45">
        <f>SUM(Fasce_Tot!AN7:'Fasce_Tot'!AN8)</f>
        <v>0</v>
      </c>
      <c r="BS5" s="42"/>
    </row>
    <row r="6" spans="1:71" ht="45" customHeight="1" x14ac:dyDescent="0.25">
      <c r="A6" s="465" t="s">
        <v>308</v>
      </c>
      <c r="B6" s="466"/>
      <c r="C6" s="466"/>
      <c r="D6" s="466"/>
      <c r="E6" s="467"/>
      <c r="F6" s="41">
        <f>F7</f>
        <v>0</v>
      </c>
      <c r="G6" s="459">
        <f>SUM(G7:J7)</f>
        <v>0</v>
      </c>
      <c r="H6" s="460"/>
      <c r="I6" s="460"/>
      <c r="J6" s="461"/>
      <c r="K6" s="442">
        <f>SUM(K7:L7)</f>
        <v>0</v>
      </c>
      <c r="L6" s="442"/>
      <c r="M6" s="442">
        <f>SUM(M7:N7)</f>
        <v>0</v>
      </c>
      <c r="N6" s="442"/>
      <c r="O6" s="442">
        <f>SUM(O7:P7)</f>
        <v>0</v>
      </c>
      <c r="P6" s="442"/>
      <c r="Q6" s="442">
        <f>SUM(Q7:R7)</f>
        <v>0</v>
      </c>
      <c r="R6" s="442"/>
      <c r="S6" s="442">
        <f>SUM(S7:U7)</f>
        <v>0</v>
      </c>
      <c r="T6" s="442"/>
      <c r="U6" s="442"/>
      <c r="V6" s="442">
        <f>SUM(V7:Y7)</f>
        <v>0</v>
      </c>
      <c r="W6" s="442"/>
      <c r="X6" s="442"/>
      <c r="Y6" s="442"/>
      <c r="Z6" s="442">
        <f>SUM(Z7:AC7)</f>
        <v>0</v>
      </c>
      <c r="AA6" s="442"/>
      <c r="AB6" s="442"/>
      <c r="AC6" s="442"/>
      <c r="AD6" s="442">
        <f>SUM(AD7:AE7)</f>
        <v>0</v>
      </c>
      <c r="AE6" s="442"/>
      <c r="AF6" s="442">
        <f>SUM(AF7:AG7)</f>
        <v>0</v>
      </c>
      <c r="AG6" s="442"/>
      <c r="AH6" s="442">
        <f>SUM(AH7:AI7)</f>
        <v>0</v>
      </c>
      <c r="AI6" s="442"/>
      <c r="AJ6" s="442">
        <f>SUM(AJ7:AK7)</f>
        <v>0</v>
      </c>
      <c r="AK6" s="442"/>
      <c r="AL6" s="442">
        <f>SUM(AL7:AN7)</f>
        <v>0</v>
      </c>
      <c r="AM6" s="442"/>
      <c r="AN6" s="442"/>
      <c r="AO6" s="442">
        <f>SUM(AO7:AR7)</f>
        <v>0</v>
      </c>
      <c r="AP6" s="442"/>
      <c r="AQ6" s="442"/>
      <c r="AR6" s="442"/>
      <c r="AS6" s="442">
        <f>SUM(AS7:AV7)</f>
        <v>0</v>
      </c>
      <c r="AT6" s="442"/>
      <c r="AU6" s="442"/>
      <c r="AV6" s="442"/>
      <c r="AW6" s="442">
        <f>SUM(AW7:AY7)</f>
        <v>0</v>
      </c>
      <c r="AX6" s="442"/>
      <c r="AY6" s="442"/>
      <c r="AZ6" s="442">
        <f>SUM(AZ7:BA7)</f>
        <v>0</v>
      </c>
      <c r="BA6" s="442"/>
      <c r="BB6" s="442">
        <f>SUM(BB7:BC7)</f>
        <v>0</v>
      </c>
      <c r="BC6" s="442"/>
      <c r="BD6" s="442">
        <f>SUM(BD7:BF7)</f>
        <v>0</v>
      </c>
      <c r="BE6" s="442"/>
      <c r="BF6" s="442"/>
      <c r="BG6" s="442">
        <f>SUM(BG7:BH7)</f>
        <v>0</v>
      </c>
      <c r="BH6" s="442"/>
      <c r="BI6" s="442">
        <f>SUM(BI7:BJ7)</f>
        <v>0</v>
      </c>
      <c r="BJ6" s="442"/>
      <c r="BK6" s="442">
        <f>SUM(BK7:BL7)</f>
        <v>0</v>
      </c>
      <c r="BL6" s="442"/>
      <c r="BM6" s="442">
        <f>SUM(BM7:BN7)</f>
        <v>0</v>
      </c>
      <c r="BN6" s="442"/>
      <c r="BO6" s="442">
        <f>SUM(BO7:BP7)</f>
        <v>0</v>
      </c>
      <c r="BP6" s="442"/>
      <c r="BQ6" s="442">
        <f>BQ7</f>
        <v>0</v>
      </c>
      <c r="BR6" s="442"/>
      <c r="BS6" s="42"/>
    </row>
    <row r="7" spans="1:71" ht="35.1" customHeight="1" x14ac:dyDescent="0.25">
      <c r="A7" s="468"/>
      <c r="B7" s="469"/>
      <c r="C7" s="469"/>
      <c r="D7" s="469"/>
      <c r="E7" s="470"/>
      <c r="F7" s="43">
        <f>IF((F5-F8-F9)&lt;0,0,F5-F8-F9)</f>
        <v>0</v>
      </c>
      <c r="G7" s="43">
        <f t="shared" ref="G7:BR7" si="0">IF((G5-G8-G9)&lt;0,0,G5-G8-G9)</f>
        <v>0</v>
      </c>
      <c r="H7" s="43">
        <f t="shared" si="0"/>
        <v>0</v>
      </c>
      <c r="I7" s="43">
        <f t="shared" si="0"/>
        <v>0</v>
      </c>
      <c r="J7" s="43">
        <f t="shared" si="0"/>
        <v>0</v>
      </c>
      <c r="K7" s="43">
        <f t="shared" si="0"/>
        <v>0</v>
      </c>
      <c r="L7" s="43">
        <f t="shared" si="0"/>
        <v>0</v>
      </c>
      <c r="M7" s="43">
        <f t="shared" si="0"/>
        <v>0</v>
      </c>
      <c r="N7" s="43">
        <f t="shared" si="0"/>
        <v>0</v>
      </c>
      <c r="O7" s="43">
        <f t="shared" si="0"/>
        <v>0</v>
      </c>
      <c r="P7" s="43">
        <f t="shared" si="0"/>
        <v>0</v>
      </c>
      <c r="Q7" s="43">
        <f t="shared" si="0"/>
        <v>0</v>
      </c>
      <c r="R7" s="43">
        <f t="shared" si="0"/>
        <v>0</v>
      </c>
      <c r="S7" s="43">
        <f t="shared" si="0"/>
        <v>0</v>
      </c>
      <c r="T7" s="43">
        <f t="shared" si="0"/>
        <v>0</v>
      </c>
      <c r="U7" s="43">
        <f t="shared" si="0"/>
        <v>0</v>
      </c>
      <c r="V7" s="43">
        <f t="shared" si="0"/>
        <v>0</v>
      </c>
      <c r="W7" s="43">
        <f t="shared" si="0"/>
        <v>0</v>
      </c>
      <c r="X7" s="43">
        <f t="shared" si="0"/>
        <v>0</v>
      </c>
      <c r="Y7" s="43">
        <f t="shared" si="0"/>
        <v>0</v>
      </c>
      <c r="Z7" s="43">
        <f t="shared" si="0"/>
        <v>0</v>
      </c>
      <c r="AA7" s="43">
        <f t="shared" si="0"/>
        <v>0</v>
      </c>
      <c r="AB7" s="43">
        <f t="shared" si="0"/>
        <v>0</v>
      </c>
      <c r="AC7" s="43">
        <f t="shared" si="0"/>
        <v>0</v>
      </c>
      <c r="AD7" s="43">
        <f t="shared" si="0"/>
        <v>0</v>
      </c>
      <c r="AE7" s="43">
        <f t="shared" si="0"/>
        <v>0</v>
      </c>
      <c r="AF7" s="43">
        <f t="shared" si="0"/>
        <v>0</v>
      </c>
      <c r="AG7" s="43">
        <f t="shared" si="0"/>
        <v>0</v>
      </c>
      <c r="AH7" s="43">
        <f t="shared" si="0"/>
        <v>0</v>
      </c>
      <c r="AI7" s="43">
        <f t="shared" si="0"/>
        <v>0</v>
      </c>
      <c r="AJ7" s="43">
        <f t="shared" si="0"/>
        <v>0</v>
      </c>
      <c r="AK7" s="43">
        <f t="shared" si="0"/>
        <v>0</v>
      </c>
      <c r="AL7" s="43">
        <f t="shared" si="0"/>
        <v>0</v>
      </c>
      <c r="AM7" s="43">
        <f t="shared" si="0"/>
        <v>0</v>
      </c>
      <c r="AN7" s="43">
        <f t="shared" si="0"/>
        <v>0</v>
      </c>
      <c r="AO7" s="43">
        <f t="shared" si="0"/>
        <v>0</v>
      </c>
      <c r="AP7" s="43">
        <f t="shared" si="0"/>
        <v>0</v>
      </c>
      <c r="AQ7" s="43">
        <f t="shared" si="0"/>
        <v>0</v>
      </c>
      <c r="AR7" s="43">
        <f t="shared" si="0"/>
        <v>0</v>
      </c>
      <c r="AS7" s="43">
        <f t="shared" si="0"/>
        <v>0</v>
      </c>
      <c r="AT7" s="43">
        <f t="shared" si="0"/>
        <v>0</v>
      </c>
      <c r="AU7" s="43">
        <f t="shared" si="0"/>
        <v>0</v>
      </c>
      <c r="AV7" s="43">
        <f t="shared" si="0"/>
        <v>0</v>
      </c>
      <c r="AW7" s="43">
        <f t="shared" si="0"/>
        <v>0</v>
      </c>
      <c r="AX7" s="43">
        <f t="shared" si="0"/>
        <v>0</v>
      </c>
      <c r="AY7" s="43">
        <f t="shared" si="0"/>
        <v>0</v>
      </c>
      <c r="AZ7" s="43">
        <f t="shared" si="0"/>
        <v>0</v>
      </c>
      <c r="BA7" s="43">
        <f t="shared" si="0"/>
        <v>0</v>
      </c>
      <c r="BB7" s="43">
        <f t="shared" si="0"/>
        <v>0</v>
      </c>
      <c r="BC7" s="43">
        <f t="shared" si="0"/>
        <v>0</v>
      </c>
      <c r="BD7" s="43">
        <f t="shared" si="0"/>
        <v>0</v>
      </c>
      <c r="BE7" s="43">
        <f t="shared" si="0"/>
        <v>0</v>
      </c>
      <c r="BF7" s="43">
        <f t="shared" si="0"/>
        <v>0</v>
      </c>
      <c r="BG7" s="43">
        <f t="shared" si="0"/>
        <v>0</v>
      </c>
      <c r="BH7" s="43">
        <f t="shared" si="0"/>
        <v>0</v>
      </c>
      <c r="BI7" s="43">
        <f t="shared" si="0"/>
        <v>0</v>
      </c>
      <c r="BJ7" s="43">
        <f t="shared" si="0"/>
        <v>0</v>
      </c>
      <c r="BK7" s="43">
        <f t="shared" si="0"/>
        <v>0</v>
      </c>
      <c r="BL7" s="43">
        <f t="shared" si="0"/>
        <v>0</v>
      </c>
      <c r="BM7" s="43">
        <f t="shared" si="0"/>
        <v>0</v>
      </c>
      <c r="BN7" s="43">
        <f t="shared" si="0"/>
        <v>0</v>
      </c>
      <c r="BO7" s="43">
        <f t="shared" si="0"/>
        <v>0</v>
      </c>
      <c r="BP7" s="43">
        <f t="shared" si="0"/>
        <v>0</v>
      </c>
      <c r="BQ7" s="43">
        <f t="shared" si="0"/>
        <v>0</v>
      </c>
      <c r="BR7" s="43">
        <f t="shared" si="0"/>
        <v>0</v>
      </c>
      <c r="BS7" s="42"/>
    </row>
    <row r="8" spans="1:71" ht="39.950000000000003" customHeight="1" x14ac:dyDescent="0.25">
      <c r="A8" s="456" t="s">
        <v>300</v>
      </c>
      <c r="B8" s="457"/>
      <c r="C8" s="457"/>
      <c r="D8" s="457"/>
      <c r="E8" s="458"/>
      <c r="F8" s="45">
        <f>Fasce_Tot!AI$4</f>
        <v>0</v>
      </c>
      <c r="G8" s="45">
        <f>Fasce_Tot!AI$5</f>
        <v>0</v>
      </c>
      <c r="H8" s="45">
        <f>Fasce_Tot!AI$6</f>
        <v>0</v>
      </c>
      <c r="I8" s="45">
        <f>Fasce_Tot!AI$7</f>
        <v>0</v>
      </c>
      <c r="J8" s="45">
        <f>Fasce_Tot!AI$8</f>
        <v>0</v>
      </c>
      <c r="K8" s="45">
        <f>Fasce_Tot!AI$9</f>
        <v>0</v>
      </c>
      <c r="L8" s="45">
        <f>Fasce_Tot!AI$10</f>
        <v>0</v>
      </c>
      <c r="M8" s="45">
        <f>Fasce_Tot!AI$11</f>
        <v>0</v>
      </c>
      <c r="N8" s="45">
        <f>Fasce_Tot!AI$12</f>
        <v>0</v>
      </c>
      <c r="O8" s="45">
        <f>Fasce_Tot!AI$13</f>
        <v>0</v>
      </c>
      <c r="P8" s="45">
        <f>Fasce_Tot!AI$14</f>
        <v>0</v>
      </c>
      <c r="Q8" s="45">
        <f>Fasce_Tot!AI$15</f>
        <v>0</v>
      </c>
      <c r="R8" s="45">
        <f>Fasce_Tot!AI$16</f>
        <v>0</v>
      </c>
      <c r="S8" s="45">
        <f>Fasce_Tot!AI$17</f>
        <v>0</v>
      </c>
      <c r="T8" s="45">
        <f>Fasce_Tot!AI$18</f>
        <v>0</v>
      </c>
      <c r="U8" s="45">
        <f>Fasce_Tot!AI$19</f>
        <v>0</v>
      </c>
      <c r="V8" s="45">
        <f>Fasce_Tot!AI$20</f>
        <v>0</v>
      </c>
      <c r="W8" s="45">
        <f>Fasce_Tot!AI$21</f>
        <v>0</v>
      </c>
      <c r="X8" s="45">
        <f>Fasce_Tot!AI$22</f>
        <v>0</v>
      </c>
      <c r="Y8" s="45">
        <f>Fasce_Tot!AI$23</f>
        <v>0</v>
      </c>
      <c r="Z8" s="45">
        <f>Fasce_Tot!AI$24</f>
        <v>0</v>
      </c>
      <c r="AA8" s="45">
        <f>Fasce_Tot!AI$25</f>
        <v>0</v>
      </c>
      <c r="AB8" s="45">
        <f>Fasce_Tot!AI$26</f>
        <v>0</v>
      </c>
      <c r="AC8" s="45">
        <f>Fasce_Tot!AI$27</f>
        <v>0</v>
      </c>
      <c r="AD8" s="45">
        <f>Fasce_Tot!AI$28</f>
        <v>0</v>
      </c>
      <c r="AE8" s="45">
        <f>Fasce_Tot!AI$29</f>
        <v>0</v>
      </c>
      <c r="AF8" s="45">
        <f>Fasce_Tot!AI$30</f>
        <v>0</v>
      </c>
      <c r="AG8" s="45">
        <f>Fasce_Tot!AI$31</f>
        <v>0</v>
      </c>
      <c r="AH8" s="45">
        <f>Fasce_Tot!AI$32</f>
        <v>0</v>
      </c>
      <c r="AI8" s="45">
        <f>Fasce_Tot!AI$33</f>
        <v>0</v>
      </c>
      <c r="AJ8" s="45">
        <f>Fasce_Tot!AI$34</f>
        <v>0</v>
      </c>
      <c r="AK8" s="45">
        <f>Fasce_Tot!AI$35</f>
        <v>0</v>
      </c>
      <c r="AL8" s="45">
        <f>Fasce_Tot!AI$36</f>
        <v>0</v>
      </c>
      <c r="AM8" s="45">
        <f>Fasce_Tot!AI$37</f>
        <v>0</v>
      </c>
      <c r="AN8" s="45">
        <f>Fasce_Tot!AI$38</f>
        <v>0</v>
      </c>
      <c r="AO8" s="45">
        <f>Fasce_Tot!AI$39</f>
        <v>0</v>
      </c>
      <c r="AP8" s="45">
        <f>Fasce_Tot!AI$40</f>
        <v>0</v>
      </c>
      <c r="AQ8" s="45">
        <f>Fasce_Tot!AI$41</f>
        <v>0</v>
      </c>
      <c r="AR8" s="45">
        <f>Fasce_Tot!AI$42</f>
        <v>0</v>
      </c>
      <c r="AS8" s="45">
        <f>Fasce_Tot!AI$43</f>
        <v>0</v>
      </c>
      <c r="AT8" s="45">
        <f>Fasce_Tot!AI$44</f>
        <v>0</v>
      </c>
      <c r="AU8" s="45">
        <f>Fasce_Tot!AI$45</f>
        <v>0</v>
      </c>
      <c r="AV8" s="45">
        <f>Fasce_Tot!AI$46</f>
        <v>0</v>
      </c>
      <c r="AW8" s="45">
        <f>Fasce_Tot!AI$47</f>
        <v>0</v>
      </c>
      <c r="AX8" s="45">
        <f>Fasce_Tot!AI$48</f>
        <v>0</v>
      </c>
      <c r="AY8" s="45">
        <f>Fasce_Tot!AI$49</f>
        <v>0</v>
      </c>
      <c r="AZ8" s="45">
        <f>Fasce_Tot!AI$50</f>
        <v>0</v>
      </c>
      <c r="BA8" s="45">
        <f>Fasce_Tot!AI$51</f>
        <v>0</v>
      </c>
      <c r="BB8" s="45">
        <f>Fasce_Tot!AI$52</f>
        <v>0</v>
      </c>
      <c r="BC8" s="45">
        <f>Fasce_Tot!AI$53</f>
        <v>0</v>
      </c>
      <c r="BD8" s="45">
        <f>Fasce_Tot!AI$54</f>
        <v>0</v>
      </c>
      <c r="BE8" s="45">
        <f>Fasce_Tot!AI$55</f>
        <v>0</v>
      </c>
      <c r="BF8" s="45">
        <f>Fasce_Tot!AI$56</f>
        <v>0</v>
      </c>
      <c r="BG8" s="45">
        <f>Fasce_Tot!AI$57</f>
        <v>0</v>
      </c>
      <c r="BH8" s="45">
        <f>Fasce_Tot!AI$58</f>
        <v>0</v>
      </c>
      <c r="BI8" s="45">
        <f>Fasce_Tot!AI$59</f>
        <v>0</v>
      </c>
      <c r="BJ8" s="45">
        <f>Fasce_Tot!AI$60</f>
        <v>0</v>
      </c>
      <c r="BK8" s="45">
        <f>Fasce_Tot!AI$61</f>
        <v>0</v>
      </c>
      <c r="BL8" s="45">
        <f>Fasce_Tot!AI$62</f>
        <v>0</v>
      </c>
      <c r="BM8" s="45">
        <f>Fasce_Tot!AI$63</f>
        <v>0</v>
      </c>
      <c r="BN8" s="45">
        <f>Fasce_Tot!AI$64</f>
        <v>0</v>
      </c>
      <c r="BO8" s="45">
        <f>Fasce_Tot!AI$65</f>
        <v>0</v>
      </c>
      <c r="BP8" s="45">
        <f>Fasce_Tot!AI$66</f>
        <v>0</v>
      </c>
      <c r="BQ8" s="45">
        <f>SUM(Fasce_Tot!AO5:'Fasce_Tot'!AO6)</f>
        <v>0</v>
      </c>
      <c r="BR8" s="45">
        <f>SUM(Fasce_Tot!AO7:'Fasce_Tot'!AO8)</f>
        <v>0</v>
      </c>
      <c r="BS8" s="42"/>
    </row>
    <row r="9" spans="1:71" ht="39.950000000000003" customHeight="1" x14ac:dyDescent="0.25">
      <c r="A9" s="477" t="s">
        <v>301</v>
      </c>
      <c r="B9" s="478"/>
      <c r="C9" s="478"/>
      <c r="D9" s="478"/>
      <c r="E9" s="479"/>
      <c r="F9" s="43">
        <f>Fasce_Tot!AJ$4</f>
        <v>0</v>
      </c>
      <c r="G9" s="43">
        <f>Fasce_Tot!AJ$5</f>
        <v>0</v>
      </c>
      <c r="H9" s="43">
        <f>Fasce_Tot!AJ$6</f>
        <v>0</v>
      </c>
      <c r="I9" s="43">
        <f>Fasce_Tot!AJ$7</f>
        <v>0</v>
      </c>
      <c r="J9" s="43">
        <f>Fasce_Tot!AJ$8</f>
        <v>0</v>
      </c>
      <c r="K9" s="43">
        <f>Fasce_Tot!AJ$9</f>
        <v>0</v>
      </c>
      <c r="L9" s="43">
        <f>Fasce_Tot!AJ$10</f>
        <v>0</v>
      </c>
      <c r="M9" s="43">
        <f>Fasce_Tot!AJ$11</f>
        <v>0</v>
      </c>
      <c r="N9" s="43">
        <f>Fasce_Tot!AJ$12</f>
        <v>0</v>
      </c>
      <c r="O9" s="43">
        <f>Fasce_Tot!AJ$13</f>
        <v>0</v>
      </c>
      <c r="P9" s="43">
        <f>Fasce_Tot!AJ$14</f>
        <v>0</v>
      </c>
      <c r="Q9" s="43">
        <f>Fasce_Tot!AJ$15</f>
        <v>0</v>
      </c>
      <c r="R9" s="43">
        <f>Fasce_Tot!AJ$16</f>
        <v>0</v>
      </c>
      <c r="S9" s="43">
        <f>Fasce_Tot!AJ$17</f>
        <v>0</v>
      </c>
      <c r="T9" s="43">
        <f>Fasce_Tot!AJ$18</f>
        <v>0</v>
      </c>
      <c r="U9" s="43">
        <f>Fasce_Tot!AJ$19</f>
        <v>0</v>
      </c>
      <c r="V9" s="43">
        <f>Fasce_Tot!AJ$20</f>
        <v>0</v>
      </c>
      <c r="W9" s="43">
        <f>Fasce_Tot!AJ$21</f>
        <v>0</v>
      </c>
      <c r="X9" s="43">
        <f>Fasce_Tot!AJ$22</f>
        <v>0</v>
      </c>
      <c r="Y9" s="43">
        <f>Fasce_Tot!AJ$23</f>
        <v>0</v>
      </c>
      <c r="Z9" s="43">
        <f>Fasce_Tot!AJ$24</f>
        <v>0</v>
      </c>
      <c r="AA9" s="43">
        <f>Fasce_Tot!AJ$25</f>
        <v>0</v>
      </c>
      <c r="AB9" s="43">
        <f>Fasce_Tot!AJ$26</f>
        <v>0</v>
      </c>
      <c r="AC9" s="43">
        <f>Fasce_Tot!AJ$27</f>
        <v>0</v>
      </c>
      <c r="AD9" s="43">
        <f>Fasce_Tot!AJ$28</f>
        <v>0</v>
      </c>
      <c r="AE9" s="43">
        <f>Fasce_Tot!AJ$29</f>
        <v>0</v>
      </c>
      <c r="AF9" s="43">
        <f>Fasce_Tot!AJ$30</f>
        <v>0</v>
      </c>
      <c r="AG9" s="43">
        <f>Fasce_Tot!AJ$31</f>
        <v>0</v>
      </c>
      <c r="AH9" s="43">
        <f>Fasce_Tot!AJ$32</f>
        <v>0</v>
      </c>
      <c r="AI9" s="43">
        <f>Fasce_Tot!AJ$33</f>
        <v>0</v>
      </c>
      <c r="AJ9" s="43">
        <f>Fasce_Tot!AJ$34</f>
        <v>0</v>
      </c>
      <c r="AK9" s="43">
        <f>Fasce_Tot!AJ$35</f>
        <v>0</v>
      </c>
      <c r="AL9" s="43">
        <f>Fasce_Tot!AJ$36</f>
        <v>0</v>
      </c>
      <c r="AM9" s="43">
        <f>Fasce_Tot!AJ$37</f>
        <v>0</v>
      </c>
      <c r="AN9" s="43">
        <f>Fasce_Tot!AJ$38</f>
        <v>0</v>
      </c>
      <c r="AO9" s="43">
        <f>Fasce_Tot!AJ$39</f>
        <v>0</v>
      </c>
      <c r="AP9" s="43">
        <f>Fasce_Tot!AJ$40</f>
        <v>0</v>
      </c>
      <c r="AQ9" s="43">
        <f>Fasce_Tot!AJ$41</f>
        <v>0</v>
      </c>
      <c r="AR9" s="43">
        <f>Fasce_Tot!AJ$42</f>
        <v>0</v>
      </c>
      <c r="AS9" s="43">
        <f>Fasce_Tot!AJ$43</f>
        <v>0</v>
      </c>
      <c r="AT9" s="43">
        <f>Fasce_Tot!AJ$44</f>
        <v>0</v>
      </c>
      <c r="AU9" s="43">
        <f>Fasce_Tot!AJ$45</f>
        <v>0</v>
      </c>
      <c r="AV9" s="43">
        <f>Fasce_Tot!AJ$46</f>
        <v>0</v>
      </c>
      <c r="AW9" s="43">
        <f>Fasce_Tot!AJ$47</f>
        <v>0</v>
      </c>
      <c r="AX9" s="43">
        <f>Fasce_Tot!AJ$48</f>
        <v>0</v>
      </c>
      <c r="AY9" s="43">
        <f>Fasce_Tot!AJ$49</f>
        <v>0</v>
      </c>
      <c r="AZ9" s="43">
        <f>Fasce_Tot!AJ$50</f>
        <v>0</v>
      </c>
      <c r="BA9" s="43">
        <f>Fasce_Tot!AJ$51</f>
        <v>0</v>
      </c>
      <c r="BB9" s="43">
        <f>Fasce_Tot!AJ$52</f>
        <v>0</v>
      </c>
      <c r="BC9" s="43">
        <f>Fasce_Tot!AJ$53</f>
        <v>0</v>
      </c>
      <c r="BD9" s="43">
        <f>Fasce_Tot!AJ$54</f>
        <v>0</v>
      </c>
      <c r="BE9" s="43">
        <f>Fasce_Tot!AJ$55</f>
        <v>0</v>
      </c>
      <c r="BF9" s="43">
        <f>Fasce_Tot!AJ$56</f>
        <v>0</v>
      </c>
      <c r="BG9" s="43">
        <f>Fasce_Tot!F$57</f>
        <v>0</v>
      </c>
      <c r="BH9" s="43">
        <f>Fasce_Tot!AJ$58</f>
        <v>0</v>
      </c>
      <c r="BI9" s="43">
        <f>Fasce_Tot!AJ$59</f>
        <v>0</v>
      </c>
      <c r="BJ9" s="43">
        <f>Fasce_Tot!AJ$60</f>
        <v>0</v>
      </c>
      <c r="BK9" s="43">
        <f>Fasce_Tot!AJ$61</f>
        <v>0</v>
      </c>
      <c r="BL9" s="43">
        <f>Fasce_Tot!AJ$62</f>
        <v>0</v>
      </c>
      <c r="BM9" s="43">
        <f>Fasce_Tot!AJ$63</f>
        <v>0</v>
      </c>
      <c r="BN9" s="43">
        <f>Fasce_Tot!AJ$64</f>
        <v>0</v>
      </c>
      <c r="BO9" s="43">
        <f>Fasce_Tot!AJ$65</f>
        <v>0</v>
      </c>
      <c r="BP9" s="43">
        <f>Fasce_Tot!AJ$66</f>
        <v>0</v>
      </c>
      <c r="BQ9" s="43">
        <f>SUM(Fasce_Tot!AP5:'Fasce_Tot'!AP6)</f>
        <v>0</v>
      </c>
      <c r="BR9" s="43">
        <f>SUM(Fasce_Tot!AP7:'Fasce_Tot'!AP8)</f>
        <v>0</v>
      </c>
      <c r="BS9" s="42"/>
    </row>
    <row r="10" spans="1:71" ht="45" customHeight="1" x14ac:dyDescent="0.25">
      <c r="A10" s="447" t="s">
        <v>302</v>
      </c>
      <c r="B10" s="448"/>
      <c r="C10" s="448"/>
      <c r="D10" s="448"/>
      <c r="E10" s="449"/>
      <c r="F10" s="44" t="e">
        <f>F11</f>
        <v>#REF!</v>
      </c>
      <c r="G10" s="443" t="e">
        <f>SUM(G11:J11)</f>
        <v>#REF!</v>
      </c>
      <c r="H10" s="444"/>
      <c r="I10" s="444"/>
      <c r="J10" s="445"/>
      <c r="K10" s="446" t="e">
        <f>SUM(K11:L11)</f>
        <v>#REF!</v>
      </c>
      <c r="L10" s="446"/>
      <c r="M10" s="446" t="e">
        <f>SUM(M11:N11)</f>
        <v>#REF!</v>
      </c>
      <c r="N10" s="446"/>
      <c r="O10" s="446" t="e">
        <f>SUM(O11:P11)</f>
        <v>#REF!</v>
      </c>
      <c r="P10" s="446"/>
      <c r="Q10" s="446" t="e">
        <f>SUM(Q11:R11)</f>
        <v>#REF!</v>
      </c>
      <c r="R10" s="446"/>
      <c r="S10" s="446" t="e">
        <f>SUM(S11:U11)</f>
        <v>#REF!</v>
      </c>
      <c r="T10" s="446"/>
      <c r="U10" s="446"/>
      <c r="V10" s="446" t="e">
        <f>SUM(V11:Y11)</f>
        <v>#REF!</v>
      </c>
      <c r="W10" s="446"/>
      <c r="X10" s="446"/>
      <c r="Y10" s="446"/>
      <c r="Z10" s="446" t="e">
        <f>SUM(Z11:AC11)</f>
        <v>#REF!</v>
      </c>
      <c r="AA10" s="446"/>
      <c r="AB10" s="446"/>
      <c r="AC10" s="446"/>
      <c r="AD10" s="446" t="e">
        <f>SUM(AD11:AE11)</f>
        <v>#REF!</v>
      </c>
      <c r="AE10" s="446"/>
      <c r="AF10" s="446" t="e">
        <f>SUM(AF11:AG11)</f>
        <v>#REF!</v>
      </c>
      <c r="AG10" s="446"/>
      <c r="AH10" s="446" t="e">
        <f>SUM(AH11:AI11)</f>
        <v>#REF!</v>
      </c>
      <c r="AI10" s="446"/>
      <c r="AJ10" s="446" t="e">
        <f>SUM(AJ11:AK11)</f>
        <v>#REF!</v>
      </c>
      <c r="AK10" s="446"/>
      <c r="AL10" s="446" t="e">
        <f>SUM(AL11:AN11)</f>
        <v>#REF!</v>
      </c>
      <c r="AM10" s="446"/>
      <c r="AN10" s="446"/>
      <c r="AO10" s="446" t="e">
        <f>SUM(AO11:AR11)</f>
        <v>#REF!</v>
      </c>
      <c r="AP10" s="446"/>
      <c r="AQ10" s="446"/>
      <c r="AR10" s="446"/>
      <c r="AS10" s="446" t="e">
        <f>SUM(AS11:AV11)</f>
        <v>#REF!</v>
      </c>
      <c r="AT10" s="446"/>
      <c r="AU10" s="446"/>
      <c r="AV10" s="446"/>
      <c r="AW10" s="446" t="e">
        <f>SUM(AW11:AY11)</f>
        <v>#REF!</v>
      </c>
      <c r="AX10" s="446"/>
      <c r="AY10" s="446"/>
      <c r="AZ10" s="446" t="e">
        <f>SUM(AZ11:BA11)</f>
        <v>#REF!</v>
      </c>
      <c r="BA10" s="446"/>
      <c r="BB10" s="446" t="e">
        <f>SUM(BB11:BC11)</f>
        <v>#REF!</v>
      </c>
      <c r="BC10" s="446"/>
      <c r="BD10" s="446" t="e">
        <f>SUM(BD11:BF11)</f>
        <v>#REF!</v>
      </c>
      <c r="BE10" s="446"/>
      <c r="BF10" s="446"/>
      <c r="BG10" s="446" t="e">
        <f>SUM(BG11:BH11)</f>
        <v>#REF!</v>
      </c>
      <c r="BH10" s="446"/>
      <c r="BI10" s="446" t="e">
        <f>SUM(BI11:BJ11)</f>
        <v>#REF!</v>
      </c>
      <c r="BJ10" s="446"/>
      <c r="BK10" s="446" t="e">
        <f>SUM(BK11:BL11)</f>
        <v>#REF!</v>
      </c>
      <c r="BL10" s="446"/>
      <c r="BM10" s="446" t="e">
        <f>SUM(BM11:BN11)</f>
        <v>#REF!</v>
      </c>
      <c r="BN10" s="446"/>
      <c r="BO10" s="446" t="e">
        <f>SUM(BO11:BP11)</f>
        <v>#REF!</v>
      </c>
      <c r="BP10" s="446"/>
      <c r="BQ10" s="446" t="e">
        <f>BQ11</f>
        <v>#REF!</v>
      </c>
      <c r="BR10" s="446"/>
      <c r="BS10" s="42"/>
    </row>
    <row r="11" spans="1:71" ht="35.1" customHeight="1" x14ac:dyDescent="0.25">
      <c r="A11" s="450"/>
      <c r="B11" s="451"/>
      <c r="C11" s="451"/>
      <c r="D11" s="451"/>
      <c r="E11" s="45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53" t="s">
        <v>36</v>
      </c>
      <c r="B12" s="454"/>
      <c r="C12" s="454"/>
      <c r="D12" s="454"/>
      <c r="E12" s="45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18" t="e">
        <f>V$4*Percentuali!$M$10</f>
        <v>#REF!</v>
      </c>
      <c r="W12" s="419"/>
      <c r="X12" s="419"/>
      <c r="Y12" s="420"/>
      <c r="Z12" s="418" t="e">
        <f>Z$4*Percentuali!$M$11</f>
        <v>#REF!</v>
      </c>
      <c r="AA12" s="419"/>
      <c r="AB12" s="419"/>
      <c r="AC12" s="420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18" t="e">
        <f>AO$4*Percentuali!$M$17</f>
        <v>#REF!</v>
      </c>
      <c r="AP12" s="419"/>
      <c r="AQ12" s="419"/>
      <c r="AR12" s="420"/>
      <c r="AS12" s="418" t="e">
        <f>AS$4*Percentuali!$M$18</f>
        <v>#REF!</v>
      </c>
      <c r="AT12" s="419"/>
      <c r="AU12" s="419"/>
      <c r="AV12" s="420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56" t="s">
        <v>183</v>
      </c>
      <c r="B13" s="457"/>
      <c r="C13" s="457"/>
      <c r="D13" s="457"/>
      <c r="E13" s="458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15" t="e">
        <f>V$4*Percentuali!$N$10</f>
        <v>#REF!</v>
      </c>
      <c r="W13" s="416"/>
      <c r="X13" s="416"/>
      <c r="Y13" s="417"/>
      <c r="Z13" s="415" t="e">
        <f>Z$4*Percentuali!$N$11</f>
        <v>#REF!</v>
      </c>
      <c r="AA13" s="416"/>
      <c r="AB13" s="416"/>
      <c r="AC13" s="417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15" t="e">
        <f>AO$4*Percentuali!$N$17</f>
        <v>#REF!</v>
      </c>
      <c r="AP13" s="416"/>
      <c r="AQ13" s="416"/>
      <c r="AR13" s="417"/>
      <c r="AS13" s="415" t="e">
        <f>AS$4*Percentuali!$N$18</f>
        <v>#REF!</v>
      </c>
      <c r="AT13" s="416"/>
      <c r="AU13" s="416"/>
      <c r="AV13" s="417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53" t="s">
        <v>304</v>
      </c>
      <c r="B14" s="454"/>
      <c r="C14" s="454"/>
      <c r="D14" s="454"/>
      <c r="E14" s="45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53" t="s">
        <v>303</v>
      </c>
      <c r="B15" s="454"/>
      <c r="C15" s="454"/>
      <c r="D15" s="454"/>
      <c r="E15" s="45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51"/>
      <c r="B16" s="52"/>
      <c r="C16" s="52"/>
      <c r="D16" s="53"/>
      <c r="E16" s="424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130"/>
    </row>
    <row r="17" spans="1:71" ht="24.95" customHeight="1" x14ac:dyDescent="0.55000000000000004">
      <c r="A17" s="268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2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130"/>
    </row>
    <row r="18" spans="1:71" ht="32.1" customHeight="1" x14ac:dyDescent="0.55000000000000004">
      <c r="A18" s="51"/>
      <c r="B18" s="52"/>
      <c r="C18" s="66"/>
      <c r="D18" s="66"/>
      <c r="E18" s="424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130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2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130"/>
    </row>
    <row r="20" spans="1:71" ht="32.1" customHeight="1" x14ac:dyDescent="0.55000000000000004">
      <c r="A20" s="51"/>
      <c r="B20" s="52"/>
      <c r="C20" s="66"/>
      <c r="D20" s="66"/>
      <c r="E20" s="424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130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2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130"/>
    </row>
    <row r="22" spans="1:71" ht="32.1" customHeight="1" thickBot="1" x14ac:dyDescent="0.6">
      <c r="A22" s="69"/>
      <c r="B22" s="69"/>
      <c r="C22" s="70"/>
      <c r="D22" s="70"/>
      <c r="E22" s="440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130"/>
    </row>
    <row r="23" spans="1:71" ht="32.1" customHeight="1" x14ac:dyDescent="0.55000000000000004">
      <c r="A23" s="72"/>
      <c r="B23" s="72"/>
      <c r="C23" s="73"/>
      <c r="D23" s="73"/>
      <c r="E23" s="423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130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2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130"/>
    </row>
    <row r="25" spans="1:71" ht="32.1" customHeight="1" x14ac:dyDescent="0.55000000000000004">
      <c r="A25" s="51"/>
      <c r="B25" s="52"/>
      <c r="C25" s="66"/>
      <c r="D25" s="66"/>
      <c r="E25" s="424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130"/>
    </row>
    <row r="26" spans="1:71" ht="24.95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24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130"/>
    </row>
    <row r="27" spans="1:71" ht="32.1" customHeight="1" x14ac:dyDescent="0.55000000000000004">
      <c r="A27" s="51"/>
      <c r="B27" s="52"/>
      <c r="C27" s="66"/>
      <c r="D27" s="66"/>
      <c r="E27" s="424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130"/>
    </row>
    <row r="28" spans="1:71" ht="24.95" customHeight="1" x14ac:dyDescent="0.55000000000000004">
      <c r="A28" s="268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2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130"/>
    </row>
    <row r="29" spans="1:71" ht="32.1" customHeight="1" x14ac:dyDescent="0.55000000000000004">
      <c r="A29" s="51"/>
      <c r="B29" s="52"/>
      <c r="C29" s="66"/>
      <c r="D29" s="66"/>
      <c r="E29" s="424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130"/>
    </row>
    <row r="30" spans="1:71" ht="24.95" customHeight="1" x14ac:dyDescent="0.55000000000000004">
      <c r="A30" s="268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2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130"/>
    </row>
    <row r="31" spans="1:71" ht="32.1" customHeight="1" thickBot="1" x14ac:dyDescent="0.6">
      <c r="A31" s="98"/>
      <c r="B31" s="99"/>
      <c r="C31" s="100"/>
      <c r="D31" s="100"/>
      <c r="E31" s="441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30"/>
    </row>
    <row r="32" spans="1:71" ht="32.1" customHeight="1" x14ac:dyDescent="0.55000000000000004">
      <c r="A32" s="103"/>
      <c r="B32" s="104"/>
      <c r="C32" s="105"/>
      <c r="D32" s="105"/>
      <c r="E32" s="439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130"/>
    </row>
    <row r="33" spans="1:71" ht="24.95" customHeight="1" x14ac:dyDescent="0.55000000000000004">
      <c r="A33" s="268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2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130"/>
    </row>
    <row r="34" spans="1:71" ht="32.1" customHeight="1" x14ac:dyDescent="0.55000000000000004">
      <c r="A34" s="51"/>
      <c r="B34" s="52"/>
      <c r="C34" s="66"/>
      <c r="D34" s="66"/>
      <c r="E34" s="424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130"/>
    </row>
    <row r="35" spans="1:71" ht="24.95" customHeight="1" x14ac:dyDescent="0.55000000000000004">
      <c r="A35" s="268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2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130"/>
    </row>
    <row r="36" spans="1:71" ht="32.1" customHeight="1" x14ac:dyDescent="0.55000000000000004">
      <c r="A36" s="51"/>
      <c r="B36" s="52"/>
      <c r="C36" s="66"/>
      <c r="D36" s="66"/>
      <c r="E36" s="424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130"/>
    </row>
    <row r="37" spans="1:71" ht="24.95" customHeight="1" x14ac:dyDescent="0.55000000000000004">
      <c r="A37" s="268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2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130"/>
    </row>
    <row r="38" spans="1:71" ht="32.1" customHeight="1" x14ac:dyDescent="0.55000000000000004">
      <c r="A38" s="51"/>
      <c r="B38" s="52"/>
      <c r="C38" s="66"/>
      <c r="D38" s="66"/>
      <c r="E38" s="424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130"/>
    </row>
    <row r="39" spans="1:71" ht="24.95" customHeight="1" x14ac:dyDescent="0.55000000000000004">
      <c r="A39" s="268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2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130"/>
    </row>
    <row r="40" spans="1:71" ht="32.1" customHeight="1" x14ac:dyDescent="0.55000000000000004">
      <c r="A40" s="51"/>
      <c r="B40" s="52"/>
      <c r="C40" s="66"/>
      <c r="D40" s="66"/>
      <c r="E40" s="424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130"/>
    </row>
    <row r="41" spans="1:71" ht="24.95" customHeight="1" x14ac:dyDescent="0.55000000000000004">
      <c r="A41" s="268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2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130"/>
    </row>
    <row r="42" spans="1:71" ht="32.1" customHeight="1" x14ac:dyDescent="0.55000000000000004">
      <c r="A42" s="51"/>
      <c r="B42" s="52"/>
      <c r="C42" s="66"/>
      <c r="D42" s="66"/>
      <c r="E42" s="424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130"/>
    </row>
    <row r="43" spans="1:71" ht="24.95" customHeight="1" x14ac:dyDescent="0.55000000000000004">
      <c r="A43" s="268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2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130"/>
    </row>
    <row r="44" spans="1:71" ht="32.1" customHeight="1" x14ac:dyDescent="0.55000000000000004">
      <c r="A44" s="51"/>
      <c r="B44" s="52"/>
      <c r="C44" s="66"/>
      <c r="D44" s="66"/>
      <c r="E44" s="424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130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2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130"/>
    </row>
    <row r="46" spans="1:71" ht="32.1" customHeight="1" thickBot="1" x14ac:dyDescent="0.6">
      <c r="A46" s="68"/>
      <c r="B46" s="69"/>
      <c r="C46" s="70"/>
      <c r="D46" s="70"/>
      <c r="E46" s="440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130"/>
    </row>
    <row r="47" spans="1:71" ht="32.1" customHeight="1" x14ac:dyDescent="0.55000000000000004">
      <c r="A47" s="71"/>
      <c r="B47" s="72"/>
      <c r="C47" s="73"/>
      <c r="D47" s="73"/>
      <c r="E47" s="423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130"/>
    </row>
    <row r="48" spans="1:71" ht="24.95" customHeight="1" x14ac:dyDescent="0.55000000000000004">
      <c r="A48" s="60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2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130"/>
    </row>
    <row r="49" spans="1:71" ht="32.1" customHeight="1" x14ac:dyDescent="0.55000000000000004">
      <c r="A49" s="51"/>
      <c r="B49" s="52"/>
      <c r="C49" s="66"/>
      <c r="D49" s="66"/>
      <c r="E49" s="424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130"/>
    </row>
    <row r="50" spans="1:71" ht="24.95" customHeight="1" x14ac:dyDescent="0.55000000000000004">
      <c r="A50" s="268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2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130"/>
    </row>
    <row r="51" spans="1:71" ht="32.1" customHeight="1" x14ac:dyDescent="0.55000000000000004">
      <c r="A51" s="51"/>
      <c r="B51" s="52"/>
      <c r="C51" s="66"/>
      <c r="D51" s="66"/>
      <c r="E51" s="424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130"/>
    </row>
    <row r="52" spans="1:71" ht="24.95" customHeight="1" x14ac:dyDescent="0.55000000000000004">
      <c r="A52" s="273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2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130"/>
    </row>
    <row r="53" spans="1:71" ht="32.1" customHeight="1" thickBot="1" x14ac:dyDescent="0.6">
      <c r="A53" s="99"/>
      <c r="B53" s="99"/>
      <c r="C53" s="100"/>
      <c r="D53" s="100"/>
      <c r="E53" s="441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30"/>
    </row>
    <row r="54" spans="1:71" ht="32.1" customHeight="1" x14ac:dyDescent="0.55000000000000004">
      <c r="A54" s="104"/>
      <c r="B54" s="104"/>
      <c r="C54" s="105"/>
      <c r="D54" s="105"/>
      <c r="E54" s="439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130"/>
    </row>
    <row r="55" spans="1:71" ht="24.95" customHeight="1" x14ac:dyDescent="0.55000000000000004">
      <c r="A55" s="155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24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130"/>
    </row>
    <row r="56" spans="1:71" ht="32.1" customHeight="1" x14ac:dyDescent="0.55000000000000004">
      <c r="A56" s="52"/>
      <c r="B56" s="52"/>
      <c r="C56" s="66"/>
      <c r="D56" s="66"/>
      <c r="E56" s="424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130"/>
    </row>
    <row r="57" spans="1:71" ht="24.95" customHeight="1" x14ac:dyDescent="0.55000000000000004">
      <c r="A57" s="274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24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130"/>
    </row>
    <row r="58" spans="1:71" ht="32.1" customHeight="1" x14ac:dyDescent="0.55000000000000004">
      <c r="A58" s="52"/>
      <c r="B58" s="52"/>
      <c r="C58" s="66"/>
      <c r="D58" s="66"/>
      <c r="E58" s="424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130"/>
    </row>
    <row r="59" spans="1:71" ht="24.95" customHeight="1" x14ac:dyDescent="0.55000000000000004">
      <c r="A59" s="155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24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130"/>
    </row>
    <row r="60" spans="1:71" ht="32.1" customHeight="1" x14ac:dyDescent="0.55000000000000004">
      <c r="A60" s="52"/>
      <c r="B60" s="52"/>
      <c r="C60" s="66"/>
      <c r="D60" s="66"/>
      <c r="E60" s="424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130"/>
    </row>
    <row r="61" spans="1:71" ht="24.95" customHeight="1" x14ac:dyDescent="0.55000000000000004">
      <c r="A61" s="155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24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130"/>
    </row>
    <row r="62" spans="1:71" ht="32.1" customHeight="1" x14ac:dyDescent="0.55000000000000004">
      <c r="A62" s="52"/>
      <c r="B62" s="52"/>
      <c r="C62" s="66"/>
      <c r="D62" s="66"/>
      <c r="E62" s="424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130"/>
    </row>
    <row r="63" spans="1:71" ht="24.95" customHeight="1" x14ac:dyDescent="0.55000000000000004">
      <c r="A63" s="155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24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130"/>
    </row>
    <row r="64" spans="1:71" ht="32.1" customHeight="1" x14ac:dyDescent="0.55000000000000004">
      <c r="A64" s="52"/>
      <c r="B64" s="52"/>
      <c r="C64" s="66"/>
      <c r="D64" s="66"/>
      <c r="E64" s="424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130"/>
    </row>
    <row r="65" spans="1:71" ht="24.95" customHeight="1" x14ac:dyDescent="0.55000000000000004">
      <c r="A65" s="155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24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130"/>
    </row>
    <row r="66" spans="1:71" ht="32.1" customHeight="1" thickBot="1" x14ac:dyDescent="0.6">
      <c r="A66" s="69"/>
      <c r="B66" s="69"/>
      <c r="C66" s="70"/>
      <c r="D66" s="70"/>
      <c r="E66" s="440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130"/>
    </row>
    <row r="67" spans="1:71" ht="32.1" customHeight="1" x14ac:dyDescent="0.55000000000000004">
      <c r="A67" s="72"/>
      <c r="B67" s="72"/>
      <c r="C67" s="73"/>
      <c r="D67" s="73"/>
      <c r="E67" s="423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130"/>
    </row>
    <row r="68" spans="1:71" ht="24.95" customHeight="1" x14ac:dyDescent="0.55000000000000004">
      <c r="A68" s="60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2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130"/>
    </row>
    <row r="69" spans="1:71" ht="32.1" customHeight="1" x14ac:dyDescent="0.55000000000000004">
      <c r="A69" s="51"/>
      <c r="B69" s="52"/>
      <c r="C69" s="66"/>
      <c r="D69" s="66"/>
      <c r="E69" s="424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130"/>
    </row>
    <row r="70" spans="1:71" ht="24.95" customHeight="1" x14ac:dyDescent="0.55000000000000004">
      <c r="A70" s="60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24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130"/>
    </row>
    <row r="71" spans="1:71" ht="32.1" customHeight="1" x14ac:dyDescent="0.55000000000000004">
      <c r="A71" s="51"/>
      <c r="B71" s="52"/>
      <c r="C71" s="66"/>
      <c r="D71" s="66"/>
      <c r="E71" s="424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130"/>
    </row>
    <row r="72" spans="1:71" ht="24.95" customHeight="1" x14ac:dyDescent="0.55000000000000004">
      <c r="A72" s="268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24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130"/>
    </row>
    <row r="73" spans="1:71" ht="32.1" customHeight="1" x14ac:dyDescent="0.55000000000000004">
      <c r="A73" s="51"/>
      <c r="B73" s="52"/>
      <c r="C73" s="66"/>
      <c r="D73" s="66"/>
      <c r="E73" s="424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130"/>
    </row>
    <row r="74" spans="1:71" ht="24.95" customHeight="1" x14ac:dyDescent="0.55000000000000004">
      <c r="A74" s="268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24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130"/>
    </row>
    <row r="75" spans="1:71" ht="32.1" customHeight="1" x14ac:dyDescent="0.55000000000000004">
      <c r="A75" s="51"/>
      <c r="B75" s="52"/>
      <c r="C75" s="66"/>
      <c r="D75" s="66"/>
      <c r="E75" s="424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130"/>
    </row>
    <row r="76" spans="1:71" ht="24.95" customHeight="1" x14ac:dyDescent="0.55000000000000004">
      <c r="A76" s="60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24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130"/>
    </row>
    <row r="77" spans="1:71" ht="32.1" customHeight="1" x14ac:dyDescent="0.55000000000000004">
      <c r="A77" s="51"/>
      <c r="B77" s="52"/>
      <c r="C77" s="66"/>
      <c r="D77" s="66"/>
      <c r="E77" s="424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130"/>
    </row>
    <row r="78" spans="1:71" ht="24.95" customHeight="1" x14ac:dyDescent="0.55000000000000004">
      <c r="A78" s="268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24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130"/>
    </row>
    <row r="79" spans="1:71" ht="32.1" customHeight="1" thickBot="1" x14ac:dyDescent="0.6">
      <c r="A79" s="98"/>
      <c r="B79" s="99"/>
      <c r="C79" s="100"/>
      <c r="D79" s="100"/>
      <c r="E79" s="441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130"/>
    </row>
    <row r="80" spans="1:71" ht="32.1" customHeight="1" x14ac:dyDescent="0.55000000000000004">
      <c r="A80" s="103"/>
      <c r="B80" s="104"/>
      <c r="C80" s="105"/>
      <c r="D80" s="105"/>
      <c r="E80" s="439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130"/>
    </row>
    <row r="81" spans="1:71" ht="24.95" customHeight="1" x14ac:dyDescent="0.55000000000000004">
      <c r="A81" s="268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2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130"/>
    </row>
    <row r="82" spans="1:71" ht="32.1" customHeight="1" x14ac:dyDescent="0.55000000000000004">
      <c r="A82" s="51"/>
      <c r="B82" s="52"/>
      <c r="C82" s="66"/>
      <c r="D82" s="66"/>
      <c r="E82" s="42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130"/>
    </row>
    <row r="83" spans="1:71" ht="24.95" customHeight="1" x14ac:dyDescent="0.55000000000000004">
      <c r="A83" s="268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24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130"/>
    </row>
    <row r="84" spans="1:71" ht="32.1" customHeight="1" x14ac:dyDescent="0.55000000000000004">
      <c r="A84" s="51"/>
      <c r="B84" s="52"/>
      <c r="C84" s="66"/>
      <c r="D84" s="66"/>
      <c r="E84" s="424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130"/>
    </row>
    <row r="85" spans="1:71" ht="24.95" customHeight="1" x14ac:dyDescent="0.55000000000000004">
      <c r="A85" s="60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2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130"/>
    </row>
    <row r="86" spans="1:71" ht="32.1" customHeight="1" thickBot="1" x14ac:dyDescent="0.6">
      <c r="A86" s="69"/>
      <c r="B86" s="69"/>
      <c r="C86" s="70"/>
      <c r="D86" s="70"/>
      <c r="E86" s="440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130"/>
    </row>
    <row r="87" spans="1:71" ht="32.1" customHeight="1" x14ac:dyDescent="0.55000000000000004">
      <c r="A87" s="72"/>
      <c r="B87" s="72"/>
      <c r="C87" s="73"/>
      <c r="D87" s="73"/>
      <c r="E87" s="423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130"/>
    </row>
    <row r="88" spans="1:71" ht="24.95" customHeight="1" x14ac:dyDescent="0.55000000000000004">
      <c r="A88" s="268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2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130"/>
    </row>
    <row r="89" spans="1:71" ht="32.1" customHeight="1" x14ac:dyDescent="0.55000000000000004">
      <c r="A89" s="51"/>
      <c r="B89" s="52"/>
      <c r="C89" s="66"/>
      <c r="D89" s="66"/>
      <c r="E89" s="42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130"/>
    </row>
    <row r="90" spans="1:71" ht="24.95" customHeight="1" x14ac:dyDescent="0.55000000000000004">
      <c r="A90" s="268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2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130"/>
    </row>
    <row r="91" spans="1:71" ht="32.1" customHeight="1" x14ac:dyDescent="0.55000000000000004">
      <c r="A91" s="51"/>
      <c r="B91" s="52"/>
      <c r="C91" s="66"/>
      <c r="D91" s="66"/>
      <c r="E91" s="42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130"/>
    </row>
    <row r="92" spans="1:71" ht="24.95" customHeight="1" x14ac:dyDescent="0.55000000000000004">
      <c r="A92" s="268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2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130"/>
    </row>
    <row r="93" spans="1:71" s="117" customFormat="1" ht="32.1" customHeight="1" x14ac:dyDescent="0.55000000000000004">
      <c r="A93" s="51"/>
      <c r="B93" s="52"/>
      <c r="C93" s="66"/>
      <c r="D93" s="66"/>
      <c r="E93" s="42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52"/>
    </row>
    <row r="94" spans="1:71" ht="24.95" customHeight="1" x14ac:dyDescent="0.55000000000000004">
      <c r="A94" s="60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2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130"/>
    </row>
    <row r="95" spans="1:71" s="117" customFormat="1" ht="32.1" customHeight="1" x14ac:dyDescent="0.55000000000000004">
      <c r="A95" s="51"/>
      <c r="B95" s="52"/>
      <c r="C95" s="66"/>
      <c r="D95" s="66"/>
      <c r="E95" s="42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52"/>
    </row>
    <row r="96" spans="1:71" ht="24.95" customHeight="1" x14ac:dyDescent="0.55000000000000004">
      <c r="A96" s="60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2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130"/>
    </row>
    <row r="97" spans="1:71" s="117" customFormat="1" ht="32.1" customHeight="1" x14ac:dyDescent="0.55000000000000004">
      <c r="A97" s="51"/>
      <c r="B97" s="52"/>
      <c r="C97" s="66"/>
      <c r="D97" s="66"/>
      <c r="E97" s="42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52"/>
    </row>
    <row r="98" spans="1:71" ht="24.95" customHeight="1" x14ac:dyDescent="0.55000000000000004">
      <c r="A98" s="268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2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130"/>
    </row>
    <row r="99" spans="1:71" ht="32.1" customHeight="1" x14ac:dyDescent="0.55000000000000004">
      <c r="A99" s="51"/>
      <c r="B99" s="52"/>
      <c r="C99" s="66"/>
      <c r="D99" s="66"/>
      <c r="E99" s="42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130"/>
    </row>
    <row r="100" spans="1:71" ht="24.95" customHeight="1" x14ac:dyDescent="0.55000000000000004">
      <c r="A100" s="268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2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130"/>
    </row>
    <row r="101" spans="1:71" ht="32.1" customHeight="1" x14ac:dyDescent="0.55000000000000004">
      <c r="A101" s="51"/>
      <c r="B101" s="52"/>
      <c r="C101" s="66"/>
      <c r="D101" s="66"/>
      <c r="E101" s="42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130"/>
    </row>
    <row r="102" spans="1:71" ht="24.95" customHeight="1" x14ac:dyDescent="0.55000000000000004">
      <c r="A102" s="268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2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130"/>
    </row>
    <row r="103" spans="1:71" ht="32.1" customHeight="1" x14ac:dyDescent="0.55000000000000004">
      <c r="A103" s="51"/>
      <c r="B103" s="52"/>
      <c r="C103" s="66"/>
      <c r="D103" s="66"/>
      <c r="E103" s="42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130"/>
    </row>
    <row r="104" spans="1:71" ht="24.95" customHeight="1" x14ac:dyDescent="0.55000000000000004">
      <c r="A104" s="268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2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130"/>
    </row>
    <row r="105" spans="1:71" ht="32.1" customHeight="1" x14ac:dyDescent="0.55000000000000004">
      <c r="A105" s="51"/>
      <c r="B105" s="52"/>
      <c r="C105" s="66"/>
      <c r="D105" s="66"/>
      <c r="E105" s="42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130"/>
    </row>
    <row r="106" spans="1:71" ht="24.95" customHeight="1" x14ac:dyDescent="0.55000000000000004">
      <c r="A106" s="60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2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130"/>
    </row>
    <row r="107" spans="1:71" ht="32.1" customHeight="1" x14ac:dyDescent="0.55000000000000004">
      <c r="A107" s="51"/>
      <c r="B107" s="52"/>
      <c r="C107" s="66"/>
      <c r="D107" s="66"/>
      <c r="E107" s="42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130"/>
    </row>
    <row r="108" spans="1:71" ht="24.6" customHeight="1" x14ac:dyDescent="0.55000000000000004">
      <c r="A108" s="60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2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130"/>
    </row>
    <row r="109" spans="1:71" ht="31.9" customHeight="1" thickBot="1" x14ac:dyDescent="0.6">
      <c r="A109" s="68"/>
      <c r="B109" s="99"/>
      <c r="C109" s="100"/>
      <c r="D109" s="100"/>
      <c r="E109" s="44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130"/>
    </row>
    <row r="110" spans="1:71" ht="31.9" customHeight="1" x14ac:dyDescent="0.55000000000000004">
      <c r="A110" s="71"/>
      <c r="B110" s="104"/>
      <c r="C110" s="105"/>
      <c r="D110" s="105"/>
      <c r="E110" s="439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130"/>
    </row>
    <row r="111" spans="1:71" ht="24.6" customHeight="1" x14ac:dyDescent="0.55000000000000004">
      <c r="A111" s="268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2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130"/>
    </row>
    <row r="112" spans="1:71" ht="31.9" customHeight="1" x14ac:dyDescent="0.55000000000000004">
      <c r="A112" s="51"/>
      <c r="B112" s="52"/>
      <c r="C112" s="66"/>
      <c r="D112" s="66"/>
      <c r="E112" s="42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130"/>
    </row>
    <row r="113" spans="1:71" ht="24.6" customHeight="1" x14ac:dyDescent="0.55000000000000004">
      <c r="A113" s="268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2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130"/>
    </row>
    <row r="114" spans="1:71" ht="31.9" customHeight="1" x14ac:dyDescent="0.55000000000000004">
      <c r="A114" s="51"/>
      <c r="B114" s="52"/>
      <c r="C114" s="66"/>
      <c r="D114" s="66"/>
      <c r="E114" s="42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130"/>
    </row>
    <row r="115" spans="1:71" ht="24.6" customHeight="1" x14ac:dyDescent="0.55000000000000004">
      <c r="A115" s="268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2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130"/>
    </row>
    <row r="116" spans="1:71" ht="31.9" customHeight="1" x14ac:dyDescent="0.55000000000000004">
      <c r="A116" s="51"/>
      <c r="B116" s="52"/>
      <c r="C116" s="66"/>
      <c r="D116" s="66"/>
      <c r="E116" s="42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130"/>
    </row>
    <row r="117" spans="1:71" ht="24.6" customHeight="1" x14ac:dyDescent="0.55000000000000004">
      <c r="A117" s="60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2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130"/>
    </row>
    <row r="118" spans="1:71" ht="32.1" customHeight="1" x14ac:dyDescent="0.55000000000000004">
      <c r="A118" s="51"/>
      <c r="B118" s="52"/>
      <c r="C118" s="66"/>
      <c r="D118" s="66"/>
      <c r="E118" s="424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130"/>
    </row>
    <row r="119" spans="1:71" ht="24.95" customHeight="1" x14ac:dyDescent="0.55000000000000004">
      <c r="A119" s="268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2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130"/>
    </row>
    <row r="120" spans="1:71" ht="32.1" customHeight="1" x14ac:dyDescent="0.55000000000000004">
      <c r="B120" s="52"/>
      <c r="D120" s="66"/>
      <c r="E120" s="42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130"/>
    </row>
    <row r="121" spans="1:71" ht="24.95" customHeight="1" x14ac:dyDescent="0.55000000000000004">
      <c r="A121" s="169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2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130"/>
    </row>
    <row r="122" spans="1:71" ht="32.1" customHeight="1" x14ac:dyDescent="0.55000000000000004">
      <c r="A122" s="51"/>
      <c r="B122" s="52"/>
      <c r="C122" s="66"/>
      <c r="D122" s="66"/>
      <c r="E122" s="42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130"/>
    </row>
    <row r="123" spans="1:71" ht="24.95" customHeight="1" x14ac:dyDescent="0.55000000000000004">
      <c r="A123" s="268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2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130"/>
    </row>
    <row r="124" spans="1:71" ht="32.1" customHeight="1" x14ac:dyDescent="0.55000000000000004">
      <c r="A124" s="154"/>
      <c r="B124" s="52"/>
      <c r="C124" s="66"/>
      <c r="D124" s="66"/>
      <c r="E124" s="42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130"/>
    </row>
    <row r="125" spans="1:71" ht="24.95" customHeight="1" x14ac:dyDescent="0.55000000000000004">
      <c r="A125" s="268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2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130"/>
    </row>
    <row r="126" spans="1:71" ht="32.1" customHeight="1" x14ac:dyDescent="0.55000000000000004">
      <c r="A126" s="51"/>
      <c r="B126" s="52"/>
      <c r="C126" s="66"/>
      <c r="D126" s="66"/>
      <c r="E126" s="42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130"/>
    </row>
    <row r="127" spans="1:71" ht="24.95" customHeight="1" x14ac:dyDescent="0.55000000000000004">
      <c r="A127" s="268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2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130"/>
    </row>
    <row r="128" spans="1:71" ht="32.1" customHeight="1" x14ac:dyDescent="0.55000000000000004">
      <c r="A128" s="51"/>
      <c r="B128" s="52"/>
      <c r="C128" s="66"/>
      <c r="D128" s="66"/>
      <c r="E128" s="42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130"/>
    </row>
    <row r="129" spans="1:71" ht="24.95" customHeight="1" x14ac:dyDescent="0.55000000000000004">
      <c r="A129" s="268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2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130"/>
    </row>
    <row r="130" spans="1:71" ht="32.1" customHeight="1" x14ac:dyDescent="0.55000000000000004">
      <c r="A130" s="51"/>
      <c r="B130" s="52"/>
      <c r="C130" s="66"/>
      <c r="D130" s="66"/>
      <c r="E130" s="42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130"/>
    </row>
    <row r="131" spans="1:71" ht="24.95" customHeight="1" x14ac:dyDescent="0.55000000000000004">
      <c r="A131" s="268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2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130"/>
    </row>
    <row r="132" spans="1:71" ht="32.1" customHeight="1" x14ac:dyDescent="0.55000000000000004">
      <c r="A132" s="154"/>
      <c r="B132" s="52"/>
      <c r="C132" s="66"/>
      <c r="D132" s="66"/>
      <c r="E132" s="42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130"/>
    </row>
    <row r="133" spans="1:71" ht="24.95" customHeight="1" x14ac:dyDescent="0.55000000000000004">
      <c r="A133" s="268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2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130"/>
    </row>
    <row r="134" spans="1:71" ht="32.1" customHeight="1" x14ac:dyDescent="0.55000000000000004">
      <c r="B134" s="52"/>
      <c r="C134" s="66"/>
      <c r="D134" s="66"/>
      <c r="E134" s="42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130"/>
    </row>
    <row r="135" spans="1:71" ht="24.95" customHeight="1" x14ac:dyDescent="0.55000000000000004">
      <c r="A135" s="268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2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130"/>
    </row>
    <row r="136" spans="1:71" ht="32.1" customHeight="1" x14ac:dyDescent="0.55000000000000004">
      <c r="A136" s="51"/>
      <c r="B136" s="52"/>
      <c r="C136" s="66"/>
      <c r="D136" s="66"/>
      <c r="E136" s="42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130"/>
    </row>
    <row r="137" spans="1:71" ht="24.95" customHeight="1" x14ac:dyDescent="0.55000000000000004">
      <c r="A137" s="268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2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130"/>
    </row>
    <row r="138" spans="1:71" ht="32.1" customHeight="1" x14ac:dyDescent="0.55000000000000004">
      <c r="A138" s="154"/>
      <c r="B138" s="52"/>
      <c r="C138" s="66"/>
      <c r="D138" s="66"/>
      <c r="E138" s="42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130"/>
    </row>
    <row r="139" spans="1:71" ht="24.95" customHeight="1" x14ac:dyDescent="0.55000000000000004">
      <c r="A139" s="268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2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130"/>
    </row>
    <row r="140" spans="1:71" ht="32.1" customHeight="1" x14ac:dyDescent="0.55000000000000004">
      <c r="A140" s="51"/>
      <c r="B140" s="52"/>
      <c r="C140" s="66"/>
      <c r="D140" s="66"/>
      <c r="E140" s="42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130"/>
    </row>
    <row r="141" spans="1:71" ht="24.95" customHeight="1" x14ac:dyDescent="0.55000000000000004">
      <c r="A141" s="268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24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130"/>
    </row>
    <row r="142" spans="1:71" ht="32.1" customHeight="1" x14ac:dyDescent="0.55000000000000004">
      <c r="A142" s="51"/>
      <c r="B142" s="52"/>
      <c r="C142" s="66"/>
      <c r="D142" s="66"/>
      <c r="E142" s="42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130"/>
    </row>
    <row r="143" spans="1:71" ht="24.95" customHeight="1" x14ac:dyDescent="0.55000000000000004">
      <c r="A143" s="268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2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130"/>
    </row>
    <row r="144" spans="1:71" ht="32.1" customHeight="1" x14ac:dyDescent="0.55000000000000004">
      <c r="A144" s="51"/>
      <c r="B144" s="52"/>
      <c r="C144" s="66"/>
      <c r="D144" s="66"/>
      <c r="E144" s="42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130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2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130"/>
    </row>
    <row r="146" spans="1:71" ht="32.1" customHeight="1" x14ac:dyDescent="0.55000000000000004">
      <c r="A146" s="51"/>
      <c r="B146" s="52"/>
      <c r="C146" s="66"/>
      <c r="D146" s="66"/>
      <c r="E146" s="42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130"/>
    </row>
    <row r="147" spans="1:71" ht="24.95" customHeight="1" x14ac:dyDescent="0.55000000000000004">
      <c r="A147" s="268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2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130"/>
    </row>
    <row r="148" spans="1:71" ht="32.1" customHeight="1" x14ac:dyDescent="0.55000000000000004">
      <c r="A148" s="51"/>
      <c r="B148" s="52"/>
      <c r="C148" s="66"/>
      <c r="D148" s="66"/>
      <c r="E148" s="42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130"/>
    </row>
    <row r="149" spans="1:71" ht="24.95" customHeight="1" x14ac:dyDescent="0.55000000000000004">
      <c r="A149" s="268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2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130"/>
    </row>
    <row r="150" spans="1:71" ht="32.1" customHeight="1" x14ac:dyDescent="0.55000000000000004">
      <c r="A150" s="51"/>
      <c r="B150" s="52"/>
      <c r="C150" s="66"/>
      <c r="D150" s="66"/>
      <c r="E150" s="424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130"/>
    </row>
    <row r="151" spans="1:71" ht="24.95" customHeight="1" x14ac:dyDescent="0.55000000000000004">
      <c r="A151" s="60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2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130"/>
    </row>
    <row r="152" spans="1:71" ht="32.1" customHeight="1" x14ac:dyDescent="0.55000000000000004">
      <c r="A152" s="51"/>
      <c r="B152" s="52"/>
      <c r="C152" s="66"/>
      <c r="D152" s="66"/>
      <c r="E152" s="42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130"/>
    </row>
    <row r="153" spans="1:71" ht="24.95" customHeight="1" x14ac:dyDescent="0.55000000000000004">
      <c r="A153" s="268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2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130"/>
    </row>
    <row r="154" spans="1:71" ht="32.1" customHeight="1" thickBot="1" x14ac:dyDescent="0.6">
      <c r="A154" s="68"/>
      <c r="B154" s="69"/>
      <c r="C154" s="70"/>
      <c r="D154" s="70"/>
      <c r="E154" s="440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130"/>
    </row>
    <row r="155" spans="1:71" ht="32.1" customHeight="1" x14ac:dyDescent="0.55000000000000004">
      <c r="A155" s="71"/>
      <c r="B155" s="72"/>
      <c r="C155" s="73"/>
      <c r="D155" s="73"/>
      <c r="E155" s="423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130"/>
    </row>
    <row r="156" spans="1:71" ht="24.95" customHeight="1" x14ac:dyDescent="0.55000000000000004">
      <c r="A156" s="60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2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130"/>
    </row>
    <row r="157" spans="1:71" ht="32.1" customHeight="1" x14ac:dyDescent="0.55000000000000004">
      <c r="A157" s="51"/>
      <c r="B157" s="52"/>
      <c r="C157" s="66"/>
      <c r="D157" s="66"/>
      <c r="E157" s="42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130"/>
    </row>
    <row r="158" spans="1:71" ht="24.95" customHeight="1" x14ac:dyDescent="0.55000000000000004">
      <c r="A158" s="268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2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130"/>
    </row>
    <row r="159" spans="1:71" ht="32.1" customHeight="1" x14ac:dyDescent="0.55000000000000004">
      <c r="A159" s="51"/>
      <c r="B159" s="52"/>
      <c r="C159" s="66"/>
      <c r="D159" s="66"/>
      <c r="E159" s="424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130"/>
    </row>
    <row r="160" spans="1:71" ht="24.95" customHeight="1" x14ac:dyDescent="0.55000000000000004">
      <c r="A160" s="60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2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130"/>
    </row>
    <row r="161" spans="1:71" ht="32.1" customHeight="1" x14ac:dyDescent="0.55000000000000004">
      <c r="A161" s="51"/>
      <c r="B161" s="52"/>
      <c r="C161" s="66"/>
      <c r="D161" s="66"/>
      <c r="E161" s="42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130"/>
    </row>
    <row r="162" spans="1:71" ht="24.95" customHeight="1" x14ac:dyDescent="0.55000000000000004">
      <c r="A162" s="268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2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130"/>
    </row>
    <row r="163" spans="1:71" ht="32.1" customHeight="1" x14ac:dyDescent="0.55000000000000004">
      <c r="A163" s="51"/>
      <c r="B163" s="52"/>
      <c r="C163" s="66"/>
      <c r="D163" s="66"/>
      <c r="E163" s="42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130"/>
    </row>
    <row r="164" spans="1:71" ht="24.95" customHeight="1" x14ac:dyDescent="0.55000000000000004">
      <c r="A164" s="109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2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130"/>
    </row>
    <row r="165" spans="1:71" ht="32.1" customHeight="1" x14ac:dyDescent="0.55000000000000004">
      <c r="A165" s="51"/>
      <c r="B165" s="52"/>
      <c r="C165" s="52"/>
      <c r="D165" s="52"/>
      <c r="E165" s="424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130"/>
    </row>
    <row r="166" spans="1:71" ht="42.75" customHeight="1" x14ac:dyDescent="0.25">
      <c r="A166" s="427" t="s">
        <v>259</v>
      </c>
      <c r="B166" s="428"/>
      <c r="C166" s="428"/>
      <c r="D166" s="428"/>
      <c r="E166" s="429"/>
      <c r="F166" s="201">
        <f t="shared" ref="F166:K166" si="1">(COUNTIF(F16:F165,"N")+COUNTIF(F16:F165,"I"))</f>
        <v>0</v>
      </c>
      <c r="G166" s="201">
        <f t="shared" si="1"/>
        <v>0</v>
      </c>
      <c r="H166" s="201">
        <f t="shared" si="1"/>
        <v>0</v>
      </c>
      <c r="I166" s="201">
        <f t="shared" si="1"/>
        <v>0</v>
      </c>
      <c r="J166" s="201">
        <f t="shared" si="1"/>
        <v>0</v>
      </c>
      <c r="K166" s="201">
        <f t="shared" si="1"/>
        <v>0</v>
      </c>
      <c r="L166" s="201">
        <f>(COUNTIF(L16:L165,"N")+COUNTIF(L16:L165,"I"))/2</f>
        <v>0.5</v>
      </c>
      <c r="M166" s="201">
        <f>(COUNTIF(M16:M165,"N")+COUNTIF(M16:M165,"I"))</f>
        <v>1</v>
      </c>
      <c r="N166" s="201">
        <f>(COUNTIF(N16:N165,"N")+COUNTIF(N16:N165,"I"))</f>
        <v>1</v>
      </c>
      <c r="O166" s="201">
        <f>(COUNTIF(O14:O163,"N")+COUNTIF(O14:O163,"I"))</f>
        <v>1</v>
      </c>
      <c r="P166" s="201">
        <f>(COUNTIF(P16:P165,"N")+COUNTIF(P16:P165,"I"))</f>
        <v>1</v>
      </c>
      <c r="Q166" s="201">
        <f>(COUNTIF(Q16:Q165,"N")+COUNTIF(Q16:Q165,"I"))</f>
        <v>1</v>
      </c>
      <c r="R166" s="201">
        <f>(COUNTIF(R16:R165,"N")+COUNTIF(R16:R165,"I"))</f>
        <v>1</v>
      </c>
      <c r="S166" s="201">
        <f t="shared" ref="S166:AX166" si="2">(COUNTIF(S14:S163,"N")+COUNTIF(S14:S163,"I"))</f>
        <v>0</v>
      </c>
      <c r="T166" s="201">
        <f t="shared" si="2"/>
        <v>1</v>
      </c>
      <c r="U166" s="201">
        <f t="shared" si="2"/>
        <v>1</v>
      </c>
      <c r="V166" s="201">
        <f t="shared" si="2"/>
        <v>1</v>
      </c>
      <c r="W166" s="201">
        <f t="shared" si="2"/>
        <v>1</v>
      </c>
      <c r="X166" s="201">
        <f t="shared" si="2"/>
        <v>1</v>
      </c>
      <c r="Y166" s="201">
        <f t="shared" si="2"/>
        <v>1</v>
      </c>
      <c r="Z166" s="201">
        <f t="shared" si="2"/>
        <v>1</v>
      </c>
      <c r="AA166" s="201">
        <f t="shared" si="2"/>
        <v>1</v>
      </c>
      <c r="AB166" s="201">
        <f t="shared" si="2"/>
        <v>1</v>
      </c>
      <c r="AC166" s="201">
        <f t="shared" si="2"/>
        <v>0</v>
      </c>
      <c r="AD166" s="201">
        <f t="shared" si="2"/>
        <v>0</v>
      </c>
      <c r="AE166" s="201">
        <f t="shared" si="2"/>
        <v>0</v>
      </c>
      <c r="AF166" s="201">
        <f t="shared" si="2"/>
        <v>0</v>
      </c>
      <c r="AG166" s="201">
        <f t="shared" si="2"/>
        <v>0</v>
      </c>
      <c r="AH166" s="201">
        <f t="shared" si="2"/>
        <v>0</v>
      </c>
      <c r="AI166" s="201">
        <f t="shared" si="2"/>
        <v>0</v>
      </c>
      <c r="AJ166" s="201">
        <f t="shared" si="2"/>
        <v>0</v>
      </c>
      <c r="AK166" s="201">
        <f t="shared" si="2"/>
        <v>0</v>
      </c>
      <c r="AL166" s="201">
        <f t="shared" si="2"/>
        <v>0</v>
      </c>
      <c r="AM166" s="201">
        <f t="shared" si="2"/>
        <v>0</v>
      </c>
      <c r="AN166" s="201">
        <f t="shared" si="2"/>
        <v>0</v>
      </c>
      <c r="AO166" s="201">
        <f t="shared" si="2"/>
        <v>0</v>
      </c>
      <c r="AP166" s="201">
        <f t="shared" si="2"/>
        <v>0</v>
      </c>
      <c r="AQ166" s="201">
        <f t="shared" si="2"/>
        <v>0</v>
      </c>
      <c r="AR166" s="201">
        <f t="shared" si="2"/>
        <v>0</v>
      </c>
      <c r="AS166" s="201">
        <f t="shared" si="2"/>
        <v>0</v>
      </c>
      <c r="AT166" s="201">
        <f t="shared" si="2"/>
        <v>0</v>
      </c>
      <c r="AU166" s="201">
        <f t="shared" si="2"/>
        <v>0</v>
      </c>
      <c r="AV166" s="201">
        <f t="shared" si="2"/>
        <v>0</v>
      </c>
      <c r="AW166" s="201">
        <f t="shared" si="2"/>
        <v>0</v>
      </c>
      <c r="AX166" s="201">
        <f t="shared" si="2"/>
        <v>0</v>
      </c>
      <c r="AY166" s="201">
        <f t="shared" ref="AY166:BR166" si="3">(COUNTIF(AY14:AY163,"N")+COUNTIF(AY14:AY163,"I"))</f>
        <v>0</v>
      </c>
      <c r="AZ166" s="201">
        <f t="shared" si="3"/>
        <v>0</v>
      </c>
      <c r="BA166" s="201">
        <f t="shared" si="3"/>
        <v>0</v>
      </c>
      <c r="BB166" s="201">
        <f t="shared" si="3"/>
        <v>0</v>
      </c>
      <c r="BC166" s="201">
        <f t="shared" si="3"/>
        <v>0</v>
      </c>
      <c r="BD166" s="201">
        <f t="shared" si="3"/>
        <v>0</v>
      </c>
      <c r="BE166" s="201">
        <f t="shared" si="3"/>
        <v>0</v>
      </c>
      <c r="BF166" s="201">
        <f t="shared" si="3"/>
        <v>0</v>
      </c>
      <c r="BG166" s="201">
        <f t="shared" si="3"/>
        <v>0</v>
      </c>
      <c r="BH166" s="201">
        <f t="shared" si="3"/>
        <v>0</v>
      </c>
      <c r="BI166" s="201">
        <f t="shared" si="3"/>
        <v>0</v>
      </c>
      <c r="BJ166" s="201">
        <f t="shared" si="3"/>
        <v>0</v>
      </c>
      <c r="BK166" s="201">
        <f t="shared" si="3"/>
        <v>0</v>
      </c>
      <c r="BL166" s="201">
        <f t="shared" si="3"/>
        <v>0</v>
      </c>
      <c r="BM166" s="201">
        <f t="shared" si="3"/>
        <v>0</v>
      </c>
      <c r="BN166" s="201">
        <f t="shared" si="3"/>
        <v>0</v>
      </c>
      <c r="BO166" s="201">
        <f t="shared" si="3"/>
        <v>0</v>
      </c>
      <c r="BP166" s="201">
        <f t="shared" si="3"/>
        <v>0</v>
      </c>
      <c r="BQ166" s="201">
        <f t="shared" si="3"/>
        <v>0</v>
      </c>
      <c r="BR166" s="201">
        <f t="shared" si="3"/>
        <v>0</v>
      </c>
      <c r="BS166" s="130"/>
    </row>
    <row r="167" spans="1:71" ht="45" customHeight="1" x14ac:dyDescent="0.25">
      <c r="A167" s="425" t="s">
        <v>42</v>
      </c>
      <c r="B167" s="426"/>
      <c r="C167" s="426"/>
      <c r="D167" s="426"/>
      <c r="E167" s="426"/>
      <c r="F167" s="124">
        <f>F168</f>
        <v>0</v>
      </c>
      <c r="G167" s="422">
        <f>SUM(G168:J168)</f>
        <v>0</v>
      </c>
      <c r="H167" s="422"/>
      <c r="I167" s="422"/>
      <c r="J167" s="422"/>
      <c r="K167" s="422">
        <f>SUM(K168:L168)</f>
        <v>0.5</v>
      </c>
      <c r="L167" s="422"/>
      <c r="M167" s="422">
        <f>SUM(M168:N168)</f>
        <v>1</v>
      </c>
      <c r="N167" s="422"/>
      <c r="O167" s="422">
        <f>SUM(O168:P168)</f>
        <v>1</v>
      </c>
      <c r="P167" s="422"/>
      <c r="Q167" s="422">
        <f>SUM(Q168:R168)</f>
        <v>1</v>
      </c>
      <c r="R167" s="422"/>
      <c r="S167" s="422">
        <f>SUM(S168:U168)</f>
        <v>0.5</v>
      </c>
      <c r="T167" s="422"/>
      <c r="U167" s="422"/>
      <c r="V167" s="422">
        <f>SUM(V168:Y168)</f>
        <v>1</v>
      </c>
      <c r="W167" s="422"/>
      <c r="X167" s="422"/>
      <c r="Y167" s="422"/>
      <c r="Z167" s="422">
        <f>SUM(Z168:AC168)</f>
        <v>0.75</v>
      </c>
      <c r="AA167" s="422"/>
      <c r="AB167" s="422"/>
      <c r="AC167" s="422"/>
      <c r="AD167" s="422">
        <f>SUM(AD168:AE168)</f>
        <v>0</v>
      </c>
      <c r="AE167" s="422"/>
      <c r="AF167" s="422">
        <f>SUM(AF168:AG168)</f>
        <v>0</v>
      </c>
      <c r="AG167" s="422"/>
      <c r="AH167" s="422">
        <f>SUM(AH168:AI168)</f>
        <v>0</v>
      </c>
      <c r="AI167" s="422"/>
      <c r="AJ167" s="422">
        <f>SUM(AJ168:AK168)</f>
        <v>0</v>
      </c>
      <c r="AK167" s="422"/>
      <c r="AL167" s="422">
        <f>SUM(AL168:AN168)</f>
        <v>0</v>
      </c>
      <c r="AM167" s="422"/>
      <c r="AN167" s="422"/>
      <c r="AO167" s="422">
        <f>SUM(AO168:AR168)</f>
        <v>0</v>
      </c>
      <c r="AP167" s="422"/>
      <c r="AQ167" s="422"/>
      <c r="AR167" s="422"/>
      <c r="AS167" s="422">
        <f>SUM(AS168:AV168)</f>
        <v>0</v>
      </c>
      <c r="AT167" s="422"/>
      <c r="AU167" s="422"/>
      <c r="AV167" s="422"/>
      <c r="AW167" s="422">
        <f>SUM(AW168:AY168)</f>
        <v>0</v>
      </c>
      <c r="AX167" s="422"/>
      <c r="AY167" s="422"/>
      <c r="AZ167" s="422">
        <f>SUM(AZ168:BA168)</f>
        <v>0</v>
      </c>
      <c r="BA167" s="422"/>
      <c r="BB167" s="422">
        <f>SUM(BB168:BC168)</f>
        <v>0</v>
      </c>
      <c r="BC167" s="422"/>
      <c r="BD167" s="422">
        <f>SUM(BD168:BF168)</f>
        <v>0</v>
      </c>
      <c r="BE167" s="422"/>
      <c r="BF167" s="422"/>
      <c r="BG167" s="422">
        <f>SUM(BG168:BH168)</f>
        <v>0</v>
      </c>
      <c r="BH167" s="422"/>
      <c r="BI167" s="422">
        <f>SUM(BI168:BJ168)</f>
        <v>0</v>
      </c>
      <c r="BJ167" s="422"/>
      <c r="BK167" s="422">
        <f>SUM(BK168:BL168)</f>
        <v>0</v>
      </c>
      <c r="BL167" s="422"/>
      <c r="BM167" s="422">
        <f>SUM(BM168:BN168)</f>
        <v>0</v>
      </c>
      <c r="BN167" s="422"/>
      <c r="BO167" s="422">
        <f>SUM(BO168:BP168)</f>
        <v>0</v>
      </c>
      <c r="BP167" s="422"/>
      <c r="BQ167" s="422">
        <f>SUM(BQ168:BR168)</f>
        <v>0</v>
      </c>
      <c r="BR167" s="422"/>
      <c r="BS167" s="130"/>
    </row>
    <row r="168" spans="1:71" ht="51" customHeight="1" x14ac:dyDescent="0.25">
      <c r="A168" s="425"/>
      <c r="B168" s="426"/>
      <c r="C168" s="426"/>
      <c r="D168" s="426"/>
      <c r="E168" s="426"/>
      <c r="F168" s="125">
        <f>(COUNTIF(F16:F165,"N")+COUNTIF(F16:F165,"I"))/4</f>
        <v>0</v>
      </c>
      <c r="G168" s="125">
        <f>(COUNTIF(G16:G165,"N")+COUNTIF(G16:G165,"I"))/4</f>
        <v>0</v>
      </c>
      <c r="H168" s="125">
        <f>(COUNTIF(H16:H165,"N")+COUNTIF(H16:H165,"I"))/4</f>
        <v>0</v>
      </c>
      <c r="I168" s="125">
        <f>(COUNTIF(I16:I165,"N")+COUNTIF(I16:I165,"I"))/4</f>
        <v>0</v>
      </c>
      <c r="J168" s="125">
        <f>(COUNTIF(J16:J165,"N")+COUNTIF(J16:J165,"I"))/4</f>
        <v>0</v>
      </c>
      <c r="K168" s="125">
        <f t="shared" ref="K168:S168" si="4">(COUNTIF(K16:K165,"N")+COUNTIF(K16:K165,"I"))/2</f>
        <v>0</v>
      </c>
      <c r="L168" s="125">
        <f t="shared" si="4"/>
        <v>0.5</v>
      </c>
      <c r="M168" s="125">
        <f t="shared" si="4"/>
        <v>0.5</v>
      </c>
      <c r="N168" s="125">
        <f t="shared" si="4"/>
        <v>0.5</v>
      </c>
      <c r="O168" s="125">
        <f t="shared" si="4"/>
        <v>0.5</v>
      </c>
      <c r="P168" s="125">
        <f t="shared" si="4"/>
        <v>0.5</v>
      </c>
      <c r="Q168" s="125">
        <f t="shared" si="4"/>
        <v>0.5</v>
      </c>
      <c r="R168" s="125">
        <f t="shared" si="4"/>
        <v>0.5</v>
      </c>
      <c r="S168" s="125">
        <f t="shared" si="4"/>
        <v>0</v>
      </c>
      <c r="T168" s="125">
        <f t="shared" ref="T168:AC168" si="5">(COUNTIF(T16:T165,"N")+COUNTIF(T16:T165,"I"))/4</f>
        <v>0.25</v>
      </c>
      <c r="U168" s="125">
        <f t="shared" si="5"/>
        <v>0.25</v>
      </c>
      <c r="V168" s="125">
        <f t="shared" si="5"/>
        <v>0.25</v>
      </c>
      <c r="W168" s="125">
        <f t="shared" si="5"/>
        <v>0.25</v>
      </c>
      <c r="X168" s="125">
        <f t="shared" si="5"/>
        <v>0.25</v>
      </c>
      <c r="Y168" s="125">
        <f t="shared" si="5"/>
        <v>0.25</v>
      </c>
      <c r="Z168" s="125">
        <f t="shared" si="5"/>
        <v>0.25</v>
      </c>
      <c r="AA168" s="125">
        <f t="shared" si="5"/>
        <v>0.25</v>
      </c>
      <c r="AB168" s="125">
        <f t="shared" si="5"/>
        <v>0.25</v>
      </c>
      <c r="AC168" s="125">
        <f t="shared" si="5"/>
        <v>0</v>
      </c>
      <c r="AD168" s="125">
        <f t="shared" ref="AD168:AL168" si="6">(COUNTIF(AD16:AD165,"N")+COUNTIF(AD16:AD165,"I"))/2</f>
        <v>0</v>
      </c>
      <c r="AE168" s="125">
        <f t="shared" si="6"/>
        <v>0</v>
      </c>
      <c r="AF168" s="125">
        <f t="shared" si="6"/>
        <v>0</v>
      </c>
      <c r="AG168" s="125">
        <f t="shared" si="6"/>
        <v>0</v>
      </c>
      <c r="AH168" s="125">
        <f t="shared" si="6"/>
        <v>0</v>
      </c>
      <c r="AI168" s="125">
        <f t="shared" si="6"/>
        <v>0</v>
      </c>
      <c r="AJ168" s="125">
        <f t="shared" si="6"/>
        <v>0</v>
      </c>
      <c r="AK168" s="125">
        <f t="shared" si="6"/>
        <v>0</v>
      </c>
      <c r="AL168" s="125">
        <f t="shared" si="6"/>
        <v>0</v>
      </c>
      <c r="AM168" s="125">
        <f t="shared" ref="AM168:AX168" si="7">(COUNTIF(AM16:AM165,"N")+COUNTIF(AM16:AM165,"I"))/4</f>
        <v>0</v>
      </c>
      <c r="AN168" s="125">
        <f t="shared" si="7"/>
        <v>0</v>
      </c>
      <c r="AO168" s="125">
        <f t="shared" si="7"/>
        <v>0</v>
      </c>
      <c r="AP168" s="125">
        <f t="shared" si="7"/>
        <v>0</v>
      </c>
      <c r="AQ168" s="125">
        <f t="shared" si="7"/>
        <v>0</v>
      </c>
      <c r="AR168" s="125">
        <f t="shared" si="7"/>
        <v>0</v>
      </c>
      <c r="AS168" s="125">
        <f t="shared" si="7"/>
        <v>0</v>
      </c>
      <c r="AT168" s="125">
        <f t="shared" si="7"/>
        <v>0</v>
      </c>
      <c r="AU168" s="125">
        <f t="shared" si="7"/>
        <v>0</v>
      </c>
      <c r="AV168" s="125">
        <f t="shared" si="7"/>
        <v>0</v>
      </c>
      <c r="AW168" s="125">
        <f t="shared" si="7"/>
        <v>0</v>
      </c>
      <c r="AX168" s="125">
        <f t="shared" si="7"/>
        <v>0</v>
      </c>
      <c r="AY168" s="125">
        <f t="shared" ref="AY168:BD168" si="8">(COUNTIF(AY16:AY165,"N")+COUNTIF(AY16:AY165,"I"))/2</f>
        <v>0</v>
      </c>
      <c r="AZ168" s="125">
        <f t="shared" si="8"/>
        <v>0</v>
      </c>
      <c r="BA168" s="125">
        <f t="shared" si="8"/>
        <v>0</v>
      </c>
      <c r="BB168" s="125">
        <f t="shared" si="8"/>
        <v>0</v>
      </c>
      <c r="BC168" s="125">
        <f t="shared" si="8"/>
        <v>0</v>
      </c>
      <c r="BD168" s="125">
        <f t="shared" si="8"/>
        <v>0</v>
      </c>
      <c r="BE168" s="125">
        <f>(COUNTIF(BE16:BE165,"N")+COUNTIF(BE16:BE165,"I"))/4</f>
        <v>0</v>
      </c>
      <c r="BF168" s="125">
        <f>(COUNTIF(BF16:BF165,"N")+COUNTIF(BF16:BF165,"I"))/4</f>
        <v>0</v>
      </c>
      <c r="BG168" s="125">
        <f t="shared" ref="BG168:BR168" si="9">(COUNTIF(BG16:BG165,"N")+COUNTIF(BG16:BG165,"I"))/2</f>
        <v>0</v>
      </c>
      <c r="BH168" s="125">
        <f t="shared" si="9"/>
        <v>0</v>
      </c>
      <c r="BI168" s="125">
        <f t="shared" si="9"/>
        <v>0</v>
      </c>
      <c r="BJ168" s="125">
        <f t="shared" si="9"/>
        <v>0</v>
      </c>
      <c r="BK168" s="125">
        <f t="shared" si="9"/>
        <v>0</v>
      </c>
      <c r="BL168" s="125">
        <f t="shared" si="9"/>
        <v>0</v>
      </c>
      <c r="BM168" s="125">
        <f t="shared" si="9"/>
        <v>0</v>
      </c>
      <c r="BN168" s="125">
        <f t="shared" si="9"/>
        <v>0</v>
      </c>
      <c r="BO168" s="125">
        <f t="shared" si="9"/>
        <v>0</v>
      </c>
      <c r="BP168" s="125">
        <f t="shared" si="9"/>
        <v>0</v>
      </c>
      <c r="BQ168" s="125">
        <f t="shared" si="9"/>
        <v>0</v>
      </c>
      <c r="BR168" s="125">
        <f t="shared" si="9"/>
        <v>0</v>
      </c>
      <c r="BS168" s="130"/>
    </row>
    <row r="169" spans="1:71" ht="45" customHeight="1" x14ac:dyDescent="0.25">
      <c r="A169" s="427" t="s">
        <v>250</v>
      </c>
      <c r="B169" s="428"/>
      <c r="C169" s="428"/>
      <c r="D169" s="428"/>
      <c r="E169" s="429"/>
      <c r="F169" s="180">
        <f t="shared" ref="F169:AK169" si="10">IFERROR(F2/F167,0)</f>
        <v>0</v>
      </c>
      <c r="G169" s="484">
        <f t="shared" si="10"/>
        <v>0</v>
      </c>
      <c r="H169" s="484">
        <f t="shared" si="10"/>
        <v>0</v>
      </c>
      <c r="I169" s="484">
        <f t="shared" si="10"/>
        <v>0</v>
      </c>
      <c r="J169" s="484">
        <f t="shared" si="10"/>
        <v>0</v>
      </c>
      <c r="K169" s="484">
        <f t="shared" si="10"/>
        <v>0</v>
      </c>
      <c r="L169" s="484">
        <f t="shared" si="10"/>
        <v>0</v>
      </c>
      <c r="M169" s="484">
        <f t="shared" si="10"/>
        <v>0</v>
      </c>
      <c r="N169" s="484">
        <f t="shared" si="10"/>
        <v>0</v>
      </c>
      <c r="O169" s="484">
        <f t="shared" si="10"/>
        <v>0</v>
      </c>
      <c r="P169" s="484">
        <f t="shared" si="10"/>
        <v>0</v>
      </c>
      <c r="Q169" s="484">
        <f t="shared" si="10"/>
        <v>0</v>
      </c>
      <c r="R169" s="484">
        <f t="shared" si="10"/>
        <v>0</v>
      </c>
      <c r="S169" s="484">
        <f t="shared" si="10"/>
        <v>0</v>
      </c>
      <c r="T169" s="484">
        <f t="shared" si="10"/>
        <v>0</v>
      </c>
      <c r="U169" s="484">
        <f t="shared" si="10"/>
        <v>0</v>
      </c>
      <c r="V169" s="484">
        <f t="shared" si="10"/>
        <v>0</v>
      </c>
      <c r="W169" s="484">
        <f t="shared" si="10"/>
        <v>0</v>
      </c>
      <c r="X169" s="484">
        <f t="shared" si="10"/>
        <v>0</v>
      </c>
      <c r="Y169" s="484">
        <f t="shared" si="10"/>
        <v>0</v>
      </c>
      <c r="Z169" s="484">
        <f t="shared" si="10"/>
        <v>0</v>
      </c>
      <c r="AA169" s="484">
        <f t="shared" si="10"/>
        <v>0</v>
      </c>
      <c r="AB169" s="484">
        <f t="shared" si="10"/>
        <v>0</v>
      </c>
      <c r="AC169" s="484">
        <f t="shared" si="10"/>
        <v>0</v>
      </c>
      <c r="AD169" s="484">
        <f t="shared" si="10"/>
        <v>0</v>
      </c>
      <c r="AE169" s="484">
        <f t="shared" si="10"/>
        <v>0</v>
      </c>
      <c r="AF169" s="484">
        <f t="shared" si="10"/>
        <v>0</v>
      </c>
      <c r="AG169" s="484">
        <f t="shared" si="10"/>
        <v>0</v>
      </c>
      <c r="AH169" s="484">
        <f t="shared" si="10"/>
        <v>0</v>
      </c>
      <c r="AI169" s="484">
        <f t="shared" si="10"/>
        <v>0</v>
      </c>
      <c r="AJ169" s="484">
        <f t="shared" si="10"/>
        <v>0</v>
      </c>
      <c r="AK169" s="484">
        <f t="shared" si="10"/>
        <v>0</v>
      </c>
      <c r="AL169" s="484">
        <f t="shared" ref="AL169:BR169" si="11">IFERROR(AL2/AL167,0)</f>
        <v>0</v>
      </c>
      <c r="AM169" s="484">
        <f t="shared" si="11"/>
        <v>0</v>
      </c>
      <c r="AN169" s="484">
        <f t="shared" si="11"/>
        <v>0</v>
      </c>
      <c r="AO169" s="484">
        <f t="shared" si="11"/>
        <v>0</v>
      </c>
      <c r="AP169" s="484">
        <f t="shared" si="11"/>
        <v>0</v>
      </c>
      <c r="AQ169" s="484">
        <f t="shared" si="11"/>
        <v>0</v>
      </c>
      <c r="AR169" s="484">
        <f t="shared" si="11"/>
        <v>0</v>
      </c>
      <c r="AS169" s="484">
        <f t="shared" si="11"/>
        <v>0</v>
      </c>
      <c r="AT169" s="484">
        <f t="shared" si="11"/>
        <v>0</v>
      </c>
      <c r="AU169" s="484">
        <f t="shared" si="11"/>
        <v>0</v>
      </c>
      <c r="AV169" s="484">
        <f t="shared" si="11"/>
        <v>0</v>
      </c>
      <c r="AW169" s="484">
        <f t="shared" si="11"/>
        <v>0</v>
      </c>
      <c r="AX169" s="484">
        <f t="shared" si="11"/>
        <v>0</v>
      </c>
      <c r="AY169" s="484">
        <f t="shared" si="11"/>
        <v>0</v>
      </c>
      <c r="AZ169" s="484">
        <f t="shared" si="11"/>
        <v>0</v>
      </c>
      <c r="BA169" s="484">
        <f t="shared" si="11"/>
        <v>0</v>
      </c>
      <c r="BB169" s="484">
        <f t="shared" si="11"/>
        <v>0</v>
      </c>
      <c r="BC169" s="484">
        <f t="shared" si="11"/>
        <v>0</v>
      </c>
      <c r="BD169" s="484">
        <f t="shared" si="11"/>
        <v>0</v>
      </c>
      <c r="BE169" s="484">
        <f t="shared" si="11"/>
        <v>0</v>
      </c>
      <c r="BF169" s="484">
        <f t="shared" si="11"/>
        <v>0</v>
      </c>
      <c r="BG169" s="493">
        <f t="shared" si="11"/>
        <v>0</v>
      </c>
      <c r="BH169" s="494">
        <f t="shared" si="11"/>
        <v>0</v>
      </c>
      <c r="BI169" s="484">
        <f t="shared" si="11"/>
        <v>0</v>
      </c>
      <c r="BJ169" s="484">
        <f t="shared" si="11"/>
        <v>0</v>
      </c>
      <c r="BK169" s="484">
        <f t="shared" si="11"/>
        <v>0</v>
      </c>
      <c r="BL169" s="484">
        <f t="shared" si="11"/>
        <v>0</v>
      </c>
      <c r="BM169" s="484">
        <f t="shared" si="11"/>
        <v>0</v>
      </c>
      <c r="BN169" s="484">
        <f t="shared" si="11"/>
        <v>0</v>
      </c>
      <c r="BO169" s="484">
        <f t="shared" si="11"/>
        <v>0</v>
      </c>
      <c r="BP169" s="484">
        <f t="shared" si="11"/>
        <v>0</v>
      </c>
      <c r="BQ169" s="484">
        <f t="shared" si="11"/>
        <v>0</v>
      </c>
      <c r="BR169" s="484">
        <f t="shared" si="11"/>
        <v>0</v>
      </c>
      <c r="BS169" s="130"/>
    </row>
    <row r="170" spans="1:71" ht="45" customHeight="1" x14ac:dyDescent="0.25">
      <c r="A170" s="126"/>
      <c r="B170" s="430"/>
      <c r="C170" s="430"/>
      <c r="D170" s="406"/>
      <c r="E170" s="408"/>
      <c r="F170" s="406"/>
      <c r="G170" s="407"/>
      <c r="H170" s="407"/>
      <c r="I170" s="408"/>
      <c r="J170" s="406"/>
      <c r="K170" s="407"/>
      <c r="L170" s="407"/>
      <c r="M170" s="408"/>
      <c r="N170" s="406"/>
      <c r="O170" s="407"/>
      <c r="P170" s="407"/>
      <c r="Q170" s="408"/>
      <c r="R170" s="406"/>
      <c r="S170" s="407"/>
      <c r="T170" s="407"/>
      <c r="U170" s="408"/>
      <c r="V170" s="406"/>
      <c r="W170" s="407"/>
      <c r="X170" s="407"/>
      <c r="Y170" s="408"/>
      <c r="Z170" s="406"/>
      <c r="AA170" s="407"/>
      <c r="AB170" s="408"/>
      <c r="AC170" s="430"/>
      <c r="AD170" s="430"/>
      <c r="AE170" s="430"/>
      <c r="AF170" s="430"/>
      <c r="AG170" s="435"/>
      <c r="AH170" s="436"/>
      <c r="AI170" s="436"/>
      <c r="AJ170" s="436"/>
      <c r="AK170" s="436"/>
      <c r="AL170" s="436"/>
      <c r="AM170" s="437"/>
      <c r="AN170" s="480" t="s">
        <v>247</v>
      </c>
      <c r="AO170" s="490"/>
      <c r="AP170" s="490"/>
      <c r="AQ170" s="490"/>
      <c r="AR170" s="490"/>
      <c r="AS170" s="490"/>
      <c r="AT170" s="490"/>
      <c r="AU170" s="490"/>
      <c r="AV170" s="490"/>
      <c r="AW170" s="490"/>
      <c r="AX170" s="490"/>
      <c r="AY170" s="490"/>
      <c r="AZ170" s="490"/>
      <c r="BA170" s="490"/>
      <c r="BB170" s="490"/>
      <c r="BC170" s="490"/>
      <c r="BD170" s="490"/>
      <c r="BE170" s="490"/>
      <c r="BF170" s="490"/>
      <c r="BG170" s="490"/>
      <c r="BH170" s="490"/>
      <c r="BI170" s="490"/>
      <c r="BJ170" s="490"/>
      <c r="BK170" s="490"/>
      <c r="BL170" s="490"/>
      <c r="BM170" s="490"/>
      <c r="BN170" s="490"/>
      <c r="BO170" s="490"/>
      <c r="BP170" s="490"/>
      <c r="BQ170" s="490"/>
      <c r="BR170" s="490"/>
      <c r="BS170" s="130"/>
    </row>
    <row r="171" spans="1:71" ht="45" customHeight="1" thickBot="1" x14ac:dyDescent="0.3">
      <c r="A171" s="127">
        <f>J171/D171</f>
        <v>0</v>
      </c>
      <c r="B171" s="431">
        <f>F171/(D171+12)</f>
        <v>0</v>
      </c>
      <c r="C171" s="431"/>
      <c r="D171" s="403">
        <f>SUM(F168:BR168)+12</f>
        <v>17.75</v>
      </c>
      <c r="E171" s="404"/>
      <c r="F171" s="404">
        <f>SUM(F3:BR3)</f>
        <v>0</v>
      </c>
      <c r="G171" s="404"/>
      <c r="H171" s="404"/>
      <c r="I171" s="405"/>
      <c r="J171" s="403">
        <f>SUM(F5:BR5)</f>
        <v>0</v>
      </c>
      <c r="K171" s="404"/>
      <c r="L171" s="404"/>
      <c r="M171" s="405"/>
      <c r="N171" s="403">
        <f>SUM(F7:BR7)</f>
        <v>0</v>
      </c>
      <c r="O171" s="404"/>
      <c r="P171" s="404"/>
      <c r="Q171" s="405"/>
      <c r="R171" s="403">
        <f>SUM(F8:BR8)</f>
        <v>0</v>
      </c>
      <c r="S171" s="404"/>
      <c r="T171" s="404"/>
      <c r="U171" s="405"/>
      <c r="V171" s="403">
        <f>SUM(F9:BR9)</f>
        <v>0</v>
      </c>
      <c r="W171" s="404"/>
      <c r="X171" s="404"/>
      <c r="Y171" s="405"/>
      <c r="Z171" s="403" t="e">
        <f>SUM(F11:BR11)</f>
        <v>#REF!</v>
      </c>
      <c r="AA171" s="404"/>
      <c r="AB171" s="405"/>
      <c r="AC171" s="431" t="e">
        <f>SUM(F12:BR12)</f>
        <v>#REF!</v>
      </c>
      <c r="AD171" s="431"/>
      <c r="AE171" s="431"/>
      <c r="AF171" s="431"/>
      <c r="AG171" s="403" t="e">
        <f>SUM(F13:BR13)</f>
        <v>#REF!</v>
      </c>
      <c r="AH171" s="438"/>
      <c r="AI171" s="438"/>
      <c r="AJ171" s="438"/>
      <c r="AK171" s="438"/>
      <c r="AL171" s="438"/>
      <c r="AM171" s="405"/>
      <c r="AN171" s="491"/>
      <c r="AO171" s="492"/>
      <c r="AP171" s="492"/>
      <c r="AQ171" s="492"/>
      <c r="AR171" s="492"/>
      <c r="AS171" s="492"/>
      <c r="AT171" s="492"/>
      <c r="AU171" s="492"/>
      <c r="AV171" s="492"/>
      <c r="AW171" s="492"/>
      <c r="AX171" s="492"/>
      <c r="AY171" s="492"/>
      <c r="AZ171" s="492"/>
      <c r="BA171" s="492"/>
      <c r="BB171" s="492"/>
      <c r="BC171" s="492"/>
      <c r="BD171" s="492"/>
      <c r="BE171" s="492"/>
      <c r="BF171" s="492"/>
      <c r="BG171" s="492"/>
      <c r="BH171" s="492"/>
      <c r="BI171" s="492"/>
      <c r="BJ171" s="492"/>
      <c r="BK171" s="492"/>
      <c r="BL171" s="492"/>
      <c r="BM171" s="492"/>
      <c r="BN171" s="492"/>
      <c r="BO171" s="492"/>
      <c r="BP171" s="492"/>
      <c r="BQ171" s="492"/>
      <c r="BR171" s="492"/>
      <c r="BS171" s="130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16:E16 E17:E165 A88:A108 A111:A119 A121:A133 A135:A165 A68:A85 A17:A21 A24:A51" name="Intervallo1"/>
    <protectedRange sqref="AO170:BR171 AM170:AN170 AL171:AN171" name="Intervallo1_5"/>
    <protectedRange sqref="A86:A87 A53:A67 B17:B165 D17:D165 C17:C119 C121:C165 A22:A23" name="Intervallo1_4"/>
    <protectedRange sqref="A109:A110" name="Intervallo1_6"/>
    <protectedRange sqref="AE28:AE35 AL161:BR165 K16:M18 K19:L25 M19:M24 BR22:BR160 AM91:BJ91 BM22:BQ91 BJ22:BL54 BI84:BJ84 M142:M160 BI85:BI90 BJ87:BL90 BJ85:BJ86 BK84:BL85 AD153:AK165 AL153:BQ160 J16:J84 K26:K83 AX92:BK116 AL83:BH90 BI83 AE37:AE54 AL22:BI25 AK108:AK135 T16:BR20 AJ92:AJ137 J85:K160 L26:L160 M26:M78 N16:S54 F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F161:P165" name="Intervallo1_3"/>
    <protectedRange sqref="AL91" name="Intervallo1_2_1"/>
  </protectedRanges>
  <mergeCells count="203">
    <mergeCell ref="BQ2:BR2"/>
    <mergeCell ref="BQ4:BR4"/>
    <mergeCell ref="BQ6:BR6"/>
    <mergeCell ref="BQ10:BR10"/>
    <mergeCell ref="BQ167:BR167"/>
    <mergeCell ref="AC171:AF171"/>
    <mergeCell ref="AC170:AF170"/>
    <mergeCell ref="BD167:BF167"/>
    <mergeCell ref="BG167:BH167"/>
    <mergeCell ref="BI167:BJ167"/>
    <mergeCell ref="BK167:BL167"/>
    <mergeCell ref="BM167:BN167"/>
    <mergeCell ref="BO167:BP167"/>
    <mergeCell ref="AL167:AN167"/>
    <mergeCell ref="AO167:AR167"/>
    <mergeCell ref="AS167:AV167"/>
    <mergeCell ref="AW167:AY167"/>
    <mergeCell ref="AZ167:BA167"/>
    <mergeCell ref="BB167:BC167"/>
    <mergeCell ref="BO10:BP10"/>
    <mergeCell ref="BG4:BH4"/>
    <mergeCell ref="BI4:BJ4"/>
    <mergeCell ref="AJ167:AK167"/>
    <mergeCell ref="BO4:BP4"/>
    <mergeCell ref="B171:C171"/>
    <mergeCell ref="A169:E169"/>
    <mergeCell ref="B170:C170"/>
    <mergeCell ref="G169:J169"/>
    <mergeCell ref="K169:L169"/>
    <mergeCell ref="M169:N169"/>
    <mergeCell ref="O169:P169"/>
    <mergeCell ref="Q169:R169"/>
    <mergeCell ref="S169:U169"/>
    <mergeCell ref="D170:E170"/>
    <mergeCell ref="D171:E171"/>
    <mergeCell ref="J170:M170"/>
    <mergeCell ref="F170:I170"/>
    <mergeCell ref="F171:I171"/>
    <mergeCell ref="J171:M171"/>
    <mergeCell ref="N170:Q170"/>
    <mergeCell ref="N171:Q171"/>
    <mergeCell ref="G167:J167"/>
    <mergeCell ref="K167:L167"/>
    <mergeCell ref="M167:N167"/>
    <mergeCell ref="O167:P167"/>
    <mergeCell ref="Q167:R167"/>
    <mergeCell ref="S167:U167"/>
    <mergeCell ref="E110:E154"/>
    <mergeCell ref="E155:E165"/>
    <mergeCell ref="A167:E168"/>
    <mergeCell ref="A166:E166"/>
    <mergeCell ref="A15:E15"/>
    <mergeCell ref="E16:E22"/>
    <mergeCell ref="E23:E31"/>
    <mergeCell ref="E32:E46"/>
    <mergeCell ref="E47:E53"/>
    <mergeCell ref="E54:E66"/>
    <mergeCell ref="E67:E79"/>
    <mergeCell ref="E80:E86"/>
    <mergeCell ref="E87:E109"/>
    <mergeCell ref="A12:E12"/>
    <mergeCell ref="A13:E13"/>
    <mergeCell ref="A14:E14"/>
    <mergeCell ref="BB10:BC10"/>
    <mergeCell ref="BD10:BF10"/>
    <mergeCell ref="BG10:BH10"/>
    <mergeCell ref="BI10:BJ10"/>
    <mergeCell ref="BK10:BL10"/>
    <mergeCell ref="BM10:BN10"/>
    <mergeCell ref="AJ10:AK10"/>
    <mergeCell ref="AL10:AN10"/>
    <mergeCell ref="AD10:AE10"/>
    <mergeCell ref="AF10:AG10"/>
    <mergeCell ref="AH10:AI10"/>
    <mergeCell ref="V12:Y12"/>
    <mergeCell ref="Z12:AC12"/>
    <mergeCell ref="V13:Y13"/>
    <mergeCell ref="Z13:AC13"/>
    <mergeCell ref="AO12:AR12"/>
    <mergeCell ref="AO13:AR13"/>
    <mergeCell ref="AS12:AV12"/>
    <mergeCell ref="AS13:AV13"/>
    <mergeCell ref="G10:J10"/>
    <mergeCell ref="K10:L10"/>
    <mergeCell ref="M10:N10"/>
    <mergeCell ref="O10:P10"/>
    <mergeCell ref="Q10:R10"/>
    <mergeCell ref="AZ6:BA6"/>
    <mergeCell ref="AH6:AI6"/>
    <mergeCell ref="AJ6:AK6"/>
    <mergeCell ref="AL6:AN6"/>
    <mergeCell ref="AO6:AR6"/>
    <mergeCell ref="AS6:AV6"/>
    <mergeCell ref="AW6:AY6"/>
    <mergeCell ref="Q6:R6"/>
    <mergeCell ref="S6:U6"/>
    <mergeCell ref="AO10:AR10"/>
    <mergeCell ref="AS10:AV10"/>
    <mergeCell ref="AW10:AY10"/>
    <mergeCell ref="AZ10:BA10"/>
    <mergeCell ref="S10:U10"/>
    <mergeCell ref="V10:Y10"/>
    <mergeCell ref="Z10:AC10"/>
    <mergeCell ref="BB4:BC4"/>
    <mergeCell ref="BD4:BF4"/>
    <mergeCell ref="BM6:BN6"/>
    <mergeCell ref="BO6:BP6"/>
    <mergeCell ref="BB6:BC6"/>
    <mergeCell ref="BD6:BF6"/>
    <mergeCell ref="BG6:BH6"/>
    <mergeCell ref="BI6:BJ6"/>
    <mergeCell ref="BK6:BL6"/>
    <mergeCell ref="BK4:BL4"/>
    <mergeCell ref="BM4:BN4"/>
    <mergeCell ref="AW2:AY2"/>
    <mergeCell ref="Q2:R2"/>
    <mergeCell ref="S2:U2"/>
    <mergeCell ref="AW4:AY4"/>
    <mergeCell ref="AZ4:BA4"/>
    <mergeCell ref="Z4:AC4"/>
    <mergeCell ref="AD4:AE4"/>
    <mergeCell ref="AF4:AG4"/>
    <mergeCell ref="AH4:AI4"/>
    <mergeCell ref="AJ4:AK4"/>
    <mergeCell ref="AL4:AN4"/>
    <mergeCell ref="A8:E8"/>
    <mergeCell ref="A9:E9"/>
    <mergeCell ref="A10:E11"/>
    <mergeCell ref="BM2:BN2"/>
    <mergeCell ref="BO2:BP2"/>
    <mergeCell ref="A4:E5"/>
    <mergeCell ref="G4:J4"/>
    <mergeCell ref="K4:L4"/>
    <mergeCell ref="M4:N4"/>
    <mergeCell ref="O4:P4"/>
    <mergeCell ref="Q4:R4"/>
    <mergeCell ref="S4:U4"/>
    <mergeCell ref="V4:Y4"/>
    <mergeCell ref="AZ2:BA2"/>
    <mergeCell ref="BB2:BC2"/>
    <mergeCell ref="BD2:BF2"/>
    <mergeCell ref="BG2:BH2"/>
    <mergeCell ref="BI2:BJ2"/>
    <mergeCell ref="BK2:BL2"/>
    <mergeCell ref="AH2:AI2"/>
    <mergeCell ref="AJ2:AK2"/>
    <mergeCell ref="AL2:AN2"/>
    <mergeCell ref="AO2:AR2"/>
    <mergeCell ref="AS2:AV2"/>
    <mergeCell ref="A1:E1"/>
    <mergeCell ref="A2:E3"/>
    <mergeCell ref="G2:J2"/>
    <mergeCell ref="K2:L2"/>
    <mergeCell ref="M2:N2"/>
    <mergeCell ref="O2:P2"/>
    <mergeCell ref="A6:E7"/>
    <mergeCell ref="G6:J6"/>
    <mergeCell ref="K6:L6"/>
    <mergeCell ref="M6:N6"/>
    <mergeCell ref="O6:P6"/>
    <mergeCell ref="AJ169:AK169"/>
    <mergeCell ref="AL169:AN169"/>
    <mergeCell ref="AO169:AR169"/>
    <mergeCell ref="AS169:AV169"/>
    <mergeCell ref="V2:Y2"/>
    <mergeCell ref="Z2:AC2"/>
    <mergeCell ref="AD2:AE2"/>
    <mergeCell ref="AF2:AG2"/>
    <mergeCell ref="AO4:AR4"/>
    <mergeCell ref="AS4:AV4"/>
    <mergeCell ref="V6:Y6"/>
    <mergeCell ref="Z6:AC6"/>
    <mergeCell ref="AD6:AE6"/>
    <mergeCell ref="AF6:AG6"/>
    <mergeCell ref="V167:Y167"/>
    <mergeCell ref="Z167:AC167"/>
    <mergeCell ref="AD167:AE167"/>
    <mergeCell ref="AF167:AG167"/>
    <mergeCell ref="AH167:AI167"/>
    <mergeCell ref="AG170:AM170"/>
    <mergeCell ref="AG171:AM171"/>
    <mergeCell ref="AN170:BR171"/>
    <mergeCell ref="BQ169:BR169"/>
    <mergeCell ref="Z171:AB171"/>
    <mergeCell ref="Z170:AB170"/>
    <mergeCell ref="V170:Y170"/>
    <mergeCell ref="V171:Y171"/>
    <mergeCell ref="R170:U170"/>
    <mergeCell ref="R171:U171"/>
    <mergeCell ref="BI169:BJ169"/>
    <mergeCell ref="BK169:BL169"/>
    <mergeCell ref="BM169:BN169"/>
    <mergeCell ref="BO169:BP169"/>
    <mergeCell ref="AW169:AY169"/>
    <mergeCell ref="AZ169:BA169"/>
    <mergeCell ref="BB169:BC169"/>
    <mergeCell ref="BD169:BF169"/>
    <mergeCell ref="BG169:BH169"/>
    <mergeCell ref="V169:Y169"/>
    <mergeCell ref="Z169:AC169"/>
    <mergeCell ref="AD169:AE169"/>
    <mergeCell ref="AF169:AG169"/>
    <mergeCell ref="AH169:AI169"/>
  </mergeCells>
  <conditionalFormatting sqref="A109:A110">
    <cfRule type="duplicateValues" dxfId="153" priority="40"/>
  </conditionalFormatting>
  <conditionalFormatting sqref="A111:A119 A121:A133 A135:A165 A88:A108 A68:A85 A16:A21 A24:A51">
    <cfRule type="duplicateValues" dxfId="152" priority="81"/>
  </conditionalFormatting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151" priority="19" operator="equal">
      <formula>"F"</formula>
    </cfRule>
    <cfRule type="cellIs" dxfId="150" priority="20" operator="equal">
      <formula>"N"</formula>
    </cfRule>
    <cfRule type="cellIs" dxfId="149" priority="21" operator="equal">
      <formula>"I"</formula>
    </cfRule>
  </conditionalFormatting>
  <conditionalFormatting sqref="AE95">
    <cfRule type="cellIs" dxfId="148" priority="16" operator="equal">
      <formula>"F"</formula>
    </cfRule>
    <cfRule type="cellIs" dxfId="147" priority="17" operator="equal">
      <formula>"N"</formula>
    </cfRule>
    <cfRule type="cellIs" dxfId="146" priority="18" operator="equal">
      <formula>"I"</formula>
    </cfRule>
  </conditionalFormatting>
  <conditionalFormatting sqref="AL91">
    <cfRule type="cellIs" dxfId="145" priority="13" operator="equal">
      <formula>"F"</formula>
    </cfRule>
    <cfRule type="cellIs" dxfId="144" priority="14" operator="equal">
      <formula>"N"</formula>
    </cfRule>
    <cfRule type="cellIs" dxfId="143" priority="15" operator="equal">
      <formula>"I"</formula>
    </cfRule>
  </conditionalFormatting>
  <conditionalFormatting sqref="AE134">
    <cfRule type="cellIs" dxfId="142" priority="10" operator="equal">
      <formula>"F"</formula>
    </cfRule>
    <cfRule type="cellIs" dxfId="141" priority="11" operator="equal">
      <formula>"N"</formula>
    </cfRule>
    <cfRule type="cellIs" dxfId="140" priority="12" operator="equal">
      <formula>"I"</formula>
    </cfRule>
  </conditionalFormatting>
  <conditionalFormatting sqref="AF34">
    <cfRule type="cellIs" dxfId="139" priority="7" operator="equal">
      <formula>"F"</formula>
    </cfRule>
    <cfRule type="cellIs" dxfId="138" priority="8" operator="equal">
      <formula>"N"</formula>
    </cfRule>
    <cfRule type="cellIs" dxfId="137" priority="9" operator="equal">
      <formula>"I"</formula>
    </cfRule>
  </conditionalFormatting>
  <conditionalFormatting sqref="AE93">
    <cfRule type="cellIs" dxfId="136" priority="4" operator="equal">
      <formula>"F"</formula>
    </cfRule>
    <cfRule type="cellIs" dxfId="135" priority="5" operator="equal">
      <formula>"N"</formula>
    </cfRule>
    <cfRule type="cellIs" dxfId="134" priority="6" operator="equal">
      <formula>"I"</formula>
    </cfRule>
  </conditionalFormatting>
  <conditionalFormatting sqref="AF99">
    <cfRule type="cellIs" dxfId="133" priority="1" operator="equal">
      <formula>"F"</formula>
    </cfRule>
    <cfRule type="cellIs" dxfId="132" priority="2" operator="equal">
      <formula>"N"</formula>
    </cfRule>
    <cfRule type="cellIs" dxfId="131" priority="3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F6EFF4-F885-4C3D-ABC7-B622EDA805EC}">
          <x14:formula1>
            <xm:f>TOT!$B$4:$B$11</xm:f>
          </x14:formula1>
          <xm:sqref>A16:A165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neareDOM">
    <tabColor rgb="FF00B050"/>
    <pageSetUpPr fitToPage="1"/>
  </sheetPr>
  <dimension ref="A1:BS284"/>
  <sheetViews>
    <sheetView zoomScale="38" zoomScaleNormal="38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62">
        <f>LUN!A1+6</f>
        <v>45893</v>
      </c>
      <c r="B1" s="463"/>
      <c r="C1" s="463"/>
      <c r="D1" s="463"/>
      <c r="E1" s="464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65" t="s">
        <v>35</v>
      </c>
      <c r="B2" s="466"/>
      <c r="C2" s="466"/>
      <c r="D2" s="466"/>
      <c r="E2" s="467"/>
      <c r="F2" s="41">
        <f>F3</f>
        <v>0</v>
      </c>
      <c r="G2" s="442">
        <f>SUM(G3:J3)</f>
        <v>0</v>
      </c>
      <c r="H2" s="442"/>
      <c r="I2" s="442"/>
      <c r="J2" s="442"/>
      <c r="K2" s="442">
        <f>SUM(K3:L3)</f>
        <v>0</v>
      </c>
      <c r="L2" s="442"/>
      <c r="M2" s="442">
        <f>SUM(M3:N3)</f>
        <v>0</v>
      </c>
      <c r="N2" s="442"/>
      <c r="O2" s="442">
        <f>SUM(O3:P3)</f>
        <v>0</v>
      </c>
      <c r="P2" s="442"/>
      <c r="Q2" s="442">
        <f>SUM(Q3:R3)</f>
        <v>0</v>
      </c>
      <c r="R2" s="442"/>
      <c r="S2" s="442">
        <f>SUM(S3:U3)</f>
        <v>0</v>
      </c>
      <c r="T2" s="442"/>
      <c r="U2" s="442"/>
      <c r="V2" s="442">
        <f>SUM(V3:Y3)</f>
        <v>0</v>
      </c>
      <c r="W2" s="442"/>
      <c r="X2" s="442"/>
      <c r="Y2" s="442"/>
      <c r="Z2" s="442">
        <f>SUM(Z3:AC3)</f>
        <v>0</v>
      </c>
      <c r="AA2" s="442"/>
      <c r="AB2" s="442"/>
      <c r="AC2" s="442"/>
      <c r="AD2" s="442">
        <f>SUM(AD3:AE3)</f>
        <v>0</v>
      </c>
      <c r="AE2" s="442"/>
      <c r="AF2" s="442">
        <f>SUM(AF3:AG3)</f>
        <v>0</v>
      </c>
      <c r="AG2" s="442"/>
      <c r="AH2" s="442">
        <f>SUM(AH3:AI3)</f>
        <v>0</v>
      </c>
      <c r="AI2" s="442"/>
      <c r="AJ2" s="442">
        <f>SUM(AJ3:AK3)</f>
        <v>0</v>
      </c>
      <c r="AK2" s="442"/>
      <c r="AL2" s="442">
        <f>SUM(AL3:AN3)</f>
        <v>0</v>
      </c>
      <c r="AM2" s="442"/>
      <c r="AN2" s="442"/>
      <c r="AO2" s="442">
        <f>SUM(AO3:AR3)</f>
        <v>0</v>
      </c>
      <c r="AP2" s="442"/>
      <c r="AQ2" s="442"/>
      <c r="AR2" s="442"/>
      <c r="AS2" s="442">
        <f>SUM(AS3:AV3)</f>
        <v>0</v>
      </c>
      <c r="AT2" s="442"/>
      <c r="AU2" s="442"/>
      <c r="AV2" s="442"/>
      <c r="AW2" s="442">
        <f>SUM(AW3:AY3)</f>
        <v>0</v>
      </c>
      <c r="AX2" s="442"/>
      <c r="AY2" s="442"/>
      <c r="AZ2" s="442">
        <f>SUM(AZ3:BA3)</f>
        <v>0</v>
      </c>
      <c r="BA2" s="442"/>
      <c r="BB2" s="442">
        <f>SUM(BB3:BC3)</f>
        <v>0</v>
      </c>
      <c r="BC2" s="442"/>
      <c r="BD2" s="442">
        <f>SUM(BD3:BF3)</f>
        <v>0</v>
      </c>
      <c r="BE2" s="442"/>
      <c r="BF2" s="442"/>
      <c r="BG2" s="442">
        <f>SUM(BG3:BH3)</f>
        <v>0</v>
      </c>
      <c r="BH2" s="442"/>
      <c r="BI2" s="442">
        <f>SUM(BI3:BJ3)</f>
        <v>0</v>
      </c>
      <c r="BJ2" s="442"/>
      <c r="BK2" s="442">
        <f>SUM(BK3:BL3)</f>
        <v>0</v>
      </c>
      <c r="BL2" s="442"/>
      <c r="BM2" s="442">
        <f>SUM(BM3:BN3)</f>
        <v>0</v>
      </c>
      <c r="BN2" s="442"/>
      <c r="BO2" s="442">
        <f>SUM(BO3:BP3)</f>
        <v>0</v>
      </c>
      <c r="BP2" s="442"/>
      <c r="BQ2" s="442">
        <f>BQ3</f>
        <v>0</v>
      </c>
      <c r="BR2" s="442"/>
      <c r="BS2" s="42"/>
    </row>
    <row r="3" spans="1:71" ht="35.1" customHeight="1" x14ac:dyDescent="0.25">
      <c r="A3" s="468"/>
      <c r="B3" s="469"/>
      <c r="C3" s="469"/>
      <c r="D3" s="469"/>
      <c r="E3" s="470"/>
      <c r="F3" s="43">
        <f>Fasce_Tot!AM4</f>
        <v>0</v>
      </c>
      <c r="G3" s="43">
        <f>Fasce_Tot!AM5</f>
        <v>0</v>
      </c>
      <c r="H3" s="43">
        <f>Fasce_Tot!AM6</f>
        <v>0</v>
      </c>
      <c r="I3" s="43">
        <f>Fasce_Tot!AM7</f>
        <v>0</v>
      </c>
      <c r="J3" s="43">
        <f>Fasce_Tot!AM8</f>
        <v>0</v>
      </c>
      <c r="K3" s="43">
        <f>Fasce_Tot!AM9</f>
        <v>0</v>
      </c>
      <c r="L3" s="43">
        <f>Fasce_Tot!AM10</f>
        <v>0</v>
      </c>
      <c r="M3" s="43">
        <f>Fasce_Tot!AM11</f>
        <v>0</v>
      </c>
      <c r="N3" s="43">
        <f>Fasce_Tot!AM12</f>
        <v>0</v>
      </c>
      <c r="O3" s="43">
        <f>Fasce_Tot!AM13</f>
        <v>0</v>
      </c>
      <c r="P3" s="43">
        <f>Fasce_Tot!AM14</f>
        <v>0</v>
      </c>
      <c r="Q3" s="43">
        <f>Fasce_Tot!AM15</f>
        <v>0</v>
      </c>
      <c r="R3" s="43">
        <f>Fasce_Tot!AM16</f>
        <v>0</v>
      </c>
      <c r="S3" s="43">
        <f>Fasce_Tot!AM17</f>
        <v>0</v>
      </c>
      <c r="T3" s="43">
        <f>Fasce_Tot!AM18</f>
        <v>0</v>
      </c>
      <c r="U3" s="43">
        <f>Fasce_Tot!AM19</f>
        <v>0</v>
      </c>
      <c r="V3" s="43">
        <f>Fasce_Tot!AM20</f>
        <v>0</v>
      </c>
      <c r="W3" s="43">
        <f>Fasce_Tot!AM21</f>
        <v>0</v>
      </c>
      <c r="X3" s="43">
        <f>Fasce_Tot!AM22</f>
        <v>0</v>
      </c>
      <c r="Y3" s="43">
        <f>Fasce_Tot!AM23</f>
        <v>0</v>
      </c>
      <c r="Z3" s="43">
        <f>Fasce_Tot!AM24</f>
        <v>0</v>
      </c>
      <c r="AA3" s="43">
        <f>Fasce_Tot!AM25</f>
        <v>0</v>
      </c>
      <c r="AB3" s="43">
        <f>Fasce_Tot!AM26</f>
        <v>0</v>
      </c>
      <c r="AC3" s="43">
        <f>Fasce_Tot!AM27</f>
        <v>0</v>
      </c>
      <c r="AD3" s="43">
        <f>Fasce_Tot!AM28</f>
        <v>0</v>
      </c>
      <c r="AE3" s="43">
        <f>Fasce_Tot!AM29</f>
        <v>0</v>
      </c>
      <c r="AF3" s="43">
        <f>Fasce_Tot!AM30</f>
        <v>0</v>
      </c>
      <c r="AG3" s="43">
        <f>Fasce_Tot!AM31</f>
        <v>0</v>
      </c>
      <c r="AH3" s="43">
        <f>Fasce_Tot!AM32</f>
        <v>0</v>
      </c>
      <c r="AI3" s="43">
        <f>Fasce_Tot!AM33</f>
        <v>0</v>
      </c>
      <c r="AJ3" s="43">
        <f>Fasce_Tot!AM34</f>
        <v>0</v>
      </c>
      <c r="AK3" s="43">
        <f>Fasce_Tot!AM35</f>
        <v>0</v>
      </c>
      <c r="AL3" s="43">
        <f>Fasce_Tot!AM36</f>
        <v>0</v>
      </c>
      <c r="AM3" s="43">
        <f>Fasce_Tot!AM37</f>
        <v>0</v>
      </c>
      <c r="AN3" s="43">
        <f>Fasce_Tot!AM38</f>
        <v>0</v>
      </c>
      <c r="AO3" s="43">
        <f>Fasce_Tot!AM39</f>
        <v>0</v>
      </c>
      <c r="AP3" s="43">
        <f>Fasce_Tot!AM40</f>
        <v>0</v>
      </c>
      <c r="AQ3" s="43">
        <f>Fasce_Tot!AM41</f>
        <v>0</v>
      </c>
      <c r="AR3" s="43">
        <f>Fasce_Tot!AM42</f>
        <v>0</v>
      </c>
      <c r="AS3" s="43">
        <f>Fasce_Tot!AM43</f>
        <v>0</v>
      </c>
      <c r="AT3" s="43">
        <f>Fasce_Tot!AM44</f>
        <v>0</v>
      </c>
      <c r="AU3" s="43">
        <f>Fasce_Tot!AM45</f>
        <v>0</v>
      </c>
      <c r="AV3" s="43">
        <f>Fasce_Tot!AM46</f>
        <v>0</v>
      </c>
      <c r="AW3" s="43">
        <f>Fasce_Tot!AM47</f>
        <v>0</v>
      </c>
      <c r="AX3" s="43">
        <f>Fasce_Tot!AM48</f>
        <v>0</v>
      </c>
      <c r="AY3" s="43">
        <f>Fasce_Tot!AM49</f>
        <v>0</v>
      </c>
      <c r="AZ3" s="43">
        <f>Fasce_Tot!AM50</f>
        <v>0</v>
      </c>
      <c r="BA3" s="43">
        <f>Fasce_Tot!AM51</f>
        <v>0</v>
      </c>
      <c r="BB3" s="43">
        <f>Fasce_Tot!AM52</f>
        <v>0</v>
      </c>
      <c r="BC3" s="43">
        <f>Fasce_Tot!AM53</f>
        <v>0</v>
      </c>
      <c r="BD3" s="43">
        <f>Fasce_Tot!AM54</f>
        <v>0</v>
      </c>
      <c r="BE3" s="43">
        <f>Fasce_Tot!AM55</f>
        <v>0</v>
      </c>
      <c r="BF3" s="43">
        <f>Fasce_Tot!AM56</f>
        <v>0</v>
      </c>
      <c r="BG3" s="43">
        <f>Fasce_Tot!AM57</f>
        <v>0</v>
      </c>
      <c r="BH3" s="43">
        <f>Fasce_Tot!AM58</f>
        <v>0</v>
      </c>
      <c r="BI3" s="43">
        <f>Fasce_Tot!AM59</f>
        <v>0</v>
      </c>
      <c r="BJ3" s="43">
        <f>Fasce_Tot!AM60</f>
        <v>0</v>
      </c>
      <c r="BK3" s="43">
        <f>Fasce_Tot!AM61</f>
        <v>0</v>
      </c>
      <c r="BL3" s="43">
        <f>Fasce_Tot!AM62</f>
        <v>0</v>
      </c>
      <c r="BM3" s="43">
        <f>Fasce_Tot!AM63</f>
        <v>0</v>
      </c>
      <c r="BN3" s="43">
        <f>Fasce_Tot!AM64</f>
        <v>0</v>
      </c>
      <c r="BO3" s="43">
        <f>Fasce_Tot!AM65</f>
        <v>0</v>
      </c>
      <c r="BP3" s="43">
        <f>Fasce_Tot!AM66</f>
        <v>0</v>
      </c>
      <c r="BQ3" s="43">
        <f>Fasce_Tot!AM66</f>
        <v>0</v>
      </c>
      <c r="BR3" s="43">
        <f>Fasce_Tot!AM66</f>
        <v>0</v>
      </c>
      <c r="BS3" s="42"/>
    </row>
    <row r="4" spans="1:71" ht="45" customHeight="1" x14ac:dyDescent="0.25">
      <c r="A4" s="471" t="s">
        <v>299</v>
      </c>
      <c r="B4" s="472"/>
      <c r="C4" s="472"/>
      <c r="D4" s="472"/>
      <c r="E4" s="473"/>
      <c r="F4" s="44">
        <f>F5</f>
        <v>0</v>
      </c>
      <c r="G4" s="443">
        <f>SUM(G5:J5)</f>
        <v>0</v>
      </c>
      <c r="H4" s="444"/>
      <c r="I4" s="444"/>
      <c r="J4" s="445"/>
      <c r="K4" s="446">
        <f>SUM(K5:L5)</f>
        <v>0</v>
      </c>
      <c r="L4" s="446"/>
      <c r="M4" s="446">
        <f>SUM(M5:N5)</f>
        <v>0</v>
      </c>
      <c r="N4" s="446"/>
      <c r="O4" s="446">
        <f>SUM(O5:P5)</f>
        <v>0</v>
      </c>
      <c r="P4" s="446"/>
      <c r="Q4" s="446">
        <f>SUM(Q5:R5)</f>
        <v>0</v>
      </c>
      <c r="R4" s="446"/>
      <c r="S4" s="446">
        <f>SUM(S5:U5)</f>
        <v>0</v>
      </c>
      <c r="T4" s="446"/>
      <c r="U4" s="446"/>
      <c r="V4" s="446">
        <f>SUM(V5:Y5)</f>
        <v>0</v>
      </c>
      <c r="W4" s="446"/>
      <c r="X4" s="446"/>
      <c r="Y4" s="446"/>
      <c r="Z4" s="446">
        <f>SUM(Z5:AC5)</f>
        <v>0</v>
      </c>
      <c r="AA4" s="446"/>
      <c r="AB4" s="446"/>
      <c r="AC4" s="446"/>
      <c r="AD4" s="446">
        <f>SUM(AD5:AE5)</f>
        <v>0</v>
      </c>
      <c r="AE4" s="446"/>
      <c r="AF4" s="446">
        <f>SUM(AF5:AG5)</f>
        <v>0</v>
      </c>
      <c r="AG4" s="446"/>
      <c r="AH4" s="446">
        <f>SUM(AH5:AI5)</f>
        <v>0</v>
      </c>
      <c r="AI4" s="446"/>
      <c r="AJ4" s="446">
        <f>SUM(AJ5:AK5)</f>
        <v>0</v>
      </c>
      <c r="AK4" s="446"/>
      <c r="AL4" s="446">
        <f>SUM(AL5:AN5)</f>
        <v>0</v>
      </c>
      <c r="AM4" s="446"/>
      <c r="AN4" s="446"/>
      <c r="AO4" s="446">
        <f>SUM(AO5:AR5)</f>
        <v>0</v>
      </c>
      <c r="AP4" s="446"/>
      <c r="AQ4" s="446"/>
      <c r="AR4" s="446"/>
      <c r="AS4" s="446">
        <f>SUM(AS5:AV5)</f>
        <v>0</v>
      </c>
      <c r="AT4" s="446"/>
      <c r="AU4" s="446"/>
      <c r="AV4" s="446"/>
      <c r="AW4" s="446">
        <f>SUM(AW5:AY5)</f>
        <v>0</v>
      </c>
      <c r="AX4" s="446"/>
      <c r="AY4" s="446"/>
      <c r="AZ4" s="446">
        <f>SUM(AZ5:BA5)</f>
        <v>0</v>
      </c>
      <c r="BA4" s="446"/>
      <c r="BB4" s="446">
        <f>SUM(BB5:BC5)</f>
        <v>0</v>
      </c>
      <c r="BC4" s="446"/>
      <c r="BD4" s="446">
        <f>SUM(BD5:BF5)</f>
        <v>0</v>
      </c>
      <c r="BE4" s="446"/>
      <c r="BF4" s="446"/>
      <c r="BG4" s="446">
        <f>SUM(BG5:BH5)</f>
        <v>0</v>
      </c>
      <c r="BH4" s="446"/>
      <c r="BI4" s="446">
        <f>SUM(BI5:BJ5)</f>
        <v>0</v>
      </c>
      <c r="BJ4" s="446"/>
      <c r="BK4" s="446">
        <f>SUM(BK5:BL5)</f>
        <v>0</v>
      </c>
      <c r="BL4" s="446"/>
      <c r="BM4" s="446">
        <f>SUM(BM5:BN5)</f>
        <v>0</v>
      </c>
      <c r="BN4" s="446"/>
      <c r="BO4" s="446">
        <f>SUM(BO5:BP5)</f>
        <v>0</v>
      </c>
      <c r="BP4" s="446"/>
      <c r="BQ4" s="446">
        <f>BQ5</f>
        <v>0</v>
      </c>
      <c r="BR4" s="446"/>
      <c r="BS4" s="42"/>
    </row>
    <row r="5" spans="1:71" ht="35.1" customHeight="1" x14ac:dyDescent="0.25">
      <c r="A5" s="474"/>
      <c r="B5" s="475"/>
      <c r="C5" s="475"/>
      <c r="D5" s="475"/>
      <c r="E5" s="476"/>
      <c r="F5" s="45">
        <f>Fasce_Tot!AN$4</f>
        <v>0</v>
      </c>
      <c r="G5" s="45">
        <f>Fasce_Tot!AN$5</f>
        <v>0</v>
      </c>
      <c r="H5" s="45">
        <f>Fasce_Tot!AN$6</f>
        <v>0</v>
      </c>
      <c r="I5" s="45">
        <f>Fasce_Tot!AN$7</f>
        <v>0</v>
      </c>
      <c r="J5" s="45">
        <f>Fasce_Tot!AN$8</f>
        <v>0</v>
      </c>
      <c r="K5" s="45">
        <f>Fasce_Tot!AN$9</f>
        <v>0</v>
      </c>
      <c r="L5" s="45">
        <f>Fasce_Tot!AN$10</f>
        <v>0</v>
      </c>
      <c r="M5" s="45">
        <f>Fasce_Tot!AN$11</f>
        <v>0</v>
      </c>
      <c r="N5" s="45">
        <f>Fasce_Tot!AN$12</f>
        <v>0</v>
      </c>
      <c r="O5" s="45">
        <f>Fasce_Tot!AN$13</f>
        <v>0</v>
      </c>
      <c r="P5" s="45">
        <f>Fasce_Tot!AN$14</f>
        <v>0</v>
      </c>
      <c r="Q5" s="45">
        <f>Fasce_Tot!AN$15</f>
        <v>0</v>
      </c>
      <c r="R5" s="45">
        <f>Fasce_Tot!AN$16</f>
        <v>0</v>
      </c>
      <c r="S5" s="45">
        <f>Fasce_Tot!AN$17</f>
        <v>0</v>
      </c>
      <c r="T5" s="45">
        <f>Fasce_Tot!AN$18</f>
        <v>0</v>
      </c>
      <c r="U5" s="45">
        <f>Fasce_Tot!AN$19</f>
        <v>0</v>
      </c>
      <c r="V5" s="45">
        <f>Fasce_Tot!AN$20</f>
        <v>0</v>
      </c>
      <c r="W5" s="45">
        <f>Fasce_Tot!AN$21</f>
        <v>0</v>
      </c>
      <c r="X5" s="45">
        <f>Fasce_Tot!AN$22</f>
        <v>0</v>
      </c>
      <c r="Y5" s="45">
        <f>Fasce_Tot!AN$23</f>
        <v>0</v>
      </c>
      <c r="Z5" s="45">
        <f>Fasce_Tot!AN$24</f>
        <v>0</v>
      </c>
      <c r="AA5" s="45">
        <f>Fasce_Tot!AN$25</f>
        <v>0</v>
      </c>
      <c r="AB5" s="45">
        <f>Fasce_Tot!AN$26</f>
        <v>0</v>
      </c>
      <c r="AC5" s="45">
        <f>Fasce_Tot!AN$27</f>
        <v>0</v>
      </c>
      <c r="AD5" s="45">
        <f>Fasce_Tot!AN$28</f>
        <v>0</v>
      </c>
      <c r="AE5" s="45">
        <f>Fasce_Tot!AN$29</f>
        <v>0</v>
      </c>
      <c r="AF5" s="45">
        <f>Fasce_Tot!AN$30</f>
        <v>0</v>
      </c>
      <c r="AG5" s="45">
        <f>Fasce_Tot!AN$31</f>
        <v>0</v>
      </c>
      <c r="AH5" s="45">
        <f>Fasce_Tot!AN$32</f>
        <v>0</v>
      </c>
      <c r="AI5" s="45">
        <f>Fasce_Tot!AN$33</f>
        <v>0</v>
      </c>
      <c r="AJ5" s="45">
        <f>Fasce_Tot!AN$34</f>
        <v>0</v>
      </c>
      <c r="AK5" s="45">
        <f>Fasce_Tot!AN$35</f>
        <v>0</v>
      </c>
      <c r="AL5" s="45">
        <f>Fasce_Tot!AN$36</f>
        <v>0</v>
      </c>
      <c r="AM5" s="45">
        <f>Fasce_Tot!AN$37</f>
        <v>0</v>
      </c>
      <c r="AN5" s="45">
        <f>Fasce_Tot!AN$38</f>
        <v>0</v>
      </c>
      <c r="AO5" s="45">
        <f>Fasce_Tot!AN$39</f>
        <v>0</v>
      </c>
      <c r="AP5" s="45">
        <f>Fasce_Tot!AN$40</f>
        <v>0</v>
      </c>
      <c r="AQ5" s="45">
        <f>Fasce_Tot!AN$41</f>
        <v>0</v>
      </c>
      <c r="AR5" s="45">
        <f>Fasce_Tot!AN$42</f>
        <v>0</v>
      </c>
      <c r="AS5" s="45">
        <f>Fasce_Tot!AN$43</f>
        <v>0</v>
      </c>
      <c r="AT5" s="45">
        <f>Fasce_Tot!AN$44</f>
        <v>0</v>
      </c>
      <c r="AU5" s="45">
        <f>Fasce_Tot!AN$45</f>
        <v>0</v>
      </c>
      <c r="AV5" s="45">
        <f>Fasce_Tot!AN$46</f>
        <v>0</v>
      </c>
      <c r="AW5" s="45">
        <f>Fasce_Tot!AN$47</f>
        <v>0</v>
      </c>
      <c r="AX5" s="45">
        <f>Fasce_Tot!AN$48</f>
        <v>0</v>
      </c>
      <c r="AY5" s="45">
        <f>Fasce_Tot!AN$49</f>
        <v>0</v>
      </c>
      <c r="AZ5" s="45">
        <f>Fasce_Tot!AN$50</f>
        <v>0</v>
      </c>
      <c r="BA5" s="45">
        <f>Fasce_Tot!AN$51</f>
        <v>0</v>
      </c>
      <c r="BB5" s="45">
        <f>Fasce_Tot!AN$52</f>
        <v>0</v>
      </c>
      <c r="BC5" s="45">
        <f>Fasce_Tot!AN$53</f>
        <v>0</v>
      </c>
      <c r="BD5" s="45">
        <f>Fasce_Tot!AN$54</f>
        <v>0</v>
      </c>
      <c r="BE5" s="45">
        <f>Fasce_Tot!AN$55</f>
        <v>0</v>
      </c>
      <c r="BF5" s="45">
        <f>Fasce_Tot!AN$56</f>
        <v>0</v>
      </c>
      <c r="BG5" s="45">
        <f>Fasce_Tot!AN$57</f>
        <v>0</v>
      </c>
      <c r="BH5" s="45">
        <f>Fasce_Tot!AN$58</f>
        <v>0</v>
      </c>
      <c r="BI5" s="45">
        <f>Fasce_Tot!AN$59</f>
        <v>0</v>
      </c>
      <c r="BJ5" s="45">
        <f>Fasce_Tot!AN$60</f>
        <v>0</v>
      </c>
      <c r="BK5" s="45">
        <f>Fasce_Tot!AN$61</f>
        <v>0</v>
      </c>
      <c r="BL5" s="45">
        <f>Fasce_Tot!AN$62</f>
        <v>0</v>
      </c>
      <c r="BM5" s="45">
        <f>Fasce_Tot!AN$63</f>
        <v>0</v>
      </c>
      <c r="BN5" s="45">
        <f>Fasce_Tot!AN$64</f>
        <v>0</v>
      </c>
      <c r="BO5" s="45">
        <f>Fasce_Tot!AN$65</f>
        <v>0</v>
      </c>
      <c r="BP5" s="45">
        <f>Fasce_Tot!AN$66</f>
        <v>0</v>
      </c>
      <c r="BQ5" s="45">
        <f>Fasce_Tot!AN$66</f>
        <v>0</v>
      </c>
      <c r="BR5" s="45">
        <f>Fasce_Tot!AN$66</f>
        <v>0</v>
      </c>
      <c r="BS5" s="42"/>
    </row>
    <row r="6" spans="1:71" ht="45" customHeight="1" x14ac:dyDescent="0.25">
      <c r="A6" s="465" t="s">
        <v>308</v>
      </c>
      <c r="B6" s="466"/>
      <c r="C6" s="466"/>
      <c r="D6" s="466"/>
      <c r="E6" s="467"/>
      <c r="F6" s="41">
        <f>F7</f>
        <v>0</v>
      </c>
      <c r="G6" s="459">
        <f>SUM(G7:J7)</f>
        <v>0</v>
      </c>
      <c r="H6" s="460"/>
      <c r="I6" s="460"/>
      <c r="J6" s="461"/>
      <c r="K6" s="442">
        <f>SUM(K7:L7)</f>
        <v>0</v>
      </c>
      <c r="L6" s="442"/>
      <c r="M6" s="442">
        <f>SUM(M7:N7)</f>
        <v>0</v>
      </c>
      <c r="N6" s="442"/>
      <c r="O6" s="442">
        <f>SUM(O7:P7)</f>
        <v>0</v>
      </c>
      <c r="P6" s="442"/>
      <c r="Q6" s="442">
        <f>SUM(Q7:R7)</f>
        <v>0</v>
      </c>
      <c r="R6" s="442"/>
      <c r="S6" s="442">
        <f>SUM(S7:U7)</f>
        <v>0</v>
      </c>
      <c r="T6" s="442"/>
      <c r="U6" s="442"/>
      <c r="V6" s="442">
        <f>SUM(V7:Y7)</f>
        <v>0</v>
      </c>
      <c r="W6" s="442"/>
      <c r="X6" s="442"/>
      <c r="Y6" s="442"/>
      <c r="Z6" s="442">
        <f>SUM(Z7:AC7)</f>
        <v>0</v>
      </c>
      <c r="AA6" s="442"/>
      <c r="AB6" s="442"/>
      <c r="AC6" s="442"/>
      <c r="AD6" s="442">
        <f>SUM(AD7:AE7)</f>
        <v>0</v>
      </c>
      <c r="AE6" s="442"/>
      <c r="AF6" s="442">
        <f>SUM(AF7:AG7)</f>
        <v>0</v>
      </c>
      <c r="AG6" s="442"/>
      <c r="AH6" s="442">
        <f>SUM(AH7:AI7)</f>
        <v>0</v>
      </c>
      <c r="AI6" s="442"/>
      <c r="AJ6" s="442">
        <f>SUM(AJ7:AK7)</f>
        <v>0</v>
      </c>
      <c r="AK6" s="442"/>
      <c r="AL6" s="442">
        <f>SUM(AL7:AN7)</f>
        <v>0</v>
      </c>
      <c r="AM6" s="442"/>
      <c r="AN6" s="442"/>
      <c r="AO6" s="442">
        <f>SUM(AO7:AR7)</f>
        <v>0</v>
      </c>
      <c r="AP6" s="442"/>
      <c r="AQ6" s="442"/>
      <c r="AR6" s="442"/>
      <c r="AS6" s="442">
        <f>SUM(AS7:AV7)</f>
        <v>0</v>
      </c>
      <c r="AT6" s="442"/>
      <c r="AU6" s="442"/>
      <c r="AV6" s="442"/>
      <c r="AW6" s="442">
        <f>SUM(AW7:AY7)</f>
        <v>0</v>
      </c>
      <c r="AX6" s="442"/>
      <c r="AY6" s="442"/>
      <c r="AZ6" s="442">
        <f>SUM(AZ7:BA7)</f>
        <v>0</v>
      </c>
      <c r="BA6" s="442"/>
      <c r="BB6" s="442">
        <f>SUM(BB7:BC7)</f>
        <v>0</v>
      </c>
      <c r="BC6" s="442"/>
      <c r="BD6" s="442">
        <f>SUM(BD7:BF7)</f>
        <v>0</v>
      </c>
      <c r="BE6" s="442"/>
      <c r="BF6" s="442"/>
      <c r="BG6" s="442">
        <f>SUM(BG7:BH7)</f>
        <v>0</v>
      </c>
      <c r="BH6" s="442"/>
      <c r="BI6" s="442">
        <f>SUM(BI7:BJ7)</f>
        <v>0</v>
      </c>
      <c r="BJ6" s="442"/>
      <c r="BK6" s="442">
        <f>SUM(BK7:BL7)</f>
        <v>0</v>
      </c>
      <c r="BL6" s="442"/>
      <c r="BM6" s="442">
        <f>SUM(BM7:BN7)</f>
        <v>0</v>
      </c>
      <c r="BN6" s="442"/>
      <c r="BO6" s="442">
        <f>SUM(BO7:BP7)</f>
        <v>0</v>
      </c>
      <c r="BP6" s="442"/>
      <c r="BQ6" s="442">
        <f>BQ7</f>
        <v>0</v>
      </c>
      <c r="BR6" s="442"/>
      <c r="BS6" s="42"/>
    </row>
    <row r="7" spans="1:71" ht="35.1" customHeight="1" x14ac:dyDescent="0.25">
      <c r="A7" s="468"/>
      <c r="B7" s="469"/>
      <c r="C7" s="469"/>
      <c r="D7" s="469"/>
      <c r="E7" s="470"/>
      <c r="F7" s="43">
        <f>IF((F5-F8-F9)&lt;0,0,F5-F8-F9)</f>
        <v>0</v>
      </c>
      <c r="G7" s="43">
        <f t="shared" ref="G7:BR7" si="0">IF((G5-G8-G9)&lt;0,0,G5-G8-G9)</f>
        <v>0</v>
      </c>
      <c r="H7" s="43">
        <f t="shared" si="0"/>
        <v>0</v>
      </c>
      <c r="I7" s="43">
        <f t="shared" si="0"/>
        <v>0</v>
      </c>
      <c r="J7" s="43">
        <f t="shared" si="0"/>
        <v>0</v>
      </c>
      <c r="K7" s="43">
        <f t="shared" si="0"/>
        <v>0</v>
      </c>
      <c r="L7" s="43">
        <f t="shared" si="0"/>
        <v>0</v>
      </c>
      <c r="M7" s="43">
        <f t="shared" si="0"/>
        <v>0</v>
      </c>
      <c r="N7" s="43">
        <f t="shared" si="0"/>
        <v>0</v>
      </c>
      <c r="O7" s="43">
        <f t="shared" si="0"/>
        <v>0</v>
      </c>
      <c r="P7" s="43">
        <f t="shared" si="0"/>
        <v>0</v>
      </c>
      <c r="Q7" s="43">
        <f t="shared" si="0"/>
        <v>0</v>
      </c>
      <c r="R7" s="43">
        <f t="shared" si="0"/>
        <v>0</v>
      </c>
      <c r="S7" s="43">
        <f t="shared" si="0"/>
        <v>0</v>
      </c>
      <c r="T7" s="43">
        <f t="shared" si="0"/>
        <v>0</v>
      </c>
      <c r="U7" s="43">
        <f t="shared" si="0"/>
        <v>0</v>
      </c>
      <c r="V7" s="43">
        <f t="shared" si="0"/>
        <v>0</v>
      </c>
      <c r="W7" s="43">
        <f t="shared" si="0"/>
        <v>0</v>
      </c>
      <c r="X7" s="43">
        <f t="shared" si="0"/>
        <v>0</v>
      </c>
      <c r="Y7" s="43">
        <f t="shared" si="0"/>
        <v>0</v>
      </c>
      <c r="Z7" s="43">
        <f t="shared" si="0"/>
        <v>0</v>
      </c>
      <c r="AA7" s="43">
        <f t="shared" si="0"/>
        <v>0</v>
      </c>
      <c r="AB7" s="43">
        <f t="shared" si="0"/>
        <v>0</v>
      </c>
      <c r="AC7" s="43">
        <f t="shared" si="0"/>
        <v>0</v>
      </c>
      <c r="AD7" s="43">
        <f t="shared" si="0"/>
        <v>0</v>
      </c>
      <c r="AE7" s="43">
        <f t="shared" si="0"/>
        <v>0</v>
      </c>
      <c r="AF7" s="43">
        <f t="shared" si="0"/>
        <v>0</v>
      </c>
      <c r="AG7" s="43">
        <f t="shared" si="0"/>
        <v>0</v>
      </c>
      <c r="AH7" s="43">
        <f t="shared" si="0"/>
        <v>0</v>
      </c>
      <c r="AI7" s="43">
        <f t="shared" si="0"/>
        <v>0</v>
      </c>
      <c r="AJ7" s="43">
        <f t="shared" si="0"/>
        <v>0</v>
      </c>
      <c r="AK7" s="43">
        <f t="shared" si="0"/>
        <v>0</v>
      </c>
      <c r="AL7" s="43">
        <f t="shared" si="0"/>
        <v>0</v>
      </c>
      <c r="AM7" s="43">
        <f t="shared" si="0"/>
        <v>0</v>
      </c>
      <c r="AN7" s="43">
        <f t="shared" si="0"/>
        <v>0</v>
      </c>
      <c r="AO7" s="43">
        <f t="shared" si="0"/>
        <v>0</v>
      </c>
      <c r="AP7" s="43">
        <f t="shared" si="0"/>
        <v>0</v>
      </c>
      <c r="AQ7" s="43">
        <f t="shared" si="0"/>
        <v>0</v>
      </c>
      <c r="AR7" s="43">
        <f t="shared" si="0"/>
        <v>0</v>
      </c>
      <c r="AS7" s="43">
        <f t="shared" si="0"/>
        <v>0</v>
      </c>
      <c r="AT7" s="43">
        <f t="shared" si="0"/>
        <v>0</v>
      </c>
      <c r="AU7" s="43">
        <f t="shared" si="0"/>
        <v>0</v>
      </c>
      <c r="AV7" s="43">
        <f t="shared" si="0"/>
        <v>0</v>
      </c>
      <c r="AW7" s="43">
        <f t="shared" si="0"/>
        <v>0</v>
      </c>
      <c r="AX7" s="43">
        <f t="shared" si="0"/>
        <v>0</v>
      </c>
      <c r="AY7" s="43">
        <f t="shared" si="0"/>
        <v>0</v>
      </c>
      <c r="AZ7" s="43">
        <f t="shared" si="0"/>
        <v>0</v>
      </c>
      <c r="BA7" s="43">
        <f t="shared" si="0"/>
        <v>0</v>
      </c>
      <c r="BB7" s="43">
        <f t="shared" si="0"/>
        <v>0</v>
      </c>
      <c r="BC7" s="43">
        <f t="shared" si="0"/>
        <v>0</v>
      </c>
      <c r="BD7" s="43">
        <f t="shared" si="0"/>
        <v>0</v>
      </c>
      <c r="BE7" s="43">
        <f t="shared" si="0"/>
        <v>0</v>
      </c>
      <c r="BF7" s="43">
        <f t="shared" si="0"/>
        <v>0</v>
      </c>
      <c r="BG7" s="43">
        <f t="shared" si="0"/>
        <v>0</v>
      </c>
      <c r="BH7" s="43">
        <f t="shared" si="0"/>
        <v>0</v>
      </c>
      <c r="BI7" s="43">
        <f t="shared" si="0"/>
        <v>0</v>
      </c>
      <c r="BJ7" s="43">
        <f t="shared" si="0"/>
        <v>0</v>
      </c>
      <c r="BK7" s="43">
        <f t="shared" si="0"/>
        <v>0</v>
      </c>
      <c r="BL7" s="43">
        <f t="shared" si="0"/>
        <v>0</v>
      </c>
      <c r="BM7" s="43">
        <f t="shared" si="0"/>
        <v>0</v>
      </c>
      <c r="BN7" s="43">
        <f t="shared" si="0"/>
        <v>0</v>
      </c>
      <c r="BO7" s="43">
        <f t="shared" si="0"/>
        <v>0</v>
      </c>
      <c r="BP7" s="43">
        <f t="shared" si="0"/>
        <v>0</v>
      </c>
      <c r="BQ7" s="43">
        <f t="shared" si="0"/>
        <v>0</v>
      </c>
      <c r="BR7" s="43">
        <f t="shared" si="0"/>
        <v>0</v>
      </c>
      <c r="BS7" s="42"/>
    </row>
    <row r="8" spans="1:71" ht="39.950000000000003" customHeight="1" x14ac:dyDescent="0.25">
      <c r="A8" s="456" t="s">
        <v>300</v>
      </c>
      <c r="B8" s="457"/>
      <c r="C8" s="457"/>
      <c r="D8" s="457"/>
      <c r="E8" s="458"/>
      <c r="F8" s="45">
        <f>Fasce_Tot!AO$4</f>
        <v>0</v>
      </c>
      <c r="G8" s="45">
        <f>Fasce_Tot!AO$5</f>
        <v>0</v>
      </c>
      <c r="H8" s="45">
        <f>Fasce_Tot!AO$6</f>
        <v>0</v>
      </c>
      <c r="I8" s="45">
        <f>Fasce_Tot!AO$7</f>
        <v>0</v>
      </c>
      <c r="J8" s="45">
        <f>Fasce_Tot!AO$8</f>
        <v>0</v>
      </c>
      <c r="K8" s="45">
        <f>Fasce_Tot!AO$9</f>
        <v>0</v>
      </c>
      <c r="L8" s="45">
        <f>Fasce_Tot!AO$10</f>
        <v>0</v>
      </c>
      <c r="M8" s="45">
        <f>Fasce_Tot!AO$11</f>
        <v>0</v>
      </c>
      <c r="N8" s="45">
        <f>Fasce_Tot!AO$12</f>
        <v>0</v>
      </c>
      <c r="O8" s="45">
        <f>Fasce_Tot!AO$13</f>
        <v>0</v>
      </c>
      <c r="P8" s="45">
        <f>Fasce_Tot!AO$14</f>
        <v>0</v>
      </c>
      <c r="Q8" s="45">
        <f>Fasce_Tot!AO$15</f>
        <v>0</v>
      </c>
      <c r="R8" s="45">
        <f>Fasce_Tot!AO$16</f>
        <v>0</v>
      </c>
      <c r="S8" s="45">
        <f>Fasce_Tot!AO$17</f>
        <v>0</v>
      </c>
      <c r="T8" s="45">
        <f>Fasce_Tot!AO$18</f>
        <v>0</v>
      </c>
      <c r="U8" s="45">
        <f>Fasce_Tot!AO$19</f>
        <v>0</v>
      </c>
      <c r="V8" s="45">
        <f>Fasce_Tot!AO$20</f>
        <v>0</v>
      </c>
      <c r="W8" s="45">
        <f>Fasce_Tot!AO$21</f>
        <v>0</v>
      </c>
      <c r="X8" s="45">
        <f>Fasce_Tot!AO$22</f>
        <v>0</v>
      </c>
      <c r="Y8" s="45">
        <f>Fasce_Tot!AO$23</f>
        <v>0</v>
      </c>
      <c r="Z8" s="45">
        <f>Fasce_Tot!AO$24</f>
        <v>0</v>
      </c>
      <c r="AA8" s="45">
        <f>Fasce_Tot!AO$25</f>
        <v>0</v>
      </c>
      <c r="AB8" s="45">
        <f>Fasce_Tot!AO$26</f>
        <v>0</v>
      </c>
      <c r="AC8" s="45">
        <f>Fasce_Tot!AO$27</f>
        <v>0</v>
      </c>
      <c r="AD8" s="45">
        <f>Fasce_Tot!AO$28</f>
        <v>0</v>
      </c>
      <c r="AE8" s="45">
        <f>Fasce_Tot!AO$29</f>
        <v>0</v>
      </c>
      <c r="AF8" s="45">
        <f>Fasce_Tot!AO$30</f>
        <v>0</v>
      </c>
      <c r="AG8" s="45">
        <f>Fasce_Tot!AO$31</f>
        <v>0</v>
      </c>
      <c r="AH8" s="45">
        <f>Fasce_Tot!AO$32</f>
        <v>0</v>
      </c>
      <c r="AI8" s="45">
        <f>Fasce_Tot!AO$33</f>
        <v>0</v>
      </c>
      <c r="AJ8" s="45">
        <f>Fasce_Tot!AO$34</f>
        <v>0</v>
      </c>
      <c r="AK8" s="45">
        <f>Fasce_Tot!AO$35</f>
        <v>0</v>
      </c>
      <c r="AL8" s="45">
        <f>Fasce_Tot!AO$36</f>
        <v>0</v>
      </c>
      <c r="AM8" s="45">
        <f>Fasce_Tot!AO$37</f>
        <v>0</v>
      </c>
      <c r="AN8" s="45">
        <f>Fasce_Tot!AO$38</f>
        <v>0</v>
      </c>
      <c r="AO8" s="45">
        <f>Fasce_Tot!AO$39</f>
        <v>0</v>
      </c>
      <c r="AP8" s="45">
        <f>Fasce_Tot!AO$40</f>
        <v>0</v>
      </c>
      <c r="AQ8" s="45">
        <f>Fasce_Tot!AO$41</f>
        <v>0</v>
      </c>
      <c r="AR8" s="45">
        <f>Fasce_Tot!AO$42</f>
        <v>0</v>
      </c>
      <c r="AS8" s="45">
        <f>Fasce_Tot!AO$43</f>
        <v>0</v>
      </c>
      <c r="AT8" s="45">
        <f>Fasce_Tot!AO$44</f>
        <v>0</v>
      </c>
      <c r="AU8" s="45">
        <f>Fasce_Tot!AO$45</f>
        <v>0</v>
      </c>
      <c r="AV8" s="45">
        <f>Fasce_Tot!AO$46</f>
        <v>0</v>
      </c>
      <c r="AW8" s="45">
        <f>Fasce_Tot!AO$47</f>
        <v>0</v>
      </c>
      <c r="AX8" s="45">
        <f>Fasce_Tot!AO$48</f>
        <v>0</v>
      </c>
      <c r="AY8" s="45">
        <f>Fasce_Tot!AO$49</f>
        <v>0</v>
      </c>
      <c r="AZ8" s="45">
        <f>Fasce_Tot!AO$50</f>
        <v>0</v>
      </c>
      <c r="BA8" s="45">
        <f>Fasce_Tot!AO$51</f>
        <v>0</v>
      </c>
      <c r="BB8" s="45">
        <f>Fasce_Tot!AO$52</f>
        <v>0</v>
      </c>
      <c r="BC8" s="45">
        <f>Fasce_Tot!AO$53</f>
        <v>0</v>
      </c>
      <c r="BD8" s="45">
        <f>Fasce_Tot!AO$54</f>
        <v>0</v>
      </c>
      <c r="BE8" s="45">
        <f>Fasce_Tot!AO$55</f>
        <v>0</v>
      </c>
      <c r="BF8" s="45">
        <f>Fasce_Tot!AO$56</f>
        <v>0</v>
      </c>
      <c r="BG8" s="45">
        <f>Fasce_Tot!AO$57</f>
        <v>0</v>
      </c>
      <c r="BH8" s="45">
        <f>Fasce_Tot!AO$58</f>
        <v>0</v>
      </c>
      <c r="BI8" s="45">
        <f>Fasce_Tot!AO$59</f>
        <v>0</v>
      </c>
      <c r="BJ8" s="45">
        <f>Fasce_Tot!AO$60</f>
        <v>0</v>
      </c>
      <c r="BK8" s="45">
        <f>Fasce_Tot!AO$61</f>
        <v>0</v>
      </c>
      <c r="BL8" s="45">
        <f>Fasce_Tot!AO$62</f>
        <v>0</v>
      </c>
      <c r="BM8" s="45">
        <f>Fasce_Tot!AO$63</f>
        <v>0</v>
      </c>
      <c r="BN8" s="45">
        <f>Fasce_Tot!AO$64</f>
        <v>0</v>
      </c>
      <c r="BO8" s="45">
        <f>Fasce_Tot!AO$65</f>
        <v>0</v>
      </c>
      <c r="BP8" s="45">
        <f>Fasce_Tot!AO$66</f>
        <v>0</v>
      </c>
      <c r="BQ8" s="45">
        <f>Fasce_Tot!AO$66</f>
        <v>0</v>
      </c>
      <c r="BR8" s="45">
        <f>Fasce_Tot!AO$66</f>
        <v>0</v>
      </c>
      <c r="BS8" s="42"/>
    </row>
    <row r="9" spans="1:71" ht="39.950000000000003" customHeight="1" x14ac:dyDescent="0.25">
      <c r="A9" s="477" t="s">
        <v>301</v>
      </c>
      <c r="B9" s="478"/>
      <c r="C9" s="478"/>
      <c r="D9" s="478"/>
      <c r="E9" s="479"/>
      <c r="F9" s="43">
        <f>Fasce_Tot!AP$4</f>
        <v>0</v>
      </c>
      <c r="G9" s="43">
        <f>Fasce_Tot!AP$5</f>
        <v>0</v>
      </c>
      <c r="H9" s="43">
        <f>Fasce_Tot!AP$6</f>
        <v>0</v>
      </c>
      <c r="I9" s="43">
        <f>Fasce_Tot!AP$7</f>
        <v>0</v>
      </c>
      <c r="J9" s="43">
        <f>Fasce_Tot!AP$8</f>
        <v>0</v>
      </c>
      <c r="K9" s="43">
        <f>Fasce_Tot!AP$9</f>
        <v>0</v>
      </c>
      <c r="L9" s="43">
        <f>Fasce_Tot!AP$10</f>
        <v>0</v>
      </c>
      <c r="M9" s="43">
        <f>Fasce_Tot!AP$11</f>
        <v>0</v>
      </c>
      <c r="N9" s="43">
        <f>Fasce_Tot!AP$12</f>
        <v>0</v>
      </c>
      <c r="O9" s="43">
        <f>Fasce_Tot!AP$13</f>
        <v>0</v>
      </c>
      <c r="P9" s="43">
        <f>Fasce_Tot!AP$14</f>
        <v>0</v>
      </c>
      <c r="Q9" s="43">
        <f>Fasce_Tot!AP$15</f>
        <v>0</v>
      </c>
      <c r="R9" s="43">
        <f>Fasce_Tot!AP$16</f>
        <v>0</v>
      </c>
      <c r="S9" s="43">
        <f>Fasce_Tot!AP$17</f>
        <v>0</v>
      </c>
      <c r="T9" s="43">
        <f>Fasce_Tot!AP$18</f>
        <v>0</v>
      </c>
      <c r="U9" s="43">
        <f>Fasce_Tot!AP$19</f>
        <v>0</v>
      </c>
      <c r="V9" s="43">
        <f>Fasce_Tot!AP$20</f>
        <v>0</v>
      </c>
      <c r="W9" s="43">
        <f>Fasce_Tot!AP$21</f>
        <v>0</v>
      </c>
      <c r="X9" s="43">
        <f>Fasce_Tot!AP$22</f>
        <v>0</v>
      </c>
      <c r="Y9" s="43">
        <f>Fasce_Tot!AP$23</f>
        <v>0</v>
      </c>
      <c r="Z9" s="43">
        <f>Fasce_Tot!AP$24</f>
        <v>0</v>
      </c>
      <c r="AA9" s="43">
        <f>Fasce_Tot!AP$25</f>
        <v>0</v>
      </c>
      <c r="AB9" s="43">
        <f>Fasce_Tot!AP$26</f>
        <v>0</v>
      </c>
      <c r="AC9" s="43">
        <f>Fasce_Tot!AP$27</f>
        <v>0</v>
      </c>
      <c r="AD9" s="43">
        <f>Fasce_Tot!AP$28</f>
        <v>0</v>
      </c>
      <c r="AE9" s="43">
        <f>Fasce_Tot!AP$29</f>
        <v>0</v>
      </c>
      <c r="AF9" s="43">
        <f>Fasce_Tot!AP$30</f>
        <v>0</v>
      </c>
      <c r="AG9" s="43">
        <f>Fasce_Tot!AP$31</f>
        <v>0</v>
      </c>
      <c r="AH9" s="43">
        <f>Fasce_Tot!AP$32</f>
        <v>0</v>
      </c>
      <c r="AI9" s="43">
        <f>Fasce_Tot!AP$33</f>
        <v>0</v>
      </c>
      <c r="AJ9" s="43">
        <f>Fasce_Tot!AP$34</f>
        <v>0</v>
      </c>
      <c r="AK9" s="43">
        <f>Fasce_Tot!AP$35</f>
        <v>0</v>
      </c>
      <c r="AL9" s="43">
        <f>Fasce_Tot!AP$36</f>
        <v>0</v>
      </c>
      <c r="AM9" s="43">
        <f>Fasce_Tot!AP$37</f>
        <v>0</v>
      </c>
      <c r="AN9" s="43">
        <f>Fasce_Tot!AP$38</f>
        <v>0</v>
      </c>
      <c r="AO9" s="43">
        <f>Fasce_Tot!AP$39</f>
        <v>0</v>
      </c>
      <c r="AP9" s="43">
        <f>Fasce_Tot!AP$40</f>
        <v>0</v>
      </c>
      <c r="AQ9" s="43">
        <f>Fasce_Tot!AP$41</f>
        <v>0</v>
      </c>
      <c r="AR9" s="43">
        <f>Fasce_Tot!AP$42</f>
        <v>0</v>
      </c>
      <c r="AS9" s="43">
        <f>Fasce_Tot!AP$43</f>
        <v>0</v>
      </c>
      <c r="AT9" s="43">
        <f>Fasce_Tot!AP$44</f>
        <v>0</v>
      </c>
      <c r="AU9" s="43">
        <f>Fasce_Tot!AP$45</f>
        <v>0</v>
      </c>
      <c r="AV9" s="43">
        <f>Fasce_Tot!AP$46</f>
        <v>0</v>
      </c>
      <c r="AW9" s="43">
        <f>Fasce_Tot!AP$47</f>
        <v>0</v>
      </c>
      <c r="AX9" s="43">
        <f>Fasce_Tot!AP$48</f>
        <v>0</v>
      </c>
      <c r="AY9" s="43">
        <f>Fasce_Tot!AP$49</f>
        <v>0</v>
      </c>
      <c r="AZ9" s="43">
        <f>Fasce_Tot!AP$50</f>
        <v>0</v>
      </c>
      <c r="BA9" s="43">
        <f>Fasce_Tot!AP$51</f>
        <v>0</v>
      </c>
      <c r="BB9" s="43">
        <f>Fasce_Tot!AP$52</f>
        <v>0</v>
      </c>
      <c r="BC9" s="43">
        <f>Fasce_Tot!AP$53</f>
        <v>0</v>
      </c>
      <c r="BD9" s="43">
        <f>Fasce_Tot!AP$54</f>
        <v>0</v>
      </c>
      <c r="BE9" s="43">
        <f>Fasce_Tot!AP$55</f>
        <v>0</v>
      </c>
      <c r="BF9" s="43">
        <f>Fasce_Tot!AP$56</f>
        <v>0</v>
      </c>
      <c r="BG9" s="43">
        <f>Fasce_Tot!F$57</f>
        <v>0</v>
      </c>
      <c r="BH9" s="43">
        <f>Fasce_Tot!AP$58</f>
        <v>0</v>
      </c>
      <c r="BI9" s="43">
        <f>Fasce_Tot!AP$59</f>
        <v>0</v>
      </c>
      <c r="BJ9" s="43">
        <f>Fasce_Tot!AP$60</f>
        <v>0</v>
      </c>
      <c r="BK9" s="43">
        <f>Fasce_Tot!AP$61</f>
        <v>0</v>
      </c>
      <c r="BL9" s="43">
        <f>Fasce_Tot!AP$62</f>
        <v>0</v>
      </c>
      <c r="BM9" s="43">
        <f>Fasce_Tot!AP$63</f>
        <v>0</v>
      </c>
      <c r="BN9" s="43">
        <f>Fasce_Tot!AP$64</f>
        <v>0</v>
      </c>
      <c r="BO9" s="43">
        <f>Fasce_Tot!AP$65</f>
        <v>0</v>
      </c>
      <c r="BP9" s="43">
        <f>Fasce_Tot!AP$66</f>
        <v>0</v>
      </c>
      <c r="BQ9" s="43">
        <f>Fasce_Tot!AP$66</f>
        <v>0</v>
      </c>
      <c r="BR9" s="43">
        <f>Fasce_Tot!AP$66</f>
        <v>0</v>
      </c>
      <c r="BS9" s="42"/>
    </row>
    <row r="10" spans="1:71" ht="45" customHeight="1" x14ac:dyDescent="0.25">
      <c r="A10" s="447" t="s">
        <v>302</v>
      </c>
      <c r="B10" s="448"/>
      <c r="C10" s="448"/>
      <c r="D10" s="448"/>
      <c r="E10" s="449"/>
      <c r="F10" s="44" t="e">
        <f>F11</f>
        <v>#REF!</v>
      </c>
      <c r="G10" s="443" t="e">
        <f>SUM(G11:J11)</f>
        <v>#REF!</v>
      </c>
      <c r="H10" s="444"/>
      <c r="I10" s="444"/>
      <c r="J10" s="445"/>
      <c r="K10" s="446" t="e">
        <f>SUM(K11:L11)</f>
        <v>#REF!</v>
      </c>
      <c r="L10" s="446"/>
      <c r="M10" s="446" t="e">
        <f>SUM(M11:N11)</f>
        <v>#REF!</v>
      </c>
      <c r="N10" s="446"/>
      <c r="O10" s="446" t="e">
        <f>SUM(O11:P11)</f>
        <v>#REF!</v>
      </c>
      <c r="P10" s="446"/>
      <c r="Q10" s="446" t="e">
        <f>SUM(Q11:R11)</f>
        <v>#REF!</v>
      </c>
      <c r="R10" s="446"/>
      <c r="S10" s="446" t="e">
        <f>SUM(S11:U11)</f>
        <v>#REF!</v>
      </c>
      <c r="T10" s="446"/>
      <c r="U10" s="446"/>
      <c r="V10" s="446" t="e">
        <f>SUM(V11:Y11)</f>
        <v>#REF!</v>
      </c>
      <c r="W10" s="446"/>
      <c r="X10" s="446"/>
      <c r="Y10" s="446"/>
      <c r="Z10" s="446" t="e">
        <f>SUM(Z11:AC11)</f>
        <v>#REF!</v>
      </c>
      <c r="AA10" s="446"/>
      <c r="AB10" s="446"/>
      <c r="AC10" s="446"/>
      <c r="AD10" s="446" t="e">
        <f>SUM(AD11:AE11)</f>
        <v>#REF!</v>
      </c>
      <c r="AE10" s="446"/>
      <c r="AF10" s="446" t="e">
        <f>SUM(AF11:AG11)</f>
        <v>#REF!</v>
      </c>
      <c r="AG10" s="446"/>
      <c r="AH10" s="446" t="e">
        <f>SUM(AH11:AI11)</f>
        <v>#REF!</v>
      </c>
      <c r="AI10" s="446"/>
      <c r="AJ10" s="446" t="e">
        <f>SUM(AJ11:AK11)</f>
        <v>#REF!</v>
      </c>
      <c r="AK10" s="446"/>
      <c r="AL10" s="446" t="e">
        <f>SUM(AL11:AN11)</f>
        <v>#REF!</v>
      </c>
      <c r="AM10" s="446"/>
      <c r="AN10" s="446"/>
      <c r="AO10" s="446" t="e">
        <f>SUM(AO11:AR11)</f>
        <v>#REF!</v>
      </c>
      <c r="AP10" s="446"/>
      <c r="AQ10" s="446"/>
      <c r="AR10" s="446"/>
      <c r="AS10" s="446" t="e">
        <f>SUM(AS11:AV11)</f>
        <v>#REF!</v>
      </c>
      <c r="AT10" s="446"/>
      <c r="AU10" s="446"/>
      <c r="AV10" s="446"/>
      <c r="AW10" s="446" t="e">
        <f>SUM(AW11:AY11)</f>
        <v>#REF!</v>
      </c>
      <c r="AX10" s="446"/>
      <c r="AY10" s="446"/>
      <c r="AZ10" s="446" t="e">
        <f>SUM(AZ11:BA11)</f>
        <v>#REF!</v>
      </c>
      <c r="BA10" s="446"/>
      <c r="BB10" s="446" t="e">
        <f>SUM(BB11:BC11)</f>
        <v>#REF!</v>
      </c>
      <c r="BC10" s="446"/>
      <c r="BD10" s="446" t="e">
        <f>SUM(BD11:BF11)</f>
        <v>#REF!</v>
      </c>
      <c r="BE10" s="446"/>
      <c r="BF10" s="446"/>
      <c r="BG10" s="446" t="e">
        <f>SUM(BG11:BH11)</f>
        <v>#REF!</v>
      </c>
      <c r="BH10" s="446"/>
      <c r="BI10" s="446" t="e">
        <f>SUM(BI11:BJ11)</f>
        <v>#REF!</v>
      </c>
      <c r="BJ10" s="446"/>
      <c r="BK10" s="446" t="e">
        <f>SUM(BK11:BL11)</f>
        <v>#REF!</v>
      </c>
      <c r="BL10" s="446"/>
      <c r="BM10" s="446" t="e">
        <f>SUM(BM11:BN11)</f>
        <v>#REF!</v>
      </c>
      <c r="BN10" s="446"/>
      <c r="BO10" s="446" t="e">
        <f>SUM(BO11:BP11)</f>
        <v>#REF!</v>
      </c>
      <c r="BP10" s="446"/>
      <c r="BQ10" s="446" t="e">
        <f>BQ11</f>
        <v>#REF!</v>
      </c>
      <c r="BR10" s="446"/>
      <c r="BS10" s="42"/>
    </row>
    <row r="11" spans="1:71" ht="35.1" customHeight="1" x14ac:dyDescent="0.25">
      <c r="A11" s="450"/>
      <c r="B11" s="451"/>
      <c r="C11" s="451"/>
      <c r="D11" s="451"/>
      <c r="E11" s="45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53" t="s">
        <v>36</v>
      </c>
      <c r="B12" s="454"/>
      <c r="C12" s="454"/>
      <c r="D12" s="454"/>
      <c r="E12" s="45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18" t="e">
        <f>V$4*Percentuali!$M$10</f>
        <v>#REF!</v>
      </c>
      <c r="W12" s="419"/>
      <c r="X12" s="419"/>
      <c r="Y12" s="420"/>
      <c r="Z12" s="418" t="e">
        <f>Z$4*Percentuali!$M$11</f>
        <v>#REF!</v>
      </c>
      <c r="AA12" s="419"/>
      <c r="AB12" s="419"/>
      <c r="AC12" s="420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18" t="e">
        <f>AO$4*Percentuali!$M$17</f>
        <v>#REF!</v>
      </c>
      <c r="AP12" s="419"/>
      <c r="AQ12" s="419"/>
      <c r="AR12" s="420"/>
      <c r="AS12" s="418" t="e">
        <f>AS$4*Percentuali!$M$18</f>
        <v>#REF!</v>
      </c>
      <c r="AT12" s="419"/>
      <c r="AU12" s="419"/>
      <c r="AV12" s="420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56" t="s">
        <v>183</v>
      </c>
      <c r="B13" s="457"/>
      <c r="C13" s="457"/>
      <c r="D13" s="457"/>
      <c r="E13" s="458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15" t="e">
        <f>V$4*Percentuali!$N$10</f>
        <v>#REF!</v>
      </c>
      <c r="W13" s="416"/>
      <c r="X13" s="416"/>
      <c r="Y13" s="417"/>
      <c r="Z13" s="415" t="e">
        <f>Z$4*Percentuali!$N$11</f>
        <v>#REF!</v>
      </c>
      <c r="AA13" s="416"/>
      <c r="AB13" s="416"/>
      <c r="AC13" s="417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15" t="e">
        <f>AO$4*Percentuali!$N$17</f>
        <v>#REF!</v>
      </c>
      <c r="AP13" s="416"/>
      <c r="AQ13" s="416"/>
      <c r="AR13" s="417"/>
      <c r="AS13" s="415" t="e">
        <f>AS$4*Percentuali!$N$18</f>
        <v>#REF!</v>
      </c>
      <c r="AT13" s="416"/>
      <c r="AU13" s="416"/>
      <c r="AV13" s="417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53" t="s">
        <v>304</v>
      </c>
      <c r="B14" s="454"/>
      <c r="C14" s="454"/>
      <c r="D14" s="454"/>
      <c r="E14" s="45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53" t="s">
        <v>303</v>
      </c>
      <c r="B15" s="454"/>
      <c r="C15" s="454"/>
      <c r="D15" s="454"/>
      <c r="E15" s="45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51"/>
      <c r="B16" s="52"/>
      <c r="C16" s="52"/>
      <c r="D16" s="227"/>
      <c r="E16" s="424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130"/>
    </row>
    <row r="17" spans="1:71" ht="24.95" customHeight="1" x14ac:dyDescent="0.55000000000000004">
      <c r="A17" s="60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2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130"/>
    </row>
    <row r="18" spans="1:71" ht="32.1" customHeight="1" x14ac:dyDescent="0.55000000000000004">
      <c r="A18" s="52"/>
      <c r="B18" s="52"/>
      <c r="C18" s="66"/>
      <c r="D18" s="66"/>
      <c r="E18" s="424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130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2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130"/>
    </row>
    <row r="20" spans="1:71" ht="32.1" customHeight="1" x14ac:dyDescent="0.55000000000000004">
      <c r="A20" s="51"/>
      <c r="B20" s="52"/>
      <c r="C20" s="66"/>
      <c r="D20" s="66"/>
      <c r="E20" s="424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130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2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130"/>
    </row>
    <row r="22" spans="1:71" ht="32.1" customHeight="1" thickBot="1" x14ac:dyDescent="0.6">
      <c r="A22" s="68"/>
      <c r="B22" s="69"/>
      <c r="C22" s="70"/>
      <c r="D22" s="70"/>
      <c r="E22" s="440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130"/>
    </row>
    <row r="23" spans="1:71" ht="32.1" customHeight="1" x14ac:dyDescent="0.55000000000000004">
      <c r="A23" s="71"/>
      <c r="B23" s="72"/>
      <c r="C23" s="73"/>
      <c r="D23" s="73"/>
      <c r="E23" s="423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130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2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130"/>
    </row>
    <row r="25" spans="1:71" ht="32.1" customHeight="1" x14ac:dyDescent="0.55000000000000004">
      <c r="A25" s="51"/>
      <c r="B25" s="52"/>
      <c r="C25" s="66"/>
      <c r="D25" s="66"/>
      <c r="E25" s="424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130"/>
    </row>
    <row r="26" spans="1:71" ht="24.6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24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130"/>
    </row>
    <row r="27" spans="1:71" ht="32.1" customHeight="1" x14ac:dyDescent="0.55000000000000004">
      <c r="A27" s="51"/>
      <c r="B27" s="52"/>
      <c r="C27" s="66"/>
      <c r="D27" s="66"/>
      <c r="E27" s="424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130"/>
    </row>
    <row r="28" spans="1:71" ht="24.95" customHeight="1" x14ac:dyDescent="0.55000000000000004">
      <c r="A28" s="268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2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130"/>
    </row>
    <row r="29" spans="1:71" ht="32.1" customHeight="1" x14ac:dyDescent="0.55000000000000004">
      <c r="A29" s="51"/>
      <c r="B29" s="52"/>
      <c r="C29" s="66"/>
      <c r="D29" s="66"/>
      <c r="E29" s="424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130"/>
    </row>
    <row r="30" spans="1:71" ht="24.95" customHeight="1" x14ac:dyDescent="0.55000000000000004">
      <c r="A30" s="268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2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130"/>
    </row>
    <row r="31" spans="1:71" ht="32.1" customHeight="1" thickBot="1" x14ac:dyDescent="0.6">
      <c r="A31" s="98"/>
      <c r="B31" s="99"/>
      <c r="C31" s="100"/>
      <c r="D31" s="100"/>
      <c r="E31" s="441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30"/>
    </row>
    <row r="32" spans="1:71" ht="32.1" customHeight="1" x14ac:dyDescent="0.55000000000000004">
      <c r="A32" s="103"/>
      <c r="B32" s="104"/>
      <c r="C32" s="105"/>
      <c r="D32" s="105"/>
      <c r="E32" s="439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130"/>
    </row>
    <row r="33" spans="1:71" ht="24.95" customHeight="1" x14ac:dyDescent="0.55000000000000004">
      <c r="A33" s="268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2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130"/>
    </row>
    <row r="34" spans="1:71" ht="32.1" customHeight="1" x14ac:dyDescent="0.55000000000000004">
      <c r="A34" s="51"/>
      <c r="B34" s="52"/>
      <c r="C34" s="66"/>
      <c r="D34" s="66"/>
      <c r="E34" s="424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130"/>
    </row>
    <row r="35" spans="1:71" ht="24.95" customHeight="1" x14ac:dyDescent="0.55000000000000004">
      <c r="A35" s="268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2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130"/>
    </row>
    <row r="36" spans="1:71" ht="32.1" customHeight="1" x14ac:dyDescent="0.55000000000000004">
      <c r="A36" s="51"/>
      <c r="B36" s="52"/>
      <c r="C36" s="66"/>
      <c r="D36" s="66"/>
      <c r="E36" s="424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130"/>
    </row>
    <row r="37" spans="1:71" ht="24.95" customHeight="1" x14ac:dyDescent="0.55000000000000004">
      <c r="A37" s="268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2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130"/>
    </row>
    <row r="38" spans="1:71" ht="32.1" customHeight="1" x14ac:dyDescent="0.55000000000000004">
      <c r="A38" s="51"/>
      <c r="B38" s="52"/>
      <c r="C38" s="66"/>
      <c r="D38" s="66"/>
      <c r="E38" s="424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130"/>
    </row>
    <row r="39" spans="1:71" ht="24.95" customHeight="1" x14ac:dyDescent="0.55000000000000004">
      <c r="A39" s="268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2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130"/>
    </row>
    <row r="40" spans="1:71" ht="32.1" customHeight="1" x14ac:dyDescent="0.55000000000000004">
      <c r="A40" s="51"/>
      <c r="B40" s="52"/>
      <c r="C40" s="66"/>
      <c r="D40" s="66"/>
      <c r="E40" s="424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130"/>
    </row>
    <row r="41" spans="1:71" ht="24.95" customHeight="1" x14ac:dyDescent="0.55000000000000004">
      <c r="A41" s="268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2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130"/>
    </row>
    <row r="42" spans="1:71" ht="32.1" customHeight="1" x14ac:dyDescent="0.55000000000000004">
      <c r="A42" s="51"/>
      <c r="B42" s="52"/>
      <c r="C42" s="66"/>
      <c r="D42" s="66"/>
      <c r="E42" s="424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130"/>
    </row>
    <row r="43" spans="1:71" ht="24.95" customHeight="1" x14ac:dyDescent="0.55000000000000004">
      <c r="A43" s="268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2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130"/>
    </row>
    <row r="44" spans="1:71" ht="32.1" customHeight="1" x14ac:dyDescent="0.55000000000000004">
      <c r="A44" s="51"/>
      <c r="B44" s="52"/>
      <c r="C44" s="66"/>
      <c r="D44" s="66"/>
      <c r="E44" s="424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130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2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130"/>
    </row>
    <row r="46" spans="1:71" ht="32.1" customHeight="1" thickBot="1" x14ac:dyDescent="0.6">
      <c r="A46" s="68"/>
      <c r="B46" s="69"/>
      <c r="C46" s="70"/>
      <c r="D46" s="70"/>
      <c r="E46" s="440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130"/>
    </row>
    <row r="47" spans="1:71" ht="32.1" customHeight="1" x14ac:dyDescent="0.55000000000000004">
      <c r="A47" s="71"/>
      <c r="B47" s="72"/>
      <c r="C47" s="73"/>
      <c r="D47" s="73"/>
      <c r="E47" s="423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130"/>
    </row>
    <row r="48" spans="1:71" ht="24.95" customHeight="1" x14ac:dyDescent="0.55000000000000004">
      <c r="A48" s="268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2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130"/>
    </row>
    <row r="49" spans="1:71" ht="32.1" customHeight="1" x14ac:dyDescent="0.55000000000000004">
      <c r="A49" s="51"/>
      <c r="B49" s="52"/>
      <c r="C49" s="66"/>
      <c r="D49" s="66"/>
      <c r="E49" s="424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130"/>
    </row>
    <row r="50" spans="1:71" ht="24.95" customHeight="1" x14ac:dyDescent="0.55000000000000004">
      <c r="A50" s="268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2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130"/>
    </row>
    <row r="51" spans="1:71" ht="32.1" customHeight="1" x14ac:dyDescent="0.55000000000000004">
      <c r="A51" s="51"/>
      <c r="B51" s="52"/>
      <c r="C51" s="66"/>
      <c r="D51" s="66"/>
      <c r="E51" s="424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130"/>
    </row>
    <row r="52" spans="1:71" ht="24.95" customHeight="1" x14ac:dyDescent="0.55000000000000004">
      <c r="A52" s="268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2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130"/>
    </row>
    <row r="53" spans="1:71" ht="32.1" customHeight="1" thickBot="1" x14ac:dyDescent="0.6">
      <c r="A53" s="98"/>
      <c r="B53" s="99"/>
      <c r="C53" s="100"/>
      <c r="D53" s="100"/>
      <c r="E53" s="441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30"/>
    </row>
    <row r="54" spans="1:71" ht="32.1" customHeight="1" x14ac:dyDescent="0.55000000000000004">
      <c r="A54" s="103"/>
      <c r="B54" s="104"/>
      <c r="C54" s="105"/>
      <c r="D54" s="105"/>
      <c r="E54" s="439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130"/>
    </row>
    <row r="55" spans="1:71" ht="24.95" customHeight="1" x14ac:dyDescent="0.55000000000000004">
      <c r="A55" s="268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24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130"/>
    </row>
    <row r="56" spans="1:71" ht="32.1" customHeight="1" x14ac:dyDescent="0.55000000000000004">
      <c r="A56" s="51"/>
      <c r="B56" s="52"/>
      <c r="C56" s="66"/>
      <c r="D56" s="66"/>
      <c r="E56" s="424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130"/>
    </row>
    <row r="57" spans="1:71" ht="24.95" customHeight="1" x14ac:dyDescent="0.55000000000000004">
      <c r="A57" s="268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24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130"/>
    </row>
    <row r="58" spans="1:71" ht="32.1" customHeight="1" x14ac:dyDescent="0.55000000000000004">
      <c r="A58" s="51"/>
      <c r="B58" s="52"/>
      <c r="C58" s="66"/>
      <c r="D58" s="66"/>
      <c r="E58" s="424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130"/>
    </row>
    <row r="59" spans="1:71" ht="24.95" customHeight="1" x14ac:dyDescent="0.55000000000000004">
      <c r="A59" s="268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24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130"/>
    </row>
    <row r="60" spans="1:71" ht="32.1" customHeight="1" x14ac:dyDescent="0.55000000000000004">
      <c r="A60" s="51"/>
      <c r="B60" s="52"/>
      <c r="C60" s="66"/>
      <c r="D60" s="66"/>
      <c r="E60" s="424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130"/>
    </row>
    <row r="61" spans="1:71" ht="24.95" customHeight="1" x14ac:dyDescent="0.55000000000000004">
      <c r="A61" s="268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24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130"/>
    </row>
    <row r="62" spans="1:71" ht="32.1" customHeight="1" x14ac:dyDescent="0.55000000000000004">
      <c r="A62" s="51"/>
      <c r="B62" s="52"/>
      <c r="C62" s="66"/>
      <c r="D62" s="66"/>
      <c r="E62" s="424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130"/>
    </row>
    <row r="63" spans="1:71" ht="24.95" customHeight="1" x14ac:dyDescent="0.55000000000000004">
      <c r="A63" s="268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24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130"/>
    </row>
    <row r="64" spans="1:71" ht="32.1" customHeight="1" x14ac:dyDescent="0.55000000000000004">
      <c r="A64" s="51"/>
      <c r="B64" s="52"/>
      <c r="C64" s="66"/>
      <c r="D64" s="66"/>
      <c r="E64" s="424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130"/>
    </row>
    <row r="65" spans="1:71" ht="24.95" customHeight="1" x14ac:dyDescent="0.55000000000000004">
      <c r="A65" s="60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24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130"/>
    </row>
    <row r="66" spans="1:71" ht="32.1" customHeight="1" thickBot="1" x14ac:dyDescent="0.6">
      <c r="A66" s="68"/>
      <c r="B66" s="69"/>
      <c r="C66" s="70"/>
      <c r="D66" s="70"/>
      <c r="E66" s="440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130"/>
    </row>
    <row r="67" spans="1:71" ht="32.1" customHeight="1" x14ac:dyDescent="0.55000000000000004">
      <c r="A67" s="71"/>
      <c r="B67" s="72"/>
      <c r="C67" s="73"/>
      <c r="D67" s="73"/>
      <c r="E67" s="423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130"/>
    </row>
    <row r="68" spans="1:71" ht="24.95" customHeight="1" x14ac:dyDescent="0.55000000000000004">
      <c r="A68" s="268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2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130"/>
    </row>
    <row r="69" spans="1:71" ht="32.1" customHeight="1" x14ac:dyDescent="0.55000000000000004">
      <c r="A69" s="51"/>
      <c r="B69" s="52"/>
      <c r="C69" s="66"/>
      <c r="D69" s="66"/>
      <c r="E69" s="424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130"/>
    </row>
    <row r="70" spans="1:71" ht="24.95" customHeight="1" x14ac:dyDescent="0.55000000000000004">
      <c r="A70" s="268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24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130"/>
    </row>
    <row r="71" spans="1:71" ht="32.1" customHeight="1" x14ac:dyDescent="0.55000000000000004">
      <c r="A71" s="51"/>
      <c r="B71" s="52"/>
      <c r="C71" s="66"/>
      <c r="D71" s="66"/>
      <c r="E71" s="424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130"/>
    </row>
    <row r="72" spans="1:71" ht="24.95" customHeight="1" x14ac:dyDescent="0.55000000000000004">
      <c r="A72" s="60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24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130"/>
    </row>
    <row r="73" spans="1:71" ht="32.1" customHeight="1" x14ac:dyDescent="0.55000000000000004">
      <c r="A73" s="51"/>
      <c r="B73" s="52"/>
      <c r="C73" s="66"/>
      <c r="D73" s="66"/>
      <c r="E73" s="424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130"/>
    </row>
    <row r="74" spans="1:71" ht="24.95" customHeight="1" x14ac:dyDescent="0.55000000000000004">
      <c r="A74" s="60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24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130"/>
    </row>
    <row r="75" spans="1:71" ht="32.1" customHeight="1" x14ac:dyDescent="0.55000000000000004">
      <c r="A75" s="51"/>
      <c r="B75" s="52"/>
      <c r="C75" s="66"/>
      <c r="D75" s="66"/>
      <c r="E75" s="424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130"/>
    </row>
    <row r="76" spans="1:71" ht="24.95" customHeight="1" x14ac:dyDescent="0.55000000000000004">
      <c r="A76" s="60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24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130"/>
    </row>
    <row r="77" spans="1:71" ht="32.1" customHeight="1" x14ac:dyDescent="0.55000000000000004">
      <c r="A77" s="51"/>
      <c r="B77" s="52"/>
      <c r="C77" s="66"/>
      <c r="D77" s="66"/>
      <c r="E77" s="424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130"/>
    </row>
    <row r="78" spans="1:71" ht="24.95" customHeight="1" x14ac:dyDescent="0.55000000000000004">
      <c r="A78" s="109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24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130"/>
    </row>
    <row r="79" spans="1:71" ht="32.1" customHeight="1" thickBot="1" x14ac:dyDescent="0.6">
      <c r="A79" s="98"/>
      <c r="B79" s="99"/>
      <c r="C79" s="100"/>
      <c r="D79" s="100"/>
      <c r="E79" s="441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130"/>
    </row>
    <row r="80" spans="1:71" ht="32.1" customHeight="1" x14ac:dyDescent="0.55000000000000004">
      <c r="A80" s="103"/>
      <c r="B80" s="104"/>
      <c r="C80" s="105"/>
      <c r="D80" s="105"/>
      <c r="E80" s="439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130"/>
    </row>
    <row r="81" spans="1:71" ht="24.95" customHeight="1" x14ac:dyDescent="0.55000000000000004">
      <c r="A81" s="268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2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130"/>
    </row>
    <row r="82" spans="1:71" ht="32.1" customHeight="1" x14ac:dyDescent="0.55000000000000004">
      <c r="A82" s="51"/>
      <c r="B82" s="52"/>
      <c r="C82" s="66"/>
      <c r="D82" s="66"/>
      <c r="E82" s="42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130"/>
    </row>
    <row r="83" spans="1:71" ht="24.95" customHeight="1" x14ac:dyDescent="0.55000000000000004">
      <c r="A83" s="60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24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130"/>
    </row>
    <row r="84" spans="1:71" ht="32.1" customHeight="1" x14ac:dyDescent="0.55000000000000004">
      <c r="A84" s="51"/>
      <c r="B84" s="52"/>
      <c r="C84" s="66"/>
      <c r="D84" s="66"/>
      <c r="E84" s="424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130"/>
    </row>
    <row r="85" spans="1:71" ht="24.95" customHeight="1" x14ac:dyDescent="0.55000000000000004">
      <c r="A85" s="60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2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130"/>
    </row>
    <row r="86" spans="1:71" ht="32.1" customHeight="1" thickBot="1" x14ac:dyDescent="0.6">
      <c r="A86" s="68"/>
      <c r="B86" s="69"/>
      <c r="C86" s="70"/>
      <c r="D86" s="70"/>
      <c r="E86" s="440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130"/>
    </row>
    <row r="87" spans="1:71" ht="32.1" customHeight="1" x14ac:dyDescent="0.55000000000000004">
      <c r="A87" s="71"/>
      <c r="B87" s="72"/>
      <c r="C87" s="73"/>
      <c r="D87" s="73"/>
      <c r="E87" s="423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130"/>
    </row>
    <row r="88" spans="1:71" ht="24.95" customHeight="1" x14ac:dyDescent="0.55000000000000004">
      <c r="A88" s="60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2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130"/>
    </row>
    <row r="89" spans="1:71" ht="32.1" customHeight="1" x14ac:dyDescent="0.55000000000000004">
      <c r="A89" s="51"/>
      <c r="B89" s="52"/>
      <c r="C89" s="66"/>
      <c r="D89" s="66"/>
      <c r="E89" s="42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130"/>
    </row>
    <row r="90" spans="1:71" ht="24.95" customHeight="1" x14ac:dyDescent="0.55000000000000004">
      <c r="A90" s="60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2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130"/>
    </row>
    <row r="91" spans="1:71" ht="32.1" customHeight="1" x14ac:dyDescent="0.55000000000000004">
      <c r="A91" s="51"/>
      <c r="B91" s="52"/>
      <c r="C91" s="66"/>
      <c r="D91" s="66"/>
      <c r="E91" s="42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130"/>
    </row>
    <row r="92" spans="1:71" ht="24.95" customHeight="1" x14ac:dyDescent="0.55000000000000004">
      <c r="A92" s="60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2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130"/>
    </row>
    <row r="93" spans="1:71" s="117" customFormat="1" ht="31.9" customHeight="1" x14ac:dyDescent="0.55000000000000004">
      <c r="A93" s="51"/>
      <c r="B93" s="52"/>
      <c r="C93" s="66"/>
      <c r="D93" s="66"/>
      <c r="E93" s="42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52"/>
    </row>
    <row r="94" spans="1:71" ht="24.95" customHeight="1" x14ac:dyDescent="0.55000000000000004">
      <c r="A94" s="60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2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130"/>
    </row>
    <row r="95" spans="1:71" s="117" customFormat="1" ht="31.9" customHeight="1" x14ac:dyDescent="0.55000000000000004">
      <c r="A95" s="51"/>
      <c r="B95" s="52"/>
      <c r="C95" s="66"/>
      <c r="D95" s="66"/>
      <c r="E95" s="42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52"/>
    </row>
    <row r="96" spans="1:71" ht="24.95" customHeight="1" x14ac:dyDescent="0.55000000000000004">
      <c r="A96" s="60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2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130"/>
    </row>
    <row r="97" spans="1:71" s="117" customFormat="1" ht="32.1" customHeight="1" x14ac:dyDescent="0.55000000000000004">
      <c r="A97" s="51"/>
      <c r="B97" s="52"/>
      <c r="C97" s="66"/>
      <c r="D97" s="66"/>
      <c r="E97" s="42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52"/>
    </row>
    <row r="98" spans="1:71" ht="24.95" customHeight="1" x14ac:dyDescent="0.55000000000000004">
      <c r="A98" s="60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2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130"/>
    </row>
    <row r="99" spans="1:71" ht="32.1" customHeight="1" x14ac:dyDescent="0.55000000000000004">
      <c r="A99" s="51"/>
      <c r="B99" s="52"/>
      <c r="C99" s="66"/>
      <c r="D99" s="66"/>
      <c r="E99" s="42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130"/>
    </row>
    <row r="100" spans="1:71" ht="24.95" customHeight="1" x14ac:dyDescent="0.55000000000000004">
      <c r="A100" s="60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2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130"/>
    </row>
    <row r="101" spans="1:71" ht="32.1" customHeight="1" x14ac:dyDescent="0.55000000000000004">
      <c r="A101" s="51"/>
      <c r="B101" s="52"/>
      <c r="C101" s="66"/>
      <c r="D101" s="66"/>
      <c r="E101" s="42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130"/>
    </row>
    <row r="102" spans="1:71" ht="24.95" customHeight="1" x14ac:dyDescent="0.55000000000000004">
      <c r="A102" s="60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2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130"/>
    </row>
    <row r="103" spans="1:71" ht="32.1" customHeight="1" x14ac:dyDescent="0.55000000000000004">
      <c r="A103" s="51"/>
      <c r="B103" s="52"/>
      <c r="C103" s="66"/>
      <c r="D103" s="66"/>
      <c r="E103" s="42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130"/>
    </row>
    <row r="104" spans="1:71" ht="24.95" customHeight="1" x14ac:dyDescent="0.55000000000000004">
      <c r="A104" s="60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2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130"/>
    </row>
    <row r="105" spans="1:71" ht="32.1" customHeight="1" x14ac:dyDescent="0.55000000000000004">
      <c r="A105" s="51"/>
      <c r="B105" s="52"/>
      <c r="C105" s="66"/>
      <c r="D105" s="66"/>
      <c r="E105" s="42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130"/>
    </row>
    <row r="106" spans="1:71" ht="24.95" customHeight="1" x14ac:dyDescent="0.55000000000000004">
      <c r="A106" s="60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2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130"/>
    </row>
    <row r="107" spans="1:71" ht="32.1" customHeight="1" x14ac:dyDescent="0.55000000000000004">
      <c r="A107" s="51"/>
      <c r="B107" s="52"/>
      <c r="C107" s="66"/>
      <c r="D107" s="66"/>
      <c r="E107" s="42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130"/>
    </row>
    <row r="108" spans="1:71" ht="24.95" customHeight="1" x14ac:dyDescent="0.55000000000000004">
      <c r="A108" s="268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2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130"/>
    </row>
    <row r="109" spans="1:71" ht="32.1" customHeight="1" thickBot="1" x14ac:dyDescent="0.6">
      <c r="A109" s="98"/>
      <c r="B109" s="99"/>
      <c r="C109" s="100"/>
      <c r="D109" s="100"/>
      <c r="E109" s="44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130"/>
    </row>
    <row r="110" spans="1:71" ht="32.1" customHeight="1" x14ac:dyDescent="0.55000000000000004">
      <c r="A110" s="103"/>
      <c r="B110" s="104"/>
      <c r="C110" s="105"/>
      <c r="D110" s="105"/>
      <c r="E110" s="439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130"/>
    </row>
    <row r="111" spans="1:71" ht="24.95" customHeight="1" x14ac:dyDescent="0.55000000000000004">
      <c r="A111" s="60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2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130"/>
    </row>
    <row r="112" spans="1:71" ht="32.1" customHeight="1" x14ac:dyDescent="0.55000000000000004">
      <c r="A112" s="51"/>
      <c r="B112" s="52"/>
      <c r="C112" s="66"/>
      <c r="D112" s="66"/>
      <c r="E112" s="42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130"/>
    </row>
    <row r="113" spans="1:71" ht="24.95" customHeight="1" x14ac:dyDescent="0.55000000000000004">
      <c r="A113" s="60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2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130"/>
    </row>
    <row r="114" spans="1:71" ht="32.1" customHeight="1" x14ac:dyDescent="0.55000000000000004">
      <c r="A114" s="51"/>
      <c r="B114" s="52"/>
      <c r="C114" s="66"/>
      <c r="D114" s="66"/>
      <c r="E114" s="42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130"/>
    </row>
    <row r="115" spans="1:71" ht="24.95" customHeight="1" x14ac:dyDescent="0.55000000000000004">
      <c r="A115" s="60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2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130"/>
    </row>
    <row r="116" spans="1:71" ht="32.1" customHeight="1" x14ac:dyDescent="0.55000000000000004">
      <c r="A116" s="51"/>
      <c r="B116" s="52"/>
      <c r="C116" s="66"/>
      <c r="D116" s="66"/>
      <c r="E116" s="42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130"/>
    </row>
    <row r="117" spans="1:71" ht="24.95" customHeight="1" x14ac:dyDescent="0.55000000000000004">
      <c r="A117" s="268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2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130"/>
    </row>
    <row r="118" spans="1:71" ht="32.1" customHeight="1" x14ac:dyDescent="0.55000000000000004">
      <c r="A118" s="51"/>
      <c r="B118" s="52"/>
      <c r="C118" s="66"/>
      <c r="D118" s="66"/>
      <c r="E118" s="424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130"/>
    </row>
    <row r="119" spans="1:71" ht="24.95" customHeight="1" x14ac:dyDescent="0.55000000000000004">
      <c r="A119" s="268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2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130"/>
    </row>
    <row r="120" spans="1:71" ht="32.1" customHeight="1" x14ac:dyDescent="0.55000000000000004">
      <c r="A120" s="51"/>
      <c r="B120" s="52"/>
      <c r="C120" s="66"/>
      <c r="D120" s="66"/>
      <c r="E120" s="42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130"/>
    </row>
    <row r="121" spans="1:71" ht="24.95" customHeight="1" x14ac:dyDescent="0.55000000000000004">
      <c r="A121" s="268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2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130"/>
    </row>
    <row r="122" spans="1:71" ht="32.1" customHeight="1" x14ac:dyDescent="0.55000000000000004">
      <c r="A122" s="51"/>
      <c r="B122" s="52"/>
      <c r="C122" s="66"/>
      <c r="D122" s="66"/>
      <c r="E122" s="42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130"/>
    </row>
    <row r="123" spans="1:71" ht="24.95" customHeight="1" x14ac:dyDescent="0.55000000000000004">
      <c r="A123" s="60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2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130"/>
    </row>
    <row r="124" spans="1:71" ht="32.1" customHeight="1" x14ac:dyDescent="0.55000000000000004">
      <c r="A124" s="51"/>
      <c r="B124" s="52"/>
      <c r="C124" s="66"/>
      <c r="D124" s="66"/>
      <c r="E124" s="42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130"/>
    </row>
    <row r="125" spans="1:71" ht="24.95" customHeight="1" x14ac:dyDescent="0.55000000000000004">
      <c r="A125" s="268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2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130"/>
    </row>
    <row r="126" spans="1:71" ht="32.1" customHeight="1" x14ac:dyDescent="0.55000000000000004">
      <c r="A126" s="51"/>
      <c r="B126" s="52"/>
      <c r="C126" s="66"/>
      <c r="D126" s="66"/>
      <c r="E126" s="42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130"/>
    </row>
    <row r="127" spans="1:71" ht="24.95" customHeight="1" x14ac:dyDescent="0.55000000000000004">
      <c r="A127" s="268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2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130"/>
    </row>
    <row r="128" spans="1:71" ht="32.1" customHeight="1" x14ac:dyDescent="0.55000000000000004">
      <c r="A128" s="51"/>
      <c r="B128" s="52"/>
      <c r="C128" s="66"/>
      <c r="D128" s="66"/>
      <c r="E128" s="42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130"/>
    </row>
    <row r="129" spans="1:71" ht="24.95" customHeight="1" x14ac:dyDescent="0.55000000000000004">
      <c r="A129" s="60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2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130"/>
    </row>
    <row r="130" spans="1:71" ht="32.1" customHeight="1" x14ac:dyDescent="0.55000000000000004">
      <c r="A130" s="51"/>
      <c r="B130" s="52"/>
      <c r="C130" s="66"/>
      <c r="D130" s="66"/>
      <c r="E130" s="42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130"/>
    </row>
    <row r="131" spans="1:71" ht="24.95" customHeight="1" x14ac:dyDescent="0.55000000000000004">
      <c r="A131" s="268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2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130"/>
    </row>
    <row r="132" spans="1:71" ht="32.1" customHeight="1" x14ac:dyDescent="0.55000000000000004">
      <c r="A132" s="51"/>
      <c r="B132" s="52"/>
      <c r="C132" s="66"/>
      <c r="D132" s="66"/>
      <c r="E132" s="42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130"/>
    </row>
    <row r="133" spans="1:71" ht="24.95" customHeight="1" x14ac:dyDescent="0.55000000000000004">
      <c r="A133" s="268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2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130"/>
    </row>
    <row r="134" spans="1:71" ht="32.1" customHeight="1" x14ac:dyDescent="0.55000000000000004">
      <c r="A134" s="51"/>
      <c r="B134" s="52"/>
      <c r="C134" s="66"/>
      <c r="D134" s="66"/>
      <c r="E134" s="42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130"/>
    </row>
    <row r="135" spans="1:71" ht="24.95" customHeight="1" x14ac:dyDescent="0.55000000000000004">
      <c r="A135" s="268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2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130"/>
    </row>
    <row r="136" spans="1:71" ht="32.1" customHeight="1" x14ac:dyDescent="0.55000000000000004">
      <c r="A136" s="51"/>
      <c r="B136" s="52"/>
      <c r="C136" s="66"/>
      <c r="D136" s="66"/>
      <c r="E136" s="42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130"/>
    </row>
    <row r="137" spans="1:71" ht="24.95" customHeight="1" x14ac:dyDescent="0.55000000000000004">
      <c r="A137" s="268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2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130"/>
    </row>
    <row r="138" spans="1:71" ht="32.1" customHeight="1" x14ac:dyDescent="0.55000000000000004">
      <c r="A138" s="51"/>
      <c r="B138" s="52"/>
      <c r="C138" s="66"/>
      <c r="D138" s="66"/>
      <c r="E138" s="42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130"/>
    </row>
    <row r="139" spans="1:71" ht="24.95" customHeight="1" x14ac:dyDescent="0.55000000000000004">
      <c r="A139" s="268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2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130"/>
    </row>
    <row r="140" spans="1:71" ht="32.1" customHeight="1" x14ac:dyDescent="0.55000000000000004">
      <c r="A140" s="51"/>
      <c r="B140" s="52"/>
      <c r="C140" s="66"/>
      <c r="D140" s="66"/>
      <c r="E140" s="42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130"/>
    </row>
    <row r="141" spans="1:71" ht="24.95" customHeight="1" x14ac:dyDescent="0.55000000000000004">
      <c r="A141" s="60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24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130"/>
    </row>
    <row r="142" spans="1:71" ht="32.1" customHeight="1" x14ac:dyDescent="0.55000000000000004">
      <c r="A142" s="51"/>
      <c r="B142" s="52"/>
      <c r="C142" s="66"/>
      <c r="D142" s="66"/>
      <c r="E142" s="42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130"/>
    </row>
    <row r="143" spans="1:71" ht="24.95" customHeight="1" x14ac:dyDescent="0.55000000000000004">
      <c r="A143" s="268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2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130"/>
    </row>
    <row r="144" spans="1:71" ht="32.1" customHeight="1" x14ac:dyDescent="0.55000000000000004">
      <c r="A144" s="51"/>
      <c r="B144" s="52"/>
      <c r="C144" s="66"/>
      <c r="D144" s="66"/>
      <c r="E144" s="42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130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2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130"/>
    </row>
    <row r="146" spans="1:71" ht="32.1" customHeight="1" x14ac:dyDescent="0.55000000000000004">
      <c r="A146" s="51"/>
      <c r="B146" s="52"/>
      <c r="C146" s="66"/>
      <c r="D146" s="66"/>
      <c r="E146" s="42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130"/>
    </row>
    <row r="147" spans="1:71" ht="24.95" customHeight="1" x14ac:dyDescent="0.55000000000000004">
      <c r="A147" s="169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2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130"/>
    </row>
    <row r="148" spans="1:71" ht="32.1" customHeight="1" x14ac:dyDescent="0.55000000000000004">
      <c r="B148" s="52"/>
      <c r="C148" s="66"/>
      <c r="D148" s="66"/>
      <c r="E148" s="42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130"/>
    </row>
    <row r="149" spans="1:71" ht="24.95" customHeight="1" x14ac:dyDescent="0.55000000000000004">
      <c r="A149" s="268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2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130"/>
    </row>
    <row r="150" spans="1:71" ht="32.1" customHeight="1" x14ac:dyDescent="0.55000000000000004">
      <c r="A150" s="154"/>
      <c r="B150" s="52"/>
      <c r="C150" s="66"/>
      <c r="D150" s="66"/>
      <c r="E150" s="424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130"/>
    </row>
    <row r="151" spans="1:71" ht="24.95" customHeight="1" x14ac:dyDescent="0.55000000000000004">
      <c r="A151" s="268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2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130"/>
    </row>
    <row r="152" spans="1:71" ht="32.1" customHeight="1" x14ac:dyDescent="0.55000000000000004">
      <c r="A152" s="51"/>
      <c r="B152" s="52"/>
      <c r="C152" s="66"/>
      <c r="D152" s="66"/>
      <c r="E152" s="42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130"/>
    </row>
    <row r="153" spans="1:71" ht="24.95" customHeight="1" x14ac:dyDescent="0.55000000000000004">
      <c r="A153" s="268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2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130"/>
    </row>
    <row r="154" spans="1:71" ht="32.1" customHeight="1" thickBot="1" x14ac:dyDescent="0.6">
      <c r="A154" s="68"/>
      <c r="B154" s="69"/>
      <c r="C154" s="70"/>
      <c r="D154" s="70"/>
      <c r="E154" s="440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130"/>
    </row>
    <row r="155" spans="1:71" ht="32.1" customHeight="1" x14ac:dyDescent="0.55000000000000004">
      <c r="A155" s="71"/>
      <c r="B155" s="72"/>
      <c r="C155" s="73"/>
      <c r="D155" s="73"/>
      <c r="E155" s="423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130"/>
    </row>
    <row r="156" spans="1:71" ht="24.95" customHeight="1" x14ac:dyDescent="0.55000000000000004">
      <c r="A156" s="268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2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130"/>
    </row>
    <row r="157" spans="1:71" ht="32.1" customHeight="1" x14ac:dyDescent="0.55000000000000004">
      <c r="A157" s="51"/>
      <c r="B157" s="52"/>
      <c r="C157" s="66"/>
      <c r="D157" s="66"/>
      <c r="E157" s="42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130"/>
    </row>
    <row r="158" spans="1:71" ht="24.95" customHeight="1" x14ac:dyDescent="0.55000000000000004">
      <c r="A158" s="268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2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130"/>
    </row>
    <row r="159" spans="1:71" ht="32.1" customHeight="1" x14ac:dyDescent="0.55000000000000004">
      <c r="A159" s="51"/>
      <c r="B159" s="52"/>
      <c r="C159" s="66"/>
      <c r="D159" s="66"/>
      <c r="E159" s="424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130"/>
    </row>
    <row r="160" spans="1:71" ht="24.95" customHeight="1" x14ac:dyDescent="0.55000000000000004">
      <c r="A160" s="60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2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130"/>
    </row>
    <row r="161" spans="1:71" ht="32.1" customHeight="1" x14ac:dyDescent="0.55000000000000004">
      <c r="A161" s="51"/>
      <c r="B161" s="52"/>
      <c r="C161" s="66"/>
      <c r="D161" s="66"/>
      <c r="E161" s="42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130"/>
    </row>
    <row r="162" spans="1:71" ht="24.95" customHeight="1" x14ac:dyDescent="0.55000000000000004">
      <c r="A162" s="268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2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130"/>
    </row>
    <row r="163" spans="1:71" ht="32.1" customHeight="1" x14ac:dyDescent="0.55000000000000004">
      <c r="A163" s="51"/>
      <c r="B163" s="52"/>
      <c r="C163" s="66"/>
      <c r="D163" s="66"/>
      <c r="E163" s="42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130"/>
    </row>
    <row r="164" spans="1:71" ht="24.95" customHeight="1" x14ac:dyDescent="0.55000000000000004">
      <c r="A164" s="109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2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130"/>
    </row>
    <row r="165" spans="1:71" ht="32.1" customHeight="1" x14ac:dyDescent="0.55000000000000004">
      <c r="A165" s="51"/>
      <c r="B165" s="52"/>
      <c r="C165" s="52"/>
      <c r="D165" s="52"/>
      <c r="E165" s="424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130"/>
    </row>
    <row r="166" spans="1:71" ht="42.75" customHeight="1" x14ac:dyDescent="0.25">
      <c r="A166" s="427" t="s">
        <v>259</v>
      </c>
      <c r="B166" s="428"/>
      <c r="C166" s="428"/>
      <c r="D166" s="428"/>
      <c r="E166" s="429"/>
      <c r="F166" s="202">
        <f t="shared" ref="F166:K166" si="1">(COUNTIF(F16:F165,"N")+COUNTIF(F16:F165,"I"))</f>
        <v>0</v>
      </c>
      <c r="G166" s="202">
        <f t="shared" si="1"/>
        <v>0</v>
      </c>
      <c r="H166" s="202">
        <f t="shared" si="1"/>
        <v>0</v>
      </c>
      <c r="I166" s="202">
        <f t="shared" si="1"/>
        <v>0</v>
      </c>
      <c r="J166" s="202">
        <f t="shared" si="1"/>
        <v>0</v>
      </c>
      <c r="K166" s="202">
        <f t="shared" si="1"/>
        <v>0</v>
      </c>
      <c r="L166" s="202">
        <f>(COUNTIF(L16:L165,"N")+COUNTIF(L16:L165,"I"))/2</f>
        <v>0.5</v>
      </c>
      <c r="M166" s="202">
        <f>(COUNTIF(M16:M165,"N")+COUNTIF(M16:M165,"I"))</f>
        <v>1</v>
      </c>
      <c r="N166" s="202">
        <f>(COUNTIF(N16:N165,"N")+COUNTIF(N16:N165,"I"))</f>
        <v>1</v>
      </c>
      <c r="O166" s="202">
        <f>(COUNTIF(O14:O163,"N")+COUNTIF(O14:O163,"I"))</f>
        <v>1</v>
      </c>
      <c r="P166" s="202">
        <f>(COUNTIF(P16:P165,"N")+COUNTIF(P16:P165,"I"))</f>
        <v>1</v>
      </c>
      <c r="Q166" s="202">
        <f>(COUNTIF(Q16:Q165,"N")+COUNTIF(Q16:Q165,"I"))</f>
        <v>1</v>
      </c>
      <c r="R166" s="202">
        <f>(COUNTIF(R16:R165,"N")+COUNTIF(R16:R165,"I"))</f>
        <v>1</v>
      </c>
      <c r="S166" s="202">
        <f t="shared" ref="S166:AX166" si="2">(COUNTIF(S14:S163,"N")+COUNTIF(S14:S163,"I"))</f>
        <v>0</v>
      </c>
      <c r="T166" s="202">
        <f t="shared" si="2"/>
        <v>1</v>
      </c>
      <c r="U166" s="202">
        <f t="shared" si="2"/>
        <v>1</v>
      </c>
      <c r="V166" s="202">
        <f t="shared" si="2"/>
        <v>1</v>
      </c>
      <c r="W166" s="202">
        <f t="shared" si="2"/>
        <v>1</v>
      </c>
      <c r="X166" s="202">
        <f t="shared" si="2"/>
        <v>1</v>
      </c>
      <c r="Y166" s="202">
        <f t="shared" si="2"/>
        <v>1</v>
      </c>
      <c r="Z166" s="202">
        <f t="shared" si="2"/>
        <v>1</v>
      </c>
      <c r="AA166" s="202">
        <f t="shared" si="2"/>
        <v>1</v>
      </c>
      <c r="AB166" s="202">
        <f t="shared" si="2"/>
        <v>1</v>
      </c>
      <c r="AC166" s="202">
        <f t="shared" si="2"/>
        <v>0</v>
      </c>
      <c r="AD166" s="202">
        <f t="shared" si="2"/>
        <v>0</v>
      </c>
      <c r="AE166" s="202">
        <f t="shared" si="2"/>
        <v>0</v>
      </c>
      <c r="AF166" s="202">
        <f t="shared" si="2"/>
        <v>0</v>
      </c>
      <c r="AG166" s="202">
        <f t="shared" si="2"/>
        <v>0</v>
      </c>
      <c r="AH166" s="202">
        <f t="shared" si="2"/>
        <v>0</v>
      </c>
      <c r="AI166" s="202">
        <f t="shared" si="2"/>
        <v>0</v>
      </c>
      <c r="AJ166" s="202">
        <f t="shared" si="2"/>
        <v>0</v>
      </c>
      <c r="AK166" s="202">
        <f t="shared" si="2"/>
        <v>0</v>
      </c>
      <c r="AL166" s="202">
        <f t="shared" si="2"/>
        <v>0</v>
      </c>
      <c r="AM166" s="202">
        <f t="shared" si="2"/>
        <v>0</v>
      </c>
      <c r="AN166" s="202">
        <f t="shared" si="2"/>
        <v>0</v>
      </c>
      <c r="AO166" s="202">
        <f t="shared" si="2"/>
        <v>0</v>
      </c>
      <c r="AP166" s="202">
        <f t="shared" si="2"/>
        <v>0</v>
      </c>
      <c r="AQ166" s="202">
        <f t="shared" si="2"/>
        <v>0</v>
      </c>
      <c r="AR166" s="202">
        <f t="shared" si="2"/>
        <v>0</v>
      </c>
      <c r="AS166" s="202">
        <f t="shared" si="2"/>
        <v>0</v>
      </c>
      <c r="AT166" s="202">
        <f t="shared" si="2"/>
        <v>0</v>
      </c>
      <c r="AU166" s="202">
        <f t="shared" si="2"/>
        <v>0</v>
      </c>
      <c r="AV166" s="202">
        <f t="shared" si="2"/>
        <v>0</v>
      </c>
      <c r="AW166" s="202">
        <f t="shared" si="2"/>
        <v>0</v>
      </c>
      <c r="AX166" s="202">
        <f t="shared" si="2"/>
        <v>0</v>
      </c>
      <c r="AY166" s="202">
        <f t="shared" ref="AY166:BR166" si="3">(COUNTIF(AY14:AY163,"N")+COUNTIF(AY14:AY163,"I"))</f>
        <v>0</v>
      </c>
      <c r="AZ166" s="202">
        <f t="shared" si="3"/>
        <v>0</v>
      </c>
      <c r="BA166" s="202">
        <f t="shared" si="3"/>
        <v>0</v>
      </c>
      <c r="BB166" s="202">
        <f t="shared" si="3"/>
        <v>0</v>
      </c>
      <c r="BC166" s="202">
        <f t="shared" si="3"/>
        <v>0</v>
      </c>
      <c r="BD166" s="202">
        <f t="shared" si="3"/>
        <v>0</v>
      </c>
      <c r="BE166" s="202">
        <f t="shared" si="3"/>
        <v>0</v>
      </c>
      <c r="BF166" s="202">
        <f t="shared" si="3"/>
        <v>0</v>
      </c>
      <c r="BG166" s="202">
        <f t="shared" si="3"/>
        <v>0</v>
      </c>
      <c r="BH166" s="202">
        <f t="shared" si="3"/>
        <v>0</v>
      </c>
      <c r="BI166" s="202">
        <f t="shared" si="3"/>
        <v>0</v>
      </c>
      <c r="BJ166" s="202">
        <f t="shared" si="3"/>
        <v>0</v>
      </c>
      <c r="BK166" s="202">
        <f t="shared" si="3"/>
        <v>0</v>
      </c>
      <c r="BL166" s="202">
        <f t="shared" si="3"/>
        <v>0</v>
      </c>
      <c r="BM166" s="202">
        <f t="shared" si="3"/>
        <v>0</v>
      </c>
      <c r="BN166" s="202">
        <f t="shared" si="3"/>
        <v>0</v>
      </c>
      <c r="BO166" s="202">
        <f t="shared" si="3"/>
        <v>0</v>
      </c>
      <c r="BP166" s="202">
        <f t="shared" si="3"/>
        <v>0</v>
      </c>
      <c r="BQ166" s="202">
        <f t="shared" si="3"/>
        <v>0</v>
      </c>
      <c r="BR166" s="202">
        <f t="shared" si="3"/>
        <v>0</v>
      </c>
      <c r="BS166" s="130"/>
    </row>
    <row r="167" spans="1:71" ht="45" customHeight="1" x14ac:dyDescent="0.25">
      <c r="A167" s="425" t="s">
        <v>42</v>
      </c>
      <c r="B167" s="426"/>
      <c r="C167" s="426"/>
      <c r="D167" s="426"/>
      <c r="E167" s="426"/>
      <c r="F167" s="124">
        <f>F168</f>
        <v>0</v>
      </c>
      <c r="G167" s="422">
        <f>SUM(G168:J168)</f>
        <v>0</v>
      </c>
      <c r="H167" s="422"/>
      <c r="I167" s="422"/>
      <c r="J167" s="422"/>
      <c r="K167" s="422">
        <f>SUM(K168:L168)</f>
        <v>0.5</v>
      </c>
      <c r="L167" s="422"/>
      <c r="M167" s="422">
        <f>SUM(M168:N168)</f>
        <v>1</v>
      </c>
      <c r="N167" s="422"/>
      <c r="O167" s="422">
        <f>SUM(O168:P168)</f>
        <v>1</v>
      </c>
      <c r="P167" s="422"/>
      <c r="Q167" s="422">
        <f>SUM(Q168:R168)</f>
        <v>1</v>
      </c>
      <c r="R167" s="422"/>
      <c r="S167" s="422">
        <f>SUM(S168:U168)</f>
        <v>0.5</v>
      </c>
      <c r="T167" s="422"/>
      <c r="U167" s="422"/>
      <c r="V167" s="422">
        <f>SUM(V168:Y168)</f>
        <v>1</v>
      </c>
      <c r="W167" s="422"/>
      <c r="X167" s="422"/>
      <c r="Y167" s="422"/>
      <c r="Z167" s="422">
        <f>SUM(Z168:AC168)</f>
        <v>0.75</v>
      </c>
      <c r="AA167" s="422"/>
      <c r="AB167" s="422"/>
      <c r="AC167" s="422"/>
      <c r="AD167" s="422">
        <f>SUM(AD168:AE168)</f>
        <v>0</v>
      </c>
      <c r="AE167" s="422"/>
      <c r="AF167" s="422">
        <f>SUM(AF168:AG168)</f>
        <v>0</v>
      </c>
      <c r="AG167" s="422"/>
      <c r="AH167" s="422">
        <f>SUM(AH168:AI168)</f>
        <v>0</v>
      </c>
      <c r="AI167" s="422"/>
      <c r="AJ167" s="422">
        <f>SUM(AJ168:AK168)</f>
        <v>0</v>
      </c>
      <c r="AK167" s="422"/>
      <c r="AL167" s="422">
        <f>SUM(AL168:AN168)</f>
        <v>0</v>
      </c>
      <c r="AM167" s="422"/>
      <c r="AN167" s="422"/>
      <c r="AO167" s="422">
        <f>SUM(AO168:AR168)</f>
        <v>0</v>
      </c>
      <c r="AP167" s="422"/>
      <c r="AQ167" s="422"/>
      <c r="AR167" s="422"/>
      <c r="AS167" s="422">
        <f>SUM(AS168:AV168)</f>
        <v>0</v>
      </c>
      <c r="AT167" s="422"/>
      <c r="AU167" s="422"/>
      <c r="AV167" s="422"/>
      <c r="AW167" s="422">
        <f>SUM(AW168:AY168)</f>
        <v>0</v>
      </c>
      <c r="AX167" s="422"/>
      <c r="AY167" s="422"/>
      <c r="AZ167" s="422">
        <f>SUM(AZ168:BA168)</f>
        <v>0</v>
      </c>
      <c r="BA167" s="422"/>
      <c r="BB167" s="422">
        <f>SUM(BB168:BC168)</f>
        <v>0</v>
      </c>
      <c r="BC167" s="422"/>
      <c r="BD167" s="422">
        <f>SUM(BD168:BF168)</f>
        <v>0</v>
      </c>
      <c r="BE167" s="422"/>
      <c r="BF167" s="422"/>
      <c r="BG167" s="422">
        <f>SUM(BG168:BH168)</f>
        <v>0</v>
      </c>
      <c r="BH167" s="422"/>
      <c r="BI167" s="422">
        <f>SUM(BI168:BJ168)</f>
        <v>0</v>
      </c>
      <c r="BJ167" s="422"/>
      <c r="BK167" s="422">
        <f>SUM(BK168:BL168)</f>
        <v>0</v>
      </c>
      <c r="BL167" s="422"/>
      <c r="BM167" s="422">
        <f>SUM(BM168:BN168)</f>
        <v>0</v>
      </c>
      <c r="BN167" s="422"/>
      <c r="BO167" s="422">
        <f>SUM(BO168:BP168)</f>
        <v>0</v>
      </c>
      <c r="BP167" s="422"/>
      <c r="BQ167" s="422">
        <f>SUM(BQ168:BR168)</f>
        <v>0</v>
      </c>
      <c r="BR167" s="422"/>
      <c r="BS167" s="130"/>
    </row>
    <row r="168" spans="1:71" ht="43.9" customHeight="1" x14ac:dyDescent="0.25">
      <c r="A168" s="425"/>
      <c r="B168" s="426"/>
      <c r="C168" s="426"/>
      <c r="D168" s="426"/>
      <c r="E168" s="426"/>
      <c r="F168" s="181">
        <f>(COUNTIF(F16:F165,"N")+COUNTIF(F16:F165,"I"))/4</f>
        <v>0</v>
      </c>
      <c r="G168" s="181">
        <f>(COUNTIF(G16:G165,"N")+COUNTIF(G16:G165,"I"))/4</f>
        <v>0</v>
      </c>
      <c r="H168" s="181">
        <f>(COUNTIF(H16:H165,"N")+COUNTIF(H16:H165,"I"))/4</f>
        <v>0</v>
      </c>
      <c r="I168" s="181">
        <f>(COUNTIF(I16:I165,"N")+COUNTIF(I16:I165,"I"))/4</f>
        <v>0</v>
      </c>
      <c r="J168" s="181">
        <f>(COUNTIF(J16:J165,"N")+COUNTIF(J16:J165,"I"))/4</f>
        <v>0</v>
      </c>
      <c r="K168" s="181">
        <f t="shared" ref="K168:S168" si="4">(COUNTIF(K16:K165,"N")+COUNTIF(K16:K165,"I"))/2</f>
        <v>0</v>
      </c>
      <c r="L168" s="181">
        <f t="shared" si="4"/>
        <v>0.5</v>
      </c>
      <c r="M168" s="181">
        <f t="shared" si="4"/>
        <v>0.5</v>
      </c>
      <c r="N168" s="181">
        <f t="shared" si="4"/>
        <v>0.5</v>
      </c>
      <c r="O168" s="181">
        <f t="shared" si="4"/>
        <v>0.5</v>
      </c>
      <c r="P168" s="181">
        <f t="shared" si="4"/>
        <v>0.5</v>
      </c>
      <c r="Q168" s="181">
        <f t="shared" si="4"/>
        <v>0.5</v>
      </c>
      <c r="R168" s="181">
        <f t="shared" si="4"/>
        <v>0.5</v>
      </c>
      <c r="S168" s="181">
        <f t="shared" si="4"/>
        <v>0</v>
      </c>
      <c r="T168" s="181">
        <f t="shared" ref="T168:AC168" si="5">(COUNTIF(T16:T165,"N")+COUNTIF(T16:T165,"I"))/4</f>
        <v>0.25</v>
      </c>
      <c r="U168" s="181">
        <f t="shared" si="5"/>
        <v>0.25</v>
      </c>
      <c r="V168" s="181">
        <f t="shared" si="5"/>
        <v>0.25</v>
      </c>
      <c r="W168" s="181">
        <f t="shared" si="5"/>
        <v>0.25</v>
      </c>
      <c r="X168" s="181">
        <f t="shared" si="5"/>
        <v>0.25</v>
      </c>
      <c r="Y168" s="181">
        <f t="shared" si="5"/>
        <v>0.25</v>
      </c>
      <c r="Z168" s="181">
        <f t="shared" si="5"/>
        <v>0.25</v>
      </c>
      <c r="AA168" s="181">
        <f t="shared" si="5"/>
        <v>0.25</v>
      </c>
      <c r="AB168" s="181">
        <f t="shared" si="5"/>
        <v>0.25</v>
      </c>
      <c r="AC168" s="181">
        <f t="shared" si="5"/>
        <v>0</v>
      </c>
      <c r="AD168" s="181">
        <f t="shared" ref="AD168:AL168" si="6">(COUNTIF(AD16:AD165,"N")+COUNTIF(AD16:AD165,"I"))/2</f>
        <v>0</v>
      </c>
      <c r="AE168" s="181">
        <f t="shared" si="6"/>
        <v>0</v>
      </c>
      <c r="AF168" s="181">
        <f t="shared" si="6"/>
        <v>0</v>
      </c>
      <c r="AG168" s="181">
        <f t="shared" si="6"/>
        <v>0</v>
      </c>
      <c r="AH168" s="181">
        <f t="shared" si="6"/>
        <v>0</v>
      </c>
      <c r="AI168" s="181">
        <f t="shared" si="6"/>
        <v>0</v>
      </c>
      <c r="AJ168" s="181">
        <f t="shared" si="6"/>
        <v>0</v>
      </c>
      <c r="AK168" s="181">
        <f t="shared" si="6"/>
        <v>0</v>
      </c>
      <c r="AL168" s="181">
        <f t="shared" si="6"/>
        <v>0</v>
      </c>
      <c r="AM168" s="181">
        <f t="shared" ref="AM168:AX168" si="7">(COUNTIF(AM16:AM165,"N")+COUNTIF(AM16:AM165,"I"))/4</f>
        <v>0</v>
      </c>
      <c r="AN168" s="181">
        <f t="shared" si="7"/>
        <v>0</v>
      </c>
      <c r="AO168" s="181">
        <f t="shared" si="7"/>
        <v>0</v>
      </c>
      <c r="AP168" s="181">
        <f t="shared" si="7"/>
        <v>0</v>
      </c>
      <c r="AQ168" s="181">
        <f t="shared" si="7"/>
        <v>0</v>
      </c>
      <c r="AR168" s="181">
        <f t="shared" si="7"/>
        <v>0</v>
      </c>
      <c r="AS168" s="181">
        <f t="shared" si="7"/>
        <v>0</v>
      </c>
      <c r="AT168" s="181">
        <f t="shared" si="7"/>
        <v>0</v>
      </c>
      <c r="AU168" s="181">
        <f t="shared" si="7"/>
        <v>0</v>
      </c>
      <c r="AV168" s="181">
        <f t="shared" si="7"/>
        <v>0</v>
      </c>
      <c r="AW168" s="181">
        <f t="shared" si="7"/>
        <v>0</v>
      </c>
      <c r="AX168" s="181">
        <f t="shared" si="7"/>
        <v>0</v>
      </c>
      <c r="AY168" s="181">
        <f>(COUNTIF(AY16:AY165,"N")+COUNTIF(AY16:AY165,"I"))/2</f>
        <v>0</v>
      </c>
      <c r="AZ168" s="181">
        <f>(COUNTIF(AZ16:AZ165,"N")+COUNTIF(AZ16:AZ165,"I"))/2</f>
        <v>0</v>
      </c>
      <c r="BA168" s="181">
        <f>(COUNTIF(BA16:BA165,"N")+COUNTIF(BA16:BA165,"I"))/2</f>
        <v>0</v>
      </c>
      <c r="BB168" s="181">
        <f>(COUNTIF(BB16:BB165,"N")+COUNTIF(BB16:BB165,"I"))/2</f>
        <v>0</v>
      </c>
      <c r="BC168" s="181">
        <f>(COUNTIF(BC16:BC165,"N")+COUNTIF(BC16:BC165,"I"))/2</f>
        <v>0</v>
      </c>
      <c r="BD168" s="181">
        <f>(COUNTIF(BD16:BD165,"N")+COUNTIF(BD16:BD165,"I"))/4</f>
        <v>0</v>
      </c>
      <c r="BE168" s="181">
        <f>(COUNTIF(BE16:BE165,"N")+COUNTIF(BE16:BE165,"I"))/4</f>
        <v>0</v>
      </c>
      <c r="BF168" s="181">
        <f t="shared" ref="BF168:BR168" si="8">(COUNTIF(BF16:BF165,"N")+COUNTIF(BF16:BF165,"I"))/2</f>
        <v>0</v>
      </c>
      <c r="BG168" s="181">
        <f t="shared" si="8"/>
        <v>0</v>
      </c>
      <c r="BH168" s="181">
        <f t="shared" si="8"/>
        <v>0</v>
      </c>
      <c r="BI168" s="181">
        <f t="shared" si="8"/>
        <v>0</v>
      </c>
      <c r="BJ168" s="181">
        <f t="shared" si="8"/>
        <v>0</v>
      </c>
      <c r="BK168" s="181">
        <f t="shared" si="8"/>
        <v>0</v>
      </c>
      <c r="BL168" s="181">
        <f t="shared" si="8"/>
        <v>0</v>
      </c>
      <c r="BM168" s="181">
        <f t="shared" si="8"/>
        <v>0</v>
      </c>
      <c r="BN168" s="181">
        <f t="shared" si="8"/>
        <v>0</v>
      </c>
      <c r="BO168" s="181">
        <f t="shared" si="8"/>
        <v>0</v>
      </c>
      <c r="BP168" s="181">
        <f t="shared" si="8"/>
        <v>0</v>
      </c>
      <c r="BQ168" s="181">
        <f t="shared" si="8"/>
        <v>0</v>
      </c>
      <c r="BR168" s="181">
        <f t="shared" si="8"/>
        <v>0</v>
      </c>
      <c r="BS168" s="130"/>
    </row>
    <row r="169" spans="1:71" ht="45" customHeight="1" x14ac:dyDescent="0.25">
      <c r="A169" s="427" t="s">
        <v>250</v>
      </c>
      <c r="B169" s="428"/>
      <c r="C169" s="428"/>
      <c r="D169" s="428"/>
      <c r="E169" s="429"/>
      <c r="F169" s="180">
        <f t="shared" ref="F169:AK169" si="9">IFERROR(F2/F167,0)</f>
        <v>0</v>
      </c>
      <c r="G169" s="484">
        <f t="shared" si="9"/>
        <v>0</v>
      </c>
      <c r="H169" s="484">
        <f t="shared" si="9"/>
        <v>0</v>
      </c>
      <c r="I169" s="484">
        <f t="shared" si="9"/>
        <v>0</v>
      </c>
      <c r="J169" s="484">
        <f t="shared" si="9"/>
        <v>0</v>
      </c>
      <c r="K169" s="484">
        <f t="shared" si="9"/>
        <v>0</v>
      </c>
      <c r="L169" s="484">
        <f t="shared" si="9"/>
        <v>0</v>
      </c>
      <c r="M169" s="484">
        <f t="shared" si="9"/>
        <v>0</v>
      </c>
      <c r="N169" s="484">
        <f t="shared" si="9"/>
        <v>0</v>
      </c>
      <c r="O169" s="484">
        <f t="shared" si="9"/>
        <v>0</v>
      </c>
      <c r="P169" s="484">
        <f t="shared" si="9"/>
        <v>0</v>
      </c>
      <c r="Q169" s="484">
        <f t="shared" si="9"/>
        <v>0</v>
      </c>
      <c r="R169" s="484">
        <f t="shared" si="9"/>
        <v>0</v>
      </c>
      <c r="S169" s="484">
        <f t="shared" si="9"/>
        <v>0</v>
      </c>
      <c r="T169" s="484">
        <f t="shared" si="9"/>
        <v>0</v>
      </c>
      <c r="U169" s="484">
        <f t="shared" si="9"/>
        <v>0</v>
      </c>
      <c r="V169" s="484">
        <f t="shared" si="9"/>
        <v>0</v>
      </c>
      <c r="W169" s="484">
        <f t="shared" si="9"/>
        <v>0</v>
      </c>
      <c r="X169" s="484">
        <f t="shared" si="9"/>
        <v>0</v>
      </c>
      <c r="Y169" s="484">
        <f t="shared" si="9"/>
        <v>0</v>
      </c>
      <c r="Z169" s="484">
        <f t="shared" si="9"/>
        <v>0</v>
      </c>
      <c r="AA169" s="484">
        <f t="shared" si="9"/>
        <v>0</v>
      </c>
      <c r="AB169" s="484">
        <f t="shared" si="9"/>
        <v>0</v>
      </c>
      <c r="AC169" s="484">
        <f t="shared" si="9"/>
        <v>0</v>
      </c>
      <c r="AD169" s="484">
        <f t="shared" si="9"/>
        <v>0</v>
      </c>
      <c r="AE169" s="484">
        <f t="shared" si="9"/>
        <v>0</v>
      </c>
      <c r="AF169" s="484">
        <f t="shared" si="9"/>
        <v>0</v>
      </c>
      <c r="AG169" s="484">
        <f t="shared" si="9"/>
        <v>0</v>
      </c>
      <c r="AH169" s="484">
        <f t="shared" si="9"/>
        <v>0</v>
      </c>
      <c r="AI169" s="484">
        <f t="shared" si="9"/>
        <v>0</v>
      </c>
      <c r="AJ169" s="484">
        <f t="shared" si="9"/>
        <v>0</v>
      </c>
      <c r="AK169" s="484">
        <f t="shared" si="9"/>
        <v>0</v>
      </c>
      <c r="AL169" s="484">
        <f t="shared" ref="AL169:BR169" si="10">IFERROR(AL2/AL167,0)</f>
        <v>0</v>
      </c>
      <c r="AM169" s="484">
        <f t="shared" si="10"/>
        <v>0</v>
      </c>
      <c r="AN169" s="484">
        <f t="shared" si="10"/>
        <v>0</v>
      </c>
      <c r="AO169" s="484">
        <f t="shared" si="10"/>
        <v>0</v>
      </c>
      <c r="AP169" s="484">
        <f t="shared" si="10"/>
        <v>0</v>
      </c>
      <c r="AQ169" s="484">
        <f t="shared" si="10"/>
        <v>0</v>
      </c>
      <c r="AR169" s="484">
        <f t="shared" si="10"/>
        <v>0</v>
      </c>
      <c r="AS169" s="484">
        <f t="shared" si="10"/>
        <v>0</v>
      </c>
      <c r="AT169" s="484">
        <f t="shared" si="10"/>
        <v>0</v>
      </c>
      <c r="AU169" s="484">
        <f t="shared" si="10"/>
        <v>0</v>
      </c>
      <c r="AV169" s="484">
        <f t="shared" si="10"/>
        <v>0</v>
      </c>
      <c r="AW169" s="484">
        <f t="shared" si="10"/>
        <v>0</v>
      </c>
      <c r="AX169" s="484">
        <f t="shared" si="10"/>
        <v>0</v>
      </c>
      <c r="AY169" s="484">
        <f t="shared" si="10"/>
        <v>0</v>
      </c>
      <c r="AZ169" s="484">
        <f t="shared" si="10"/>
        <v>0</v>
      </c>
      <c r="BA169" s="484">
        <f t="shared" si="10"/>
        <v>0</v>
      </c>
      <c r="BB169" s="484">
        <f t="shared" si="10"/>
        <v>0</v>
      </c>
      <c r="BC169" s="484">
        <f t="shared" si="10"/>
        <v>0</v>
      </c>
      <c r="BD169" s="484">
        <f t="shared" si="10"/>
        <v>0</v>
      </c>
      <c r="BE169" s="484">
        <f t="shared" si="10"/>
        <v>0</v>
      </c>
      <c r="BF169" s="484">
        <f t="shared" si="10"/>
        <v>0</v>
      </c>
      <c r="BG169" s="493">
        <f t="shared" si="10"/>
        <v>0</v>
      </c>
      <c r="BH169" s="494">
        <f t="shared" si="10"/>
        <v>0</v>
      </c>
      <c r="BI169" s="484">
        <f t="shared" si="10"/>
        <v>0</v>
      </c>
      <c r="BJ169" s="484">
        <f t="shared" si="10"/>
        <v>0</v>
      </c>
      <c r="BK169" s="484">
        <f t="shared" si="10"/>
        <v>0</v>
      </c>
      <c r="BL169" s="484">
        <f t="shared" si="10"/>
        <v>0</v>
      </c>
      <c r="BM169" s="484">
        <f t="shared" si="10"/>
        <v>0</v>
      </c>
      <c r="BN169" s="484">
        <f t="shared" si="10"/>
        <v>0</v>
      </c>
      <c r="BO169" s="484">
        <f t="shared" si="10"/>
        <v>0</v>
      </c>
      <c r="BP169" s="484">
        <f t="shared" si="10"/>
        <v>0</v>
      </c>
      <c r="BQ169" s="484">
        <f t="shared" si="10"/>
        <v>0</v>
      </c>
      <c r="BR169" s="484">
        <f t="shared" si="10"/>
        <v>0</v>
      </c>
      <c r="BS169" s="130"/>
    </row>
    <row r="170" spans="1:71" ht="45" customHeight="1" x14ac:dyDescent="0.25">
      <c r="A170" s="126"/>
      <c r="B170" s="430"/>
      <c r="C170" s="430"/>
      <c r="D170" s="406"/>
      <c r="E170" s="408"/>
      <c r="F170" s="406"/>
      <c r="G170" s="407"/>
      <c r="H170" s="407"/>
      <c r="I170" s="408"/>
      <c r="J170" s="406"/>
      <c r="K170" s="407"/>
      <c r="L170" s="407"/>
      <c r="M170" s="408"/>
      <c r="N170" s="406"/>
      <c r="O170" s="407"/>
      <c r="P170" s="407"/>
      <c r="Q170" s="408"/>
      <c r="R170" s="406"/>
      <c r="S170" s="407"/>
      <c r="T170" s="407"/>
      <c r="U170" s="408"/>
      <c r="V170" s="406"/>
      <c r="W170" s="407"/>
      <c r="X170" s="407"/>
      <c r="Y170" s="408"/>
      <c r="Z170" s="406"/>
      <c r="AA170" s="407"/>
      <c r="AB170" s="408"/>
      <c r="AC170" s="430"/>
      <c r="AD170" s="430"/>
      <c r="AE170" s="430"/>
      <c r="AF170" s="430"/>
      <c r="AG170" s="435"/>
      <c r="AH170" s="436"/>
      <c r="AI170" s="436"/>
      <c r="AJ170" s="436"/>
      <c r="AK170" s="436"/>
      <c r="AL170" s="436"/>
      <c r="AM170" s="437"/>
      <c r="AN170" s="480"/>
      <c r="AO170" s="488"/>
      <c r="AP170" s="488"/>
      <c r="AQ170" s="488"/>
      <c r="AR170" s="488"/>
      <c r="AS170" s="488"/>
      <c r="AT170" s="488"/>
      <c r="AU170" s="488"/>
      <c r="AV170" s="488"/>
      <c r="AW170" s="488"/>
      <c r="AX170" s="488"/>
      <c r="AY170" s="488"/>
      <c r="AZ170" s="488"/>
      <c r="BA170" s="488"/>
      <c r="BB170" s="488"/>
      <c r="BC170" s="488"/>
      <c r="BD170" s="488"/>
      <c r="BE170" s="488"/>
      <c r="BF170" s="488"/>
      <c r="BG170" s="488"/>
      <c r="BH170" s="488"/>
      <c r="BI170" s="488"/>
      <c r="BJ170" s="488"/>
      <c r="BK170" s="488"/>
      <c r="BL170" s="488"/>
      <c r="BM170" s="488"/>
      <c r="BN170" s="488"/>
      <c r="BO170" s="488"/>
      <c r="BP170" s="488"/>
      <c r="BQ170" s="488"/>
      <c r="BR170" s="488"/>
      <c r="BS170" s="130"/>
    </row>
    <row r="171" spans="1:71" ht="45" customHeight="1" thickBot="1" x14ac:dyDescent="0.3">
      <c r="A171" s="127">
        <f>J171/(D171+12)</f>
        <v>0</v>
      </c>
      <c r="B171" s="431">
        <f>F171/(D171+12)</f>
        <v>0</v>
      </c>
      <c r="C171" s="431"/>
      <c r="D171" s="403">
        <f>SUM(F168:BR168)+12</f>
        <v>17.75</v>
      </c>
      <c r="E171" s="404"/>
      <c r="F171" s="404">
        <f>SUM(F3:BR3)</f>
        <v>0</v>
      </c>
      <c r="G171" s="404"/>
      <c r="H171" s="404"/>
      <c r="I171" s="405"/>
      <c r="J171" s="403">
        <f>SUM(F5:BR5)</f>
        <v>0</v>
      </c>
      <c r="K171" s="404"/>
      <c r="L171" s="404"/>
      <c r="M171" s="405"/>
      <c r="N171" s="403">
        <f>SUM(F7:BR7)</f>
        <v>0</v>
      </c>
      <c r="O171" s="404"/>
      <c r="P171" s="404"/>
      <c r="Q171" s="405"/>
      <c r="R171" s="403">
        <f>SUM(F8:BR8)</f>
        <v>0</v>
      </c>
      <c r="S171" s="404"/>
      <c r="T171" s="404"/>
      <c r="U171" s="405"/>
      <c r="V171" s="403">
        <f>SUM(F9:BR9)</f>
        <v>0</v>
      </c>
      <c r="W171" s="404"/>
      <c r="X171" s="404"/>
      <c r="Y171" s="405"/>
      <c r="Z171" s="403" t="e">
        <f>SUM(F11:BR11)</f>
        <v>#REF!</v>
      </c>
      <c r="AA171" s="404"/>
      <c r="AB171" s="405"/>
      <c r="AC171" s="431" t="e">
        <f>SUM(F12:BR12)</f>
        <v>#REF!</v>
      </c>
      <c r="AD171" s="431"/>
      <c r="AE171" s="431"/>
      <c r="AF171" s="431"/>
      <c r="AG171" s="403" t="e">
        <f>SUM(F13:BR13)</f>
        <v>#REF!</v>
      </c>
      <c r="AH171" s="438"/>
      <c r="AI171" s="438"/>
      <c r="AJ171" s="438"/>
      <c r="AK171" s="438"/>
      <c r="AL171" s="438"/>
      <c r="AM171" s="405"/>
      <c r="AN171" s="413"/>
      <c r="AO171" s="414"/>
      <c r="AP171" s="414"/>
      <c r="AQ171" s="414"/>
      <c r="AR171" s="414"/>
      <c r="AS171" s="414"/>
      <c r="AT171" s="414"/>
      <c r="AU171" s="414"/>
      <c r="AV171" s="414"/>
      <c r="AW171" s="414"/>
      <c r="AX171" s="414"/>
      <c r="AY171" s="414"/>
      <c r="AZ171" s="414"/>
      <c r="BA171" s="414"/>
      <c r="BB171" s="414"/>
      <c r="BC171" s="414"/>
      <c r="BD171" s="414"/>
      <c r="BE171" s="414"/>
      <c r="BF171" s="414"/>
      <c r="BG171" s="414"/>
      <c r="BH171" s="414"/>
      <c r="BI171" s="414"/>
      <c r="BJ171" s="414"/>
      <c r="BK171" s="414"/>
      <c r="BL171" s="414"/>
      <c r="BM171" s="414"/>
      <c r="BN171" s="414"/>
      <c r="BO171" s="414"/>
      <c r="BP171" s="414"/>
      <c r="BQ171" s="414"/>
      <c r="BR171" s="414"/>
      <c r="BS171" s="130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16:E16 A17 E17:E165 A149:A165 A19:A147" name="Intervallo1"/>
    <protectedRange sqref="AO170:BR171 AM170:AN170 AL171:AN171" name="Intervallo1_3"/>
    <protectedRange sqref="A18 B17:D165" name="Intervallo1_2"/>
    <protectedRange sqref="AE28:AE35 AL161:BR165 K16:M18 K19:L25 M19:M24 BR22:BR160 AM91:BJ91 BM22:BQ91 BJ22:BL54 BI84:BJ84 M142:M160 BI85:BI90 BJ87:BL90 BJ85:BJ86 BK84:BL85 AD153:AK165 AL153:BQ160 J16:J84 K26:K83 AX92:BK116 AL83:BH90 BI83 AE37:AE54 AL22:BI25 AK108:AK135 T16:BR20 AJ92:AJ137 J85:K160 L26:L160 M26:M78 N16:S54 F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F161:P165" name="Intervallo1_4"/>
    <protectedRange sqref="AL91" name="Intervallo1_2_1"/>
  </protectedRanges>
  <dataConsolidate/>
  <mergeCells count="203">
    <mergeCell ref="BQ2:BR2"/>
    <mergeCell ref="BQ4:BR4"/>
    <mergeCell ref="BQ6:BR6"/>
    <mergeCell ref="BQ10:BR10"/>
    <mergeCell ref="BQ167:BR167"/>
    <mergeCell ref="AC171:AF171"/>
    <mergeCell ref="AC170:AF170"/>
    <mergeCell ref="BD167:BF167"/>
    <mergeCell ref="BG167:BH167"/>
    <mergeCell ref="BI167:BJ167"/>
    <mergeCell ref="BK167:BL167"/>
    <mergeCell ref="BM167:BN167"/>
    <mergeCell ref="BO167:BP167"/>
    <mergeCell ref="AL167:AN167"/>
    <mergeCell ref="AO167:AR167"/>
    <mergeCell ref="AS167:AV167"/>
    <mergeCell ref="AW167:AY167"/>
    <mergeCell ref="AZ167:BA167"/>
    <mergeCell ref="BB167:BC167"/>
    <mergeCell ref="BO10:BP10"/>
    <mergeCell ref="BG4:BH4"/>
    <mergeCell ref="AH167:AI167"/>
    <mergeCell ref="AJ167:AK167"/>
    <mergeCell ref="BO4:BP4"/>
    <mergeCell ref="B171:C171"/>
    <mergeCell ref="A169:E169"/>
    <mergeCell ref="B170:C170"/>
    <mergeCell ref="G169:J169"/>
    <mergeCell ref="K169:L169"/>
    <mergeCell ref="M169:N169"/>
    <mergeCell ref="O169:P169"/>
    <mergeCell ref="Q169:R169"/>
    <mergeCell ref="S169:U169"/>
    <mergeCell ref="D170:E170"/>
    <mergeCell ref="D171:E171"/>
    <mergeCell ref="J170:M170"/>
    <mergeCell ref="F170:I170"/>
    <mergeCell ref="F171:I171"/>
    <mergeCell ref="J171:M171"/>
    <mergeCell ref="N170:Q170"/>
    <mergeCell ref="N171:Q171"/>
    <mergeCell ref="G167:J167"/>
    <mergeCell ref="K167:L167"/>
    <mergeCell ref="M167:N167"/>
    <mergeCell ref="O167:P167"/>
    <mergeCell ref="Q167:R167"/>
    <mergeCell ref="S167:U167"/>
    <mergeCell ref="E110:E154"/>
    <mergeCell ref="E155:E165"/>
    <mergeCell ref="A167:E168"/>
    <mergeCell ref="A166:E166"/>
    <mergeCell ref="A15:E15"/>
    <mergeCell ref="E16:E22"/>
    <mergeCell ref="E23:E31"/>
    <mergeCell ref="E32:E46"/>
    <mergeCell ref="E47:E53"/>
    <mergeCell ref="E54:E66"/>
    <mergeCell ref="E67:E79"/>
    <mergeCell ref="E80:E86"/>
    <mergeCell ref="E87:E109"/>
    <mergeCell ref="A12:E12"/>
    <mergeCell ref="A13:E13"/>
    <mergeCell ref="A14:E14"/>
    <mergeCell ref="BB10:BC10"/>
    <mergeCell ref="BD10:BF10"/>
    <mergeCell ref="BG10:BH10"/>
    <mergeCell ref="BI10:BJ10"/>
    <mergeCell ref="BK10:BL10"/>
    <mergeCell ref="BM10:BN10"/>
    <mergeCell ref="AJ10:AK10"/>
    <mergeCell ref="AL10:AN10"/>
    <mergeCell ref="AD10:AE10"/>
    <mergeCell ref="AF10:AG10"/>
    <mergeCell ref="AH10:AI10"/>
    <mergeCell ref="V12:Y12"/>
    <mergeCell ref="Z12:AC12"/>
    <mergeCell ref="V13:Y13"/>
    <mergeCell ref="Z13:AC13"/>
    <mergeCell ref="AO12:AR12"/>
    <mergeCell ref="AO13:AR13"/>
    <mergeCell ref="AS12:AV12"/>
    <mergeCell ref="AS13:AV13"/>
    <mergeCell ref="G10:J10"/>
    <mergeCell ref="K10:L10"/>
    <mergeCell ref="M10:N10"/>
    <mergeCell ref="O10:P10"/>
    <mergeCell ref="Q10:R10"/>
    <mergeCell ref="AZ6:BA6"/>
    <mergeCell ref="AH6:AI6"/>
    <mergeCell ref="AJ6:AK6"/>
    <mergeCell ref="AL6:AN6"/>
    <mergeCell ref="AO6:AR6"/>
    <mergeCell ref="AS6:AV6"/>
    <mergeCell ref="AW6:AY6"/>
    <mergeCell ref="Q6:R6"/>
    <mergeCell ref="S6:U6"/>
    <mergeCell ref="AO10:AR10"/>
    <mergeCell ref="AS10:AV10"/>
    <mergeCell ref="AW10:AY10"/>
    <mergeCell ref="AZ10:BA10"/>
    <mergeCell ref="S10:U10"/>
    <mergeCell ref="V10:Y10"/>
    <mergeCell ref="Z10:AC10"/>
    <mergeCell ref="BB4:BC4"/>
    <mergeCell ref="BD4:BF4"/>
    <mergeCell ref="BM6:BN6"/>
    <mergeCell ref="BO6:BP6"/>
    <mergeCell ref="BB6:BC6"/>
    <mergeCell ref="BD6:BF6"/>
    <mergeCell ref="BG6:BH6"/>
    <mergeCell ref="BI6:BJ6"/>
    <mergeCell ref="BK6:BL6"/>
    <mergeCell ref="BI4:BJ4"/>
    <mergeCell ref="BK4:BL4"/>
    <mergeCell ref="BM4:BN4"/>
    <mergeCell ref="AW2:AY2"/>
    <mergeCell ref="Q2:R2"/>
    <mergeCell ref="S2:U2"/>
    <mergeCell ref="AW4:AY4"/>
    <mergeCell ref="AZ4:BA4"/>
    <mergeCell ref="Z4:AC4"/>
    <mergeCell ref="AD4:AE4"/>
    <mergeCell ref="AF4:AG4"/>
    <mergeCell ref="AH4:AI4"/>
    <mergeCell ref="AJ4:AK4"/>
    <mergeCell ref="AL4:AN4"/>
    <mergeCell ref="A8:E8"/>
    <mergeCell ref="A9:E9"/>
    <mergeCell ref="A10:E11"/>
    <mergeCell ref="BM2:BN2"/>
    <mergeCell ref="BO2:BP2"/>
    <mergeCell ref="A4:E5"/>
    <mergeCell ref="G4:J4"/>
    <mergeCell ref="K4:L4"/>
    <mergeCell ref="M4:N4"/>
    <mergeCell ref="O4:P4"/>
    <mergeCell ref="Q4:R4"/>
    <mergeCell ref="S4:U4"/>
    <mergeCell ref="V4:Y4"/>
    <mergeCell ref="AZ2:BA2"/>
    <mergeCell ref="BB2:BC2"/>
    <mergeCell ref="BD2:BF2"/>
    <mergeCell ref="BG2:BH2"/>
    <mergeCell ref="BI2:BJ2"/>
    <mergeCell ref="BK2:BL2"/>
    <mergeCell ref="AH2:AI2"/>
    <mergeCell ref="AJ2:AK2"/>
    <mergeCell ref="AL2:AN2"/>
    <mergeCell ref="AO2:AR2"/>
    <mergeCell ref="AS2:AV2"/>
    <mergeCell ref="A1:E1"/>
    <mergeCell ref="A2:E3"/>
    <mergeCell ref="G2:J2"/>
    <mergeCell ref="K2:L2"/>
    <mergeCell ref="M2:N2"/>
    <mergeCell ref="O2:P2"/>
    <mergeCell ref="A6:E7"/>
    <mergeCell ref="G6:J6"/>
    <mergeCell ref="K6:L6"/>
    <mergeCell ref="M6:N6"/>
    <mergeCell ref="O6:P6"/>
    <mergeCell ref="AJ169:AK169"/>
    <mergeCell ref="AL169:AN169"/>
    <mergeCell ref="AO169:AR169"/>
    <mergeCell ref="AS169:AV169"/>
    <mergeCell ref="V2:Y2"/>
    <mergeCell ref="Z2:AC2"/>
    <mergeCell ref="AD2:AE2"/>
    <mergeCell ref="AF2:AG2"/>
    <mergeCell ref="AO4:AR4"/>
    <mergeCell ref="AS4:AV4"/>
    <mergeCell ref="V6:Y6"/>
    <mergeCell ref="Z6:AC6"/>
    <mergeCell ref="AD6:AE6"/>
    <mergeCell ref="AF6:AG6"/>
    <mergeCell ref="V167:Y167"/>
    <mergeCell ref="Z167:AC167"/>
    <mergeCell ref="AD167:AE167"/>
    <mergeCell ref="AF167:AG167"/>
    <mergeCell ref="AG170:AM170"/>
    <mergeCell ref="AG171:AM171"/>
    <mergeCell ref="AN170:BR171"/>
    <mergeCell ref="BQ169:BR169"/>
    <mergeCell ref="Z171:AB171"/>
    <mergeCell ref="Z170:AB170"/>
    <mergeCell ref="V170:Y170"/>
    <mergeCell ref="V171:Y171"/>
    <mergeCell ref="R170:U170"/>
    <mergeCell ref="R171:U171"/>
    <mergeCell ref="BI169:BJ169"/>
    <mergeCell ref="BK169:BL169"/>
    <mergeCell ref="BM169:BN169"/>
    <mergeCell ref="BO169:BP169"/>
    <mergeCell ref="AW169:AY169"/>
    <mergeCell ref="AZ169:BA169"/>
    <mergeCell ref="BB169:BC169"/>
    <mergeCell ref="BD169:BF169"/>
    <mergeCell ref="BG169:BH169"/>
    <mergeCell ref="V169:Y169"/>
    <mergeCell ref="Z169:AC169"/>
    <mergeCell ref="AD169:AE169"/>
    <mergeCell ref="AF169:AG169"/>
    <mergeCell ref="AH169:AI169"/>
  </mergeCells>
  <conditionalFormatting sqref="A16:A17 A149:A165 A19:A147">
    <cfRule type="duplicateValues" dxfId="130" priority="97"/>
  </conditionalFormatting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129" priority="19" operator="equal">
      <formula>"F"</formula>
    </cfRule>
    <cfRule type="cellIs" dxfId="128" priority="20" operator="equal">
      <formula>"N"</formula>
    </cfRule>
    <cfRule type="cellIs" dxfId="127" priority="21" operator="equal">
      <formula>"I"</formula>
    </cfRule>
  </conditionalFormatting>
  <conditionalFormatting sqref="AE95">
    <cfRule type="cellIs" dxfId="126" priority="16" operator="equal">
      <formula>"F"</formula>
    </cfRule>
    <cfRule type="cellIs" dxfId="125" priority="17" operator="equal">
      <formula>"N"</formula>
    </cfRule>
    <cfRule type="cellIs" dxfId="124" priority="18" operator="equal">
      <formula>"I"</formula>
    </cfRule>
  </conditionalFormatting>
  <conditionalFormatting sqref="AL91">
    <cfRule type="cellIs" dxfId="123" priority="13" operator="equal">
      <formula>"F"</formula>
    </cfRule>
    <cfRule type="cellIs" dxfId="122" priority="14" operator="equal">
      <formula>"N"</formula>
    </cfRule>
    <cfRule type="cellIs" dxfId="121" priority="15" operator="equal">
      <formula>"I"</formula>
    </cfRule>
  </conditionalFormatting>
  <conditionalFormatting sqref="AE134">
    <cfRule type="cellIs" dxfId="120" priority="10" operator="equal">
      <formula>"F"</formula>
    </cfRule>
    <cfRule type="cellIs" dxfId="119" priority="11" operator="equal">
      <formula>"N"</formula>
    </cfRule>
    <cfRule type="cellIs" dxfId="118" priority="12" operator="equal">
      <formula>"I"</formula>
    </cfRule>
  </conditionalFormatting>
  <conditionalFormatting sqref="AF34">
    <cfRule type="cellIs" dxfId="117" priority="7" operator="equal">
      <formula>"F"</formula>
    </cfRule>
    <cfRule type="cellIs" dxfId="116" priority="8" operator="equal">
      <formula>"N"</formula>
    </cfRule>
    <cfRule type="cellIs" dxfId="115" priority="9" operator="equal">
      <formula>"I"</formula>
    </cfRule>
  </conditionalFormatting>
  <conditionalFormatting sqref="AE93">
    <cfRule type="cellIs" dxfId="114" priority="4" operator="equal">
      <formula>"F"</formula>
    </cfRule>
    <cfRule type="cellIs" dxfId="113" priority="5" operator="equal">
      <formula>"N"</formula>
    </cfRule>
    <cfRule type="cellIs" dxfId="112" priority="6" operator="equal">
      <formula>"I"</formula>
    </cfRule>
  </conditionalFormatting>
  <conditionalFormatting sqref="AF99">
    <cfRule type="cellIs" dxfId="111" priority="1" operator="equal">
      <formula>"F"</formula>
    </cfRule>
    <cfRule type="cellIs" dxfId="110" priority="2" operator="equal">
      <formula>"N"</formula>
    </cfRule>
    <cfRule type="cellIs" dxfId="109" priority="3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5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75EF409-376C-4B68-A3B9-8707ADF99412}">
          <x14:formula1>
            <xm:f>TOT!$B$4:$B$11</xm:f>
          </x14:formula1>
          <xm:sqref>A16:A165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4F2F-5981-4326-8A84-3D728BC2C775}">
  <sheetPr codeName="Totalone">
    <tabColor rgb="FFFF0000"/>
    <pageSetUpPr fitToPage="1"/>
  </sheetPr>
  <dimension ref="A1:BT76"/>
  <sheetViews>
    <sheetView zoomScale="55" zoomScaleNormal="55" workbookViewId="0">
      <pane ySplit="3" topLeftCell="A4" activePane="bottomLeft" state="frozen"/>
      <selection activeCell="L52" sqref="L52"/>
      <selection pane="bottomLeft" activeCell="P25" sqref="P25"/>
    </sheetView>
  </sheetViews>
  <sheetFormatPr defaultRowHeight="15" x14ac:dyDescent="0.25"/>
  <cols>
    <col min="1" max="1" width="19" customWidth="1"/>
    <col min="2" max="2" width="23.85546875" customWidth="1"/>
    <col min="3" max="3" width="53.28515625" style="177" customWidth="1"/>
    <col min="4" max="17" width="15.7109375" customWidth="1"/>
    <col min="18" max="25" width="9.28515625" hidden="1" customWidth="1"/>
    <col min="26" max="26" width="24.140625" customWidth="1"/>
    <col min="27" max="27" width="23.7109375" bestFit="1" customWidth="1"/>
    <col min="28" max="28" width="21.28515625" bestFit="1" customWidth="1"/>
    <col min="29" max="29" width="27.7109375" bestFit="1" customWidth="1"/>
    <col min="30" max="30" width="32.7109375" customWidth="1"/>
    <col min="33" max="33" width="26.28515625" customWidth="1"/>
    <col min="34" max="34" width="55.28515625" customWidth="1"/>
    <col min="35" max="48" width="25" customWidth="1"/>
    <col min="53" max="53" width="53.28515625" customWidth="1"/>
    <col min="54" max="67" width="15.7109375" customWidth="1"/>
  </cols>
  <sheetData>
    <row r="1" spans="1:72" ht="28.5" customHeight="1" x14ac:dyDescent="0.25">
      <c r="A1" s="6" t="s">
        <v>213</v>
      </c>
      <c r="B1" s="6" t="s">
        <v>212</v>
      </c>
      <c r="C1" s="6" t="s">
        <v>216</v>
      </c>
      <c r="D1" s="499" t="s">
        <v>186</v>
      </c>
      <c r="E1" s="499"/>
      <c r="F1" s="499" t="s">
        <v>185</v>
      </c>
      <c r="G1" s="499"/>
      <c r="H1" s="499" t="s">
        <v>187</v>
      </c>
      <c r="I1" s="499"/>
      <c r="J1" s="499" t="s">
        <v>188</v>
      </c>
      <c r="K1" s="499"/>
      <c r="L1" s="499" t="s">
        <v>189</v>
      </c>
      <c r="M1" s="499"/>
      <c r="N1" s="499" t="s">
        <v>190</v>
      </c>
      <c r="O1" s="499"/>
      <c r="P1" s="499" t="s">
        <v>191</v>
      </c>
      <c r="Q1" s="499"/>
      <c r="R1" s="502" t="s">
        <v>206</v>
      </c>
      <c r="S1" s="502"/>
      <c r="T1" s="502"/>
      <c r="U1" s="502"/>
      <c r="V1" s="502"/>
      <c r="W1" s="502"/>
      <c r="X1" s="502"/>
      <c r="Y1" s="503"/>
      <c r="Z1" s="499" t="s">
        <v>210</v>
      </c>
      <c r="AA1" s="499" t="s">
        <v>208</v>
      </c>
      <c r="AB1" s="506" t="s">
        <v>207</v>
      </c>
      <c r="AC1" s="499" t="s">
        <v>209</v>
      </c>
      <c r="AD1" s="496" t="s">
        <v>253</v>
      </c>
      <c r="AE1" s="7"/>
      <c r="AF1" s="11"/>
      <c r="AG1" s="6" t="s">
        <v>211</v>
      </c>
      <c r="AH1" s="6" t="s">
        <v>216</v>
      </c>
      <c r="AI1" s="499" t="s">
        <v>186</v>
      </c>
      <c r="AJ1" s="499"/>
      <c r="AK1" s="499" t="s">
        <v>185</v>
      </c>
      <c r="AL1" s="499"/>
      <c r="AM1" s="499" t="s">
        <v>187</v>
      </c>
      <c r="AN1" s="499"/>
      <c r="AO1" s="499" t="s">
        <v>188</v>
      </c>
      <c r="AP1" s="499"/>
      <c r="AQ1" s="499" t="s">
        <v>189</v>
      </c>
      <c r="AR1" s="499"/>
      <c r="AS1" s="499" t="s">
        <v>190</v>
      </c>
      <c r="AT1" s="499"/>
      <c r="AU1" s="499" t="s">
        <v>191</v>
      </c>
      <c r="AV1" s="499"/>
      <c r="AW1" s="12"/>
      <c r="AX1" s="9"/>
      <c r="AY1" s="9"/>
      <c r="AZ1" s="9"/>
      <c r="BA1" s="6" t="s">
        <v>216</v>
      </c>
      <c r="BB1" s="499" t="s">
        <v>186</v>
      </c>
      <c r="BC1" s="499"/>
      <c r="BD1" s="499" t="s">
        <v>185</v>
      </c>
      <c r="BE1" s="499"/>
      <c r="BF1" s="499" t="s">
        <v>187</v>
      </c>
      <c r="BG1" s="499"/>
      <c r="BH1" s="499" t="s">
        <v>188</v>
      </c>
      <c r="BI1" s="499"/>
      <c r="BJ1" s="499" t="s">
        <v>189</v>
      </c>
      <c r="BK1" s="499"/>
      <c r="BL1" s="499" t="s">
        <v>190</v>
      </c>
      <c r="BM1" s="499"/>
      <c r="BN1" s="499" t="s">
        <v>191</v>
      </c>
      <c r="BO1" s="499"/>
      <c r="BP1" s="9"/>
      <c r="BQ1" s="9"/>
      <c r="BR1" s="9"/>
      <c r="BS1" s="9"/>
      <c r="BT1" s="9"/>
    </row>
    <row r="2" spans="1:72" ht="28.5" customHeight="1" thickBot="1" x14ac:dyDescent="0.3">
      <c r="A2" s="495">
        <v>123</v>
      </c>
      <c r="B2" s="495" t="s">
        <v>214</v>
      </c>
      <c r="C2" s="495" t="s">
        <v>215</v>
      </c>
      <c r="D2" s="497">
        <f>LUN!A1</f>
        <v>45887</v>
      </c>
      <c r="E2" s="498"/>
      <c r="F2" s="497">
        <f>MAR!A1</f>
        <v>45888</v>
      </c>
      <c r="G2" s="498"/>
      <c r="H2" s="497">
        <f>MER!A1</f>
        <v>45889</v>
      </c>
      <c r="I2" s="498"/>
      <c r="J2" s="497">
        <f>GIO!A1</f>
        <v>45890</v>
      </c>
      <c r="K2" s="498"/>
      <c r="L2" s="497">
        <f>VEN!A1</f>
        <v>45891</v>
      </c>
      <c r="M2" s="498"/>
      <c r="N2" s="497">
        <f>SAB!A1</f>
        <v>45892</v>
      </c>
      <c r="O2" s="498"/>
      <c r="P2" s="497">
        <f>DOM!A1</f>
        <v>45893</v>
      </c>
      <c r="Q2" s="498"/>
      <c r="R2" s="504"/>
      <c r="S2" s="504"/>
      <c r="T2" s="504"/>
      <c r="U2" s="504"/>
      <c r="V2" s="504"/>
      <c r="W2" s="504"/>
      <c r="X2" s="504"/>
      <c r="Y2" s="505"/>
      <c r="Z2" s="501"/>
      <c r="AA2" s="501"/>
      <c r="AB2" s="507"/>
      <c r="AC2" s="501"/>
      <c r="AD2" s="500"/>
      <c r="AE2" s="9"/>
      <c r="AF2" s="12"/>
      <c r="AG2" s="495" t="s">
        <v>214</v>
      </c>
      <c r="AH2" s="495" t="s">
        <v>215</v>
      </c>
      <c r="AI2" s="523">
        <f>D2</f>
        <v>45887</v>
      </c>
      <c r="AJ2" s="523"/>
      <c r="AK2" s="523">
        <f>F2</f>
        <v>45888</v>
      </c>
      <c r="AL2" s="523"/>
      <c r="AM2" s="523">
        <f>H2</f>
        <v>45889</v>
      </c>
      <c r="AN2" s="523"/>
      <c r="AO2" s="523">
        <f>J2</f>
        <v>45890</v>
      </c>
      <c r="AP2" s="523"/>
      <c r="AQ2" s="523">
        <f>L2</f>
        <v>45891</v>
      </c>
      <c r="AR2" s="523"/>
      <c r="AS2" s="523">
        <f>N2</f>
        <v>45892</v>
      </c>
      <c r="AT2" s="523"/>
      <c r="AU2" s="523">
        <f>P2</f>
        <v>45893</v>
      </c>
      <c r="AV2" s="523"/>
      <c r="AW2" s="12"/>
      <c r="AX2" s="9"/>
      <c r="AY2" s="9"/>
      <c r="AZ2" s="9"/>
      <c r="BA2" s="495" t="s">
        <v>215</v>
      </c>
      <c r="BB2" s="497">
        <f>D2</f>
        <v>45887</v>
      </c>
      <c r="BC2" s="498"/>
      <c r="BD2" s="497">
        <f>BB2+1</f>
        <v>45888</v>
      </c>
      <c r="BE2" s="498"/>
      <c r="BF2" s="497">
        <f>BD2+1</f>
        <v>45889</v>
      </c>
      <c r="BG2" s="498"/>
      <c r="BH2" s="497">
        <f>BF2+1</f>
        <v>45890</v>
      </c>
      <c r="BI2" s="498"/>
      <c r="BJ2" s="497">
        <f>BH2+1</f>
        <v>45891</v>
      </c>
      <c r="BK2" s="498"/>
      <c r="BL2" s="497">
        <f>BJ2+1</f>
        <v>45892</v>
      </c>
      <c r="BM2" s="498"/>
      <c r="BN2" s="497">
        <f>BL2+1</f>
        <v>45893</v>
      </c>
      <c r="BO2" s="498"/>
      <c r="BP2" s="9"/>
      <c r="BQ2" s="9"/>
      <c r="BR2" s="9"/>
      <c r="BS2" s="9"/>
      <c r="BT2" s="9"/>
    </row>
    <row r="3" spans="1:72" ht="28.5" x14ac:dyDescent="0.25">
      <c r="A3" s="496"/>
      <c r="B3" s="496"/>
      <c r="C3" s="496"/>
      <c r="D3" s="163" t="s">
        <v>192</v>
      </c>
      <c r="E3" s="164" t="s">
        <v>193</v>
      </c>
      <c r="F3" s="163" t="s">
        <v>192</v>
      </c>
      <c r="G3" s="164" t="s">
        <v>193</v>
      </c>
      <c r="H3" s="163" t="s">
        <v>192</v>
      </c>
      <c r="I3" s="164" t="s">
        <v>193</v>
      </c>
      <c r="J3" s="163" t="s">
        <v>192</v>
      </c>
      <c r="K3" s="164" t="s">
        <v>193</v>
      </c>
      <c r="L3" s="163" t="s">
        <v>192</v>
      </c>
      <c r="M3" s="164" t="s">
        <v>193</v>
      </c>
      <c r="N3" s="163" t="s">
        <v>192</v>
      </c>
      <c r="O3" s="164" t="s">
        <v>193</v>
      </c>
      <c r="P3" s="163" t="s">
        <v>192</v>
      </c>
      <c r="Q3" s="164" t="s">
        <v>193</v>
      </c>
      <c r="R3" s="165" t="s">
        <v>198</v>
      </c>
      <c r="S3" s="165" t="s">
        <v>199</v>
      </c>
      <c r="T3" s="165" t="s">
        <v>200</v>
      </c>
      <c r="U3" s="165" t="s">
        <v>201</v>
      </c>
      <c r="V3" s="165" t="s">
        <v>202</v>
      </c>
      <c r="W3" s="165" t="s">
        <v>203</v>
      </c>
      <c r="X3" s="165" t="s">
        <v>204</v>
      </c>
      <c r="Y3" s="166" t="s">
        <v>205</v>
      </c>
      <c r="Z3" s="501"/>
      <c r="AA3" s="501"/>
      <c r="AB3" s="508"/>
      <c r="AC3" s="501"/>
      <c r="AD3" s="500"/>
      <c r="AE3" s="9"/>
      <c r="AF3" s="12"/>
      <c r="AG3" s="496"/>
      <c r="AH3" s="496"/>
      <c r="AI3" s="524"/>
      <c r="AJ3" s="524"/>
      <c r="AK3" s="524"/>
      <c r="AL3" s="524"/>
      <c r="AM3" s="524"/>
      <c r="AN3" s="524"/>
      <c r="AO3" s="524"/>
      <c r="AP3" s="524"/>
      <c r="AQ3" s="524"/>
      <c r="AR3" s="524"/>
      <c r="AS3" s="524"/>
      <c r="AT3" s="524"/>
      <c r="AU3" s="524"/>
      <c r="AV3" s="524"/>
      <c r="AW3" s="12"/>
      <c r="AX3" s="9"/>
      <c r="AY3" s="9"/>
      <c r="AZ3" s="9"/>
      <c r="BA3" s="496"/>
      <c r="BB3" s="163" t="s">
        <v>192</v>
      </c>
      <c r="BC3" s="164" t="s">
        <v>193</v>
      </c>
      <c r="BD3" s="163" t="s">
        <v>192</v>
      </c>
      <c r="BE3" s="164" t="s">
        <v>193</v>
      </c>
      <c r="BF3" s="163" t="s">
        <v>192</v>
      </c>
      <c r="BG3" s="164" t="s">
        <v>193</v>
      </c>
      <c r="BH3" s="163" t="s">
        <v>192</v>
      </c>
      <c r="BI3" s="164" t="s">
        <v>193</v>
      </c>
      <c r="BJ3" s="163" t="s">
        <v>192</v>
      </c>
      <c r="BK3" s="164" t="s">
        <v>193</v>
      </c>
      <c r="BL3" s="163" t="s">
        <v>192</v>
      </c>
      <c r="BM3" s="164" t="s">
        <v>193</v>
      </c>
      <c r="BN3" s="163" t="s">
        <v>192</v>
      </c>
      <c r="BO3" s="164" t="s">
        <v>193</v>
      </c>
      <c r="BP3" s="9"/>
      <c r="BQ3" s="9"/>
      <c r="BR3" s="9"/>
      <c r="BS3" s="9"/>
      <c r="BT3" s="9"/>
    </row>
    <row r="4" spans="1:72" ht="40.15" customHeight="1" x14ac:dyDescent="0.25">
      <c r="A4" s="222">
        <v>1</v>
      </c>
      <c r="B4" s="206" t="s">
        <v>295</v>
      </c>
      <c r="C4" s="206" t="s">
        <v>295</v>
      </c>
      <c r="D4" s="207" t="str">
        <f>IF(ISERROR(VLOOKUP($B4,LUN!$A$16:$D$165,3,0)),"OFF",VLOOKUP($B4,LUN!$A$16:$D$165,3,0))</f>
        <v>OFF</v>
      </c>
      <c r="E4" s="208" t="str">
        <f>IF(ISERROR(VLOOKUP($B4,LUN!$A$16:$D$165,4,0)),"OFF",VLOOKUP($B4,LUN!$A$16:$D$165,4,0))</f>
        <v>OFF</v>
      </c>
      <c r="F4" s="207" t="str">
        <f>IF(ISERROR(VLOOKUP($B4,MAR!$A$16:$D$165,3,0)),"OFF",VLOOKUP($B4,MAR!$A$16:$D$165,3,0))</f>
        <v>OFF</v>
      </c>
      <c r="G4" s="208" t="str">
        <f>IF(ISERROR(VLOOKUP($B4,MAR!$A$16:$D$165,4,0)),"OFF",VLOOKUP($B4,MAR!$A$16:$D$165,4,0))</f>
        <v>OFF</v>
      </c>
      <c r="H4" s="207" t="str">
        <f>IF(ISERROR(VLOOKUP($B4,MER!$A$16:$D$165,3,0)),"OFF",VLOOKUP($B4,MER!$A$16:$D$165,3,0))</f>
        <v>OFF</v>
      </c>
      <c r="I4" s="208" t="str">
        <f>IF(ISERROR(VLOOKUP($B4,MER!$A$16:$D$165,4,0)),"OFF",VLOOKUP($B4,MER!$A$16:$D$165,4,0))</f>
        <v>OFF</v>
      </c>
      <c r="J4" s="207" t="str">
        <f>IF(ISERROR(VLOOKUP($B4,GIO!$A$16:$D$165,3,0)),"OFF",VLOOKUP($B4,GIO!$A$16:$D$165,3,0))</f>
        <v>OFF</v>
      </c>
      <c r="K4" s="208" t="str">
        <f>IF(ISERROR(VLOOKUP($B4,GIO!$A$16:$D$165,4,0)),"OFF",VLOOKUP($B4,GIO!$A$16:$D$165,4,0))</f>
        <v>OFF</v>
      </c>
      <c r="L4" s="207" t="str">
        <f>IF(ISERROR(VLOOKUP($B4,VEN!$A$16:$D$165,3,0)),"OFF",VLOOKUP($B4,VEN!$A$16:$D$165,3,0))</f>
        <v>OFF</v>
      </c>
      <c r="M4" s="208" t="str">
        <f>IF(ISERROR(VLOOKUP($B4,VEN!$A$16:$D$165,4,0)),"OFF",VLOOKUP($B4,VEN!$A$16:$D$165,4,0))</f>
        <v>OFF</v>
      </c>
      <c r="N4" s="207" t="str">
        <f>IF(ISERROR(VLOOKUP($B4,SAB!$A$16:$D$165,3,0)),"OFF",VLOOKUP($B4,SAB!$A$16:$D$165,3,0))</f>
        <v>OFF</v>
      </c>
      <c r="O4" s="208" t="str">
        <f>IF(ISERROR(VLOOKUP($B4,SAB!$A$16:$D$165,4,0)),"OFF",VLOOKUP($B4,SAB!$A$16:$D$165,4,0))</f>
        <v>OFF</v>
      </c>
      <c r="P4" s="207" t="str">
        <f>IF(ISERROR(VLOOKUP($B4,DOM!$A$16:$D$165,3,0)),"OFF",VLOOKUP($B4,DOM!$A$16:$D$165,3,0))</f>
        <v>OFF</v>
      </c>
      <c r="Q4" s="208" t="str">
        <f>IF(ISERROR(VLOOKUP($B4,DOM!$A$16:$D$165,4,0)),"OFF",VLOOKUP($B4,DOM!$A$16:$D$165,4,0))</f>
        <v>OFF</v>
      </c>
      <c r="R4" s="214" t="str">
        <f t="shared" ref="R4:R7" si="0">IFERROR(IF(D4="OFF","OFF",E4-D4+IF(D4&gt;E4,1)),0)</f>
        <v>OFF</v>
      </c>
      <c r="S4" s="214" t="str">
        <f t="shared" ref="S4:S7" si="1">IFERROR(IF(F4="OFF","OFF",G4-F4+IF(F4&gt;G4,1)),0)</f>
        <v>OFF</v>
      </c>
      <c r="T4" s="214" t="str">
        <f t="shared" ref="T4:T7" si="2">IFERROR(IF(H4="OFF","OFF",I4-H4+IF(H4&gt;I4,1)),0)</f>
        <v>OFF</v>
      </c>
      <c r="U4" s="214" t="str">
        <f t="shared" ref="U4:U7" si="3">IFERROR(IF(J4="OFF","OFF",K4-J4+IF(J4&gt;K4,1)),0)</f>
        <v>OFF</v>
      </c>
      <c r="V4" s="214" t="str">
        <f t="shared" ref="V4:V7" si="4">IFERROR(IF(L4="OFF","OFF",M4-L4+IF(L4&gt;M4,1)),0)</f>
        <v>OFF</v>
      </c>
      <c r="W4" s="214" t="str">
        <f t="shared" ref="W4:W7" si="5">IFERROR(IF(N4="OFF","OFF",O4-N4+IF(N4&gt;O4,1)),0)</f>
        <v>OFF</v>
      </c>
      <c r="X4" s="214" t="str">
        <f t="shared" ref="X4:X7" si="6">IFERROR(IF(P4="OFF","OFF",Q4-P4+IF(P4&gt;Q4,1)),0)</f>
        <v>OFF</v>
      </c>
      <c r="Y4" s="215">
        <f t="shared" ref="Y4:Y7" si="7">SUM(R4:X4)*24</f>
        <v>0</v>
      </c>
      <c r="Z4" s="206" t="s">
        <v>295</v>
      </c>
      <c r="AA4" s="206">
        <v>24</v>
      </c>
      <c r="AB4" s="221">
        <f t="shared" ref="AB4:AB7" si="8">Y4-AA4</f>
        <v>-24</v>
      </c>
      <c r="AC4" s="206">
        <f t="shared" ref="AC4:AC7" si="9">AA4+AB4</f>
        <v>0</v>
      </c>
      <c r="AD4" s="209">
        <f t="shared" ref="AD4:AD7" si="10">AC4/AA4-1</f>
        <v>-1</v>
      </c>
      <c r="AE4" s="8"/>
      <c r="AF4" s="17"/>
      <c r="AG4" s="209" t="s">
        <v>295</v>
      </c>
      <c r="AH4" s="209" t="s">
        <v>295</v>
      </c>
      <c r="AI4" s="533"/>
      <c r="AJ4" s="534"/>
      <c r="AK4" s="533"/>
      <c r="AL4" s="534"/>
      <c r="AM4" s="533"/>
      <c r="AN4" s="534"/>
      <c r="AO4" s="533"/>
      <c r="AP4" s="534"/>
      <c r="AQ4" s="533"/>
      <c r="AR4" s="534"/>
      <c r="AS4" s="533"/>
      <c r="AT4" s="534"/>
      <c r="AU4" s="535"/>
      <c r="AV4" s="535"/>
      <c r="AW4" s="12"/>
      <c r="AX4" s="9"/>
      <c r="AY4" s="9"/>
      <c r="AZ4" s="9"/>
      <c r="BA4" s="206" t="s">
        <v>295</v>
      </c>
      <c r="BB4" s="207"/>
      <c r="BC4" s="208"/>
      <c r="BD4" s="207"/>
      <c r="BE4" s="208"/>
      <c r="BF4" s="207"/>
      <c r="BG4" s="208"/>
      <c r="BH4" s="207"/>
      <c r="BI4" s="208"/>
      <c r="BJ4" s="207"/>
      <c r="BK4" s="208"/>
      <c r="BL4" s="207"/>
      <c r="BM4" s="208"/>
      <c r="BN4" s="207"/>
      <c r="BO4" s="208"/>
      <c r="BP4" s="9"/>
      <c r="BQ4" s="9"/>
      <c r="BR4" s="9"/>
      <c r="BS4" s="9"/>
      <c r="BT4" s="9"/>
    </row>
    <row r="5" spans="1:72" ht="40.15" customHeight="1" x14ac:dyDescent="0.25">
      <c r="A5" s="222">
        <v>2</v>
      </c>
      <c r="B5" s="206" t="s">
        <v>296</v>
      </c>
      <c r="C5" s="206" t="s">
        <v>296</v>
      </c>
      <c r="D5" s="207" t="str">
        <f>IF(ISERROR(VLOOKUP($B5,LUN!$A$16:$D$165,3,0)),"OFF",VLOOKUP($B5,LUN!$A$16:$D$165,3,0))</f>
        <v>OFF</v>
      </c>
      <c r="E5" s="208" t="str">
        <f>IF(ISERROR(VLOOKUP($B5,LUN!$A$16:$D$165,4,0)),"OFF",VLOOKUP($B5,LUN!$A$16:$D$165,4,0))</f>
        <v>OFF</v>
      </c>
      <c r="F5" s="207" t="str">
        <f>IF(ISERROR(VLOOKUP($B5,MAR!$A$16:$D$165,3,0)),"OFF",VLOOKUP($B5,MAR!$A$16:$D$165,3,0))</f>
        <v>OFF</v>
      </c>
      <c r="G5" s="208" t="str">
        <f>IF(ISERROR(VLOOKUP($B5,MAR!$A$16:$D$165,4,0)),"OFF",VLOOKUP($B5,MAR!$A$16:$D$165,4,0))</f>
        <v>OFF</v>
      </c>
      <c r="H5" s="207" t="str">
        <f>IF(ISERROR(VLOOKUP($B5,MER!$A$16:$D$165,3,0)),"OFF",VLOOKUP($B5,MER!$A$16:$D$165,3,0))</f>
        <v>OFF</v>
      </c>
      <c r="I5" s="208" t="str">
        <f>IF(ISERROR(VLOOKUP($B5,MER!$A$16:$D$165,4,0)),"OFF",VLOOKUP($B5,MER!$A$16:$D$165,4,0))</f>
        <v>OFF</v>
      </c>
      <c r="J5" s="207" t="str">
        <f>IF(ISERROR(VLOOKUP($B5,GIO!$A$16:$D$165,3,0)),"OFF",VLOOKUP($B5,GIO!$A$16:$D$165,3,0))</f>
        <v>OFF</v>
      </c>
      <c r="K5" s="208" t="str">
        <f>IF(ISERROR(VLOOKUP($B5,GIO!$A$16:$D$165,4,0)),"OFF",VLOOKUP($B5,GIO!$A$16:$D$165,4,0))</f>
        <v>OFF</v>
      </c>
      <c r="L5" s="207" t="str">
        <f>IF(ISERROR(VLOOKUP($B5,VEN!$A$16:$D$165,3,0)),"OFF",VLOOKUP($B5,VEN!$A$16:$D$165,3,0))</f>
        <v>OFF</v>
      </c>
      <c r="M5" s="208" t="str">
        <f>IF(ISERROR(VLOOKUP($B5,VEN!$A$16:$D$165,4,0)),"OFF",VLOOKUP($B5,VEN!$A$16:$D$165,4,0))</f>
        <v>OFF</v>
      </c>
      <c r="N5" s="207" t="str">
        <f>IF(ISERROR(VLOOKUP($B5,SAB!$A$16:$D$165,3,0)),"OFF",VLOOKUP($B5,SAB!$A$16:$D$165,3,0))</f>
        <v>OFF</v>
      </c>
      <c r="O5" s="208" t="str">
        <f>IF(ISERROR(VLOOKUP($B5,SAB!$A$16:$D$165,4,0)),"OFF",VLOOKUP($B5,SAB!$A$16:$D$165,4,0))</f>
        <v>OFF</v>
      </c>
      <c r="P5" s="207" t="str">
        <f>IF(ISERROR(VLOOKUP($B5,DOM!$A$16:$D$165,3,0)),"OFF",VLOOKUP($B5,DOM!$A$16:$D$165,3,0))</f>
        <v>OFF</v>
      </c>
      <c r="Q5" s="208" t="str">
        <f>IF(ISERROR(VLOOKUP($B5,DOM!$A$16:$D$165,4,0)),"OFF",VLOOKUP($B5,DOM!$A$16:$D$165,4,0))</f>
        <v>OFF</v>
      </c>
      <c r="R5" s="214" t="str">
        <f t="shared" si="0"/>
        <v>OFF</v>
      </c>
      <c r="S5" s="214" t="str">
        <f t="shared" si="1"/>
        <v>OFF</v>
      </c>
      <c r="T5" s="214" t="str">
        <f t="shared" si="2"/>
        <v>OFF</v>
      </c>
      <c r="U5" s="214" t="str">
        <f t="shared" si="3"/>
        <v>OFF</v>
      </c>
      <c r="V5" s="214" t="str">
        <f t="shared" si="4"/>
        <v>OFF</v>
      </c>
      <c r="W5" s="214" t="str">
        <f t="shared" si="5"/>
        <v>OFF</v>
      </c>
      <c r="X5" s="214" t="str">
        <f t="shared" si="6"/>
        <v>OFF</v>
      </c>
      <c r="Y5" s="215">
        <f t="shared" si="7"/>
        <v>0</v>
      </c>
      <c r="Z5" s="206" t="s">
        <v>296</v>
      </c>
      <c r="AA5" s="206">
        <v>36</v>
      </c>
      <c r="AB5" s="221">
        <f t="shared" si="8"/>
        <v>-36</v>
      </c>
      <c r="AC5" s="206">
        <f t="shared" si="9"/>
        <v>0</v>
      </c>
      <c r="AD5" s="209">
        <f t="shared" si="10"/>
        <v>-1</v>
      </c>
      <c r="AE5" s="8"/>
      <c r="AF5" s="17"/>
      <c r="AG5" s="209" t="s">
        <v>296</v>
      </c>
      <c r="AH5" s="209" t="s">
        <v>296</v>
      </c>
      <c r="AI5" s="533"/>
      <c r="AJ5" s="534"/>
      <c r="AK5" s="533"/>
      <c r="AL5" s="534"/>
      <c r="AM5" s="533"/>
      <c r="AN5" s="534"/>
      <c r="AO5" s="533"/>
      <c r="AP5" s="534"/>
      <c r="AQ5" s="533"/>
      <c r="AR5" s="534"/>
      <c r="AS5" s="533"/>
      <c r="AT5" s="534"/>
      <c r="AU5" s="535"/>
      <c r="AV5" s="535"/>
      <c r="AW5" s="12"/>
      <c r="AX5" s="9"/>
      <c r="AY5" s="9"/>
      <c r="AZ5" s="9"/>
      <c r="BA5" s="206" t="s">
        <v>296</v>
      </c>
      <c r="BB5" s="207"/>
      <c r="BC5" s="208"/>
      <c r="BD5" s="207"/>
      <c r="BE5" s="208"/>
      <c r="BF5" s="207"/>
      <c r="BG5" s="208"/>
      <c r="BH5" s="207"/>
      <c r="BI5" s="208"/>
      <c r="BJ5" s="207"/>
      <c r="BK5" s="208"/>
      <c r="BL5" s="207"/>
      <c r="BM5" s="208"/>
      <c r="BN5" s="207"/>
      <c r="BO5" s="208"/>
      <c r="BP5" s="9"/>
      <c r="BQ5" s="9"/>
      <c r="BR5" s="9"/>
      <c r="BS5" s="9"/>
      <c r="BT5" s="9"/>
    </row>
    <row r="6" spans="1:72" ht="40.15" customHeight="1" x14ac:dyDescent="0.25">
      <c r="A6" s="222">
        <v>3</v>
      </c>
      <c r="B6" s="206" t="s">
        <v>297</v>
      </c>
      <c r="C6" s="206" t="s">
        <v>297</v>
      </c>
      <c r="D6" s="207" t="str">
        <f>IF(ISERROR(VLOOKUP($B6,LUN!$A$16:$D$165,3,0)),"OFF",VLOOKUP($B6,LUN!$A$16:$D$165,3,0))</f>
        <v>OFF</v>
      </c>
      <c r="E6" s="208" t="str">
        <f>IF(ISERROR(VLOOKUP($B6,LUN!$A$16:$D$165,4,0)),"OFF",VLOOKUP($B6,LUN!$A$16:$D$165,4,0))</f>
        <v>OFF</v>
      </c>
      <c r="F6" s="207" t="str">
        <f>IF(ISERROR(VLOOKUP($B6,MAR!$A$16:$D$165,3,0)),"OFF",VLOOKUP($B6,MAR!$A$16:$D$165,3,0))</f>
        <v>OFF</v>
      </c>
      <c r="G6" s="208" t="str">
        <f>IF(ISERROR(VLOOKUP($B6,MAR!$A$16:$D$165,4,0)),"OFF",VLOOKUP($B6,MAR!$A$16:$D$165,4,0))</f>
        <v>OFF</v>
      </c>
      <c r="H6" s="207" t="str">
        <f>IF(ISERROR(VLOOKUP($B6,MER!$A$16:$D$165,3,0)),"OFF",VLOOKUP($B6,MER!$A$16:$D$165,3,0))</f>
        <v>OFF</v>
      </c>
      <c r="I6" s="208" t="str">
        <f>IF(ISERROR(VLOOKUP($B6,MER!$A$16:$D$165,4,0)),"OFF",VLOOKUP($B6,MER!$A$16:$D$165,4,0))</f>
        <v>OFF</v>
      </c>
      <c r="J6" s="207" t="str">
        <f>IF(ISERROR(VLOOKUP($B6,GIO!$A$16:$D$165,3,0)),"OFF",VLOOKUP($B6,GIO!$A$16:$D$165,3,0))</f>
        <v>OFF</v>
      </c>
      <c r="K6" s="208" t="str">
        <f>IF(ISERROR(VLOOKUP($B6,GIO!$A$16:$D$165,4,0)),"OFF",VLOOKUP($B6,GIO!$A$16:$D$165,4,0))</f>
        <v>OFF</v>
      </c>
      <c r="L6" s="207" t="str">
        <f>IF(ISERROR(VLOOKUP($B6,VEN!$A$16:$D$165,3,0)),"OFF",VLOOKUP($B6,VEN!$A$16:$D$165,3,0))</f>
        <v>OFF</v>
      </c>
      <c r="M6" s="208" t="str">
        <f>IF(ISERROR(VLOOKUP($B6,VEN!$A$16:$D$165,4,0)),"OFF",VLOOKUP($B6,VEN!$A$16:$D$165,4,0))</f>
        <v>OFF</v>
      </c>
      <c r="N6" s="207" t="str">
        <f>IF(ISERROR(VLOOKUP($B6,SAB!$A$16:$D$165,3,0)),"OFF",VLOOKUP($B6,SAB!$A$16:$D$165,3,0))</f>
        <v>OFF</v>
      </c>
      <c r="O6" s="208" t="str">
        <f>IF(ISERROR(VLOOKUP($B6,SAB!$A$16:$D$165,4,0)),"OFF",VLOOKUP($B6,SAB!$A$16:$D$165,4,0))</f>
        <v>OFF</v>
      </c>
      <c r="P6" s="207" t="str">
        <f>IF(ISERROR(VLOOKUP($B6,DOM!$A$16:$D$165,3,0)),"OFF",VLOOKUP($B6,DOM!$A$16:$D$165,3,0))</f>
        <v>OFF</v>
      </c>
      <c r="Q6" s="208" t="str">
        <f>IF(ISERROR(VLOOKUP($B6,DOM!$A$16:$D$165,4,0)),"OFF",VLOOKUP($B6,DOM!$A$16:$D$165,4,0))</f>
        <v>OFF</v>
      </c>
      <c r="R6" s="214" t="str">
        <f t="shared" si="0"/>
        <v>OFF</v>
      </c>
      <c r="S6" s="214" t="str">
        <f t="shared" si="1"/>
        <v>OFF</v>
      </c>
      <c r="T6" s="214" t="str">
        <f t="shared" si="2"/>
        <v>OFF</v>
      </c>
      <c r="U6" s="214" t="str">
        <f t="shared" si="3"/>
        <v>OFF</v>
      </c>
      <c r="V6" s="214" t="str">
        <f t="shared" si="4"/>
        <v>OFF</v>
      </c>
      <c r="W6" s="214" t="str">
        <f t="shared" si="5"/>
        <v>OFF</v>
      </c>
      <c r="X6" s="214" t="str">
        <f t="shared" si="6"/>
        <v>OFF</v>
      </c>
      <c r="Y6" s="215">
        <f t="shared" si="7"/>
        <v>0</v>
      </c>
      <c r="Z6" s="206" t="s">
        <v>297</v>
      </c>
      <c r="AA6" s="206">
        <v>30</v>
      </c>
      <c r="AB6" s="221">
        <f t="shared" si="8"/>
        <v>-30</v>
      </c>
      <c r="AC6" s="206">
        <f t="shared" si="9"/>
        <v>0</v>
      </c>
      <c r="AD6" s="209">
        <f t="shared" si="10"/>
        <v>-1</v>
      </c>
      <c r="AE6" s="8"/>
      <c r="AF6" s="17"/>
      <c r="AG6" s="209" t="s">
        <v>297</v>
      </c>
      <c r="AH6" s="209" t="s">
        <v>297</v>
      </c>
      <c r="AI6" s="533"/>
      <c r="AJ6" s="534"/>
      <c r="AK6" s="533"/>
      <c r="AL6" s="534"/>
      <c r="AM6" s="533"/>
      <c r="AN6" s="534"/>
      <c r="AO6" s="533"/>
      <c r="AP6" s="534"/>
      <c r="AQ6" s="533"/>
      <c r="AR6" s="534"/>
      <c r="AS6" s="533"/>
      <c r="AT6" s="534"/>
      <c r="AU6" s="535"/>
      <c r="AV6" s="535"/>
      <c r="AW6" s="12"/>
      <c r="AX6" s="9"/>
      <c r="AY6" s="9"/>
      <c r="AZ6" s="9"/>
      <c r="BA6" s="206" t="s">
        <v>297</v>
      </c>
      <c r="BB6" s="207"/>
      <c r="BC6" s="208"/>
      <c r="BD6" s="207"/>
      <c r="BE6" s="208"/>
      <c r="BF6" s="207"/>
      <c r="BG6" s="208"/>
      <c r="BH6" s="207"/>
      <c r="BI6" s="208"/>
      <c r="BJ6" s="207"/>
      <c r="BK6" s="208"/>
      <c r="BL6" s="207"/>
      <c r="BM6" s="208"/>
      <c r="BN6" s="207"/>
      <c r="BO6" s="208"/>
      <c r="BP6" s="9"/>
      <c r="BQ6" s="9"/>
      <c r="BR6" s="9"/>
      <c r="BS6" s="9"/>
      <c r="BT6" s="9"/>
    </row>
    <row r="7" spans="1:72" ht="40.15" customHeight="1" x14ac:dyDescent="0.25">
      <c r="A7" s="222">
        <v>4</v>
      </c>
      <c r="B7" s="206" t="s">
        <v>298</v>
      </c>
      <c r="C7" s="206" t="s">
        <v>298</v>
      </c>
      <c r="D7" s="207" t="str">
        <f>IF(ISERROR(VLOOKUP($B7,LUN!$A$16:$D$165,3,0)),"OFF",VLOOKUP($B7,LUN!$A$16:$D$165,3,0))</f>
        <v>OFF</v>
      </c>
      <c r="E7" s="208" t="str">
        <f>IF(ISERROR(VLOOKUP($B7,LUN!$A$16:$D$165,4,0)),"OFF",VLOOKUP($B7,LUN!$A$16:$D$165,4,0))</f>
        <v>OFF</v>
      </c>
      <c r="F7" s="207" t="str">
        <f>IF(ISERROR(VLOOKUP($B7,MAR!$A$16:$D$165,3,0)),"OFF",VLOOKUP($B7,MAR!$A$16:$D$165,3,0))</f>
        <v>OFF</v>
      </c>
      <c r="G7" s="208" t="str">
        <f>IF(ISERROR(VLOOKUP($B7,MAR!$A$16:$D$165,4,0)),"OFF",VLOOKUP($B7,MAR!$A$16:$D$165,4,0))</f>
        <v>OFF</v>
      </c>
      <c r="H7" s="207" t="str">
        <f>IF(ISERROR(VLOOKUP($B7,MER!$A$16:$D$165,3,0)),"OFF",VLOOKUP($B7,MER!$A$16:$D$165,3,0))</f>
        <v>OFF</v>
      </c>
      <c r="I7" s="208" t="str">
        <f>IF(ISERROR(VLOOKUP($B7,MER!$A$16:$D$165,4,0)),"OFF",VLOOKUP($B7,MER!$A$16:$D$165,4,0))</f>
        <v>OFF</v>
      </c>
      <c r="J7" s="207" t="str">
        <f>IF(ISERROR(VLOOKUP($B7,GIO!$A$16:$D$165,3,0)),"OFF",VLOOKUP($B7,GIO!$A$16:$D$165,3,0))</f>
        <v>OFF</v>
      </c>
      <c r="K7" s="208" t="str">
        <f>IF(ISERROR(VLOOKUP($B7,GIO!$A$16:$D$165,4,0)),"OFF",VLOOKUP($B7,GIO!$A$16:$D$165,4,0))</f>
        <v>OFF</v>
      </c>
      <c r="L7" s="207" t="str">
        <f>IF(ISERROR(VLOOKUP($B7,VEN!$A$16:$D$165,3,0)),"OFF",VLOOKUP($B7,VEN!$A$16:$D$165,3,0))</f>
        <v>OFF</v>
      </c>
      <c r="M7" s="208" t="str">
        <f>IF(ISERROR(VLOOKUP($B7,VEN!$A$16:$D$165,4,0)),"OFF",VLOOKUP($B7,VEN!$A$16:$D$165,4,0))</f>
        <v>OFF</v>
      </c>
      <c r="N7" s="207" t="str">
        <f>IF(ISERROR(VLOOKUP($B7,SAB!$A$16:$D$165,3,0)),"OFF",VLOOKUP($B7,SAB!$A$16:$D$165,3,0))</f>
        <v>OFF</v>
      </c>
      <c r="O7" s="208" t="str">
        <f>IF(ISERROR(VLOOKUP($B7,SAB!$A$16:$D$165,4,0)),"OFF",VLOOKUP($B7,SAB!$A$16:$D$165,4,0))</f>
        <v>OFF</v>
      </c>
      <c r="P7" s="207" t="str">
        <f>IF(ISERROR(VLOOKUP($B7,DOM!$A$16:$D$165,3,0)),"OFF",VLOOKUP($B7,DOM!$A$16:$D$165,3,0))</f>
        <v>OFF</v>
      </c>
      <c r="Q7" s="208" t="str">
        <f>IF(ISERROR(VLOOKUP($B7,DOM!$A$16:$D$165,4,0)),"OFF",VLOOKUP($B7,DOM!$A$16:$D$165,4,0))</f>
        <v>OFF</v>
      </c>
      <c r="R7" s="214" t="str">
        <f t="shared" si="0"/>
        <v>OFF</v>
      </c>
      <c r="S7" s="214" t="str">
        <f t="shared" si="1"/>
        <v>OFF</v>
      </c>
      <c r="T7" s="214" t="str">
        <f t="shared" si="2"/>
        <v>OFF</v>
      </c>
      <c r="U7" s="214" t="str">
        <f t="shared" si="3"/>
        <v>OFF</v>
      </c>
      <c r="V7" s="214" t="str">
        <f t="shared" si="4"/>
        <v>OFF</v>
      </c>
      <c r="W7" s="214" t="str">
        <f t="shared" si="5"/>
        <v>OFF</v>
      </c>
      <c r="X7" s="214" t="str">
        <f t="shared" si="6"/>
        <v>OFF</v>
      </c>
      <c r="Y7" s="215">
        <f t="shared" si="7"/>
        <v>0</v>
      </c>
      <c r="Z7" s="206" t="s">
        <v>298</v>
      </c>
      <c r="AA7" s="206">
        <v>36</v>
      </c>
      <c r="AB7" s="221">
        <f t="shared" si="8"/>
        <v>-36</v>
      </c>
      <c r="AC7" s="206">
        <f t="shared" si="9"/>
        <v>0</v>
      </c>
      <c r="AD7" s="209">
        <f t="shared" si="10"/>
        <v>-1</v>
      </c>
      <c r="AE7" s="8"/>
      <c r="AF7" s="17"/>
      <c r="AG7" s="209" t="s">
        <v>298</v>
      </c>
      <c r="AH7" s="209" t="s">
        <v>298</v>
      </c>
      <c r="AI7" s="533"/>
      <c r="AJ7" s="534"/>
      <c r="AK7" s="533"/>
      <c r="AL7" s="534"/>
      <c r="AM7" s="533"/>
      <c r="AN7" s="534"/>
      <c r="AO7" s="533"/>
      <c r="AP7" s="534"/>
      <c r="AQ7" s="533"/>
      <c r="AR7" s="534"/>
      <c r="AS7" s="533"/>
      <c r="AT7" s="534"/>
      <c r="AU7" s="535"/>
      <c r="AV7" s="535"/>
      <c r="AW7" s="12"/>
      <c r="AX7" s="9"/>
      <c r="AY7" s="9"/>
      <c r="AZ7" s="9"/>
      <c r="BA7" s="206" t="s">
        <v>298</v>
      </c>
      <c r="BB7" s="207"/>
      <c r="BC7" s="208"/>
      <c r="BD7" s="207"/>
      <c r="BE7" s="208"/>
      <c r="BF7" s="207"/>
      <c r="BG7" s="208"/>
      <c r="BH7" s="207"/>
      <c r="BI7" s="208"/>
      <c r="BJ7" s="207"/>
      <c r="BK7" s="208"/>
      <c r="BL7" s="207"/>
      <c r="BM7" s="208"/>
      <c r="BN7" s="207"/>
      <c r="BO7" s="208"/>
      <c r="BP7" s="9"/>
      <c r="BQ7" s="9"/>
      <c r="BR7" s="9"/>
      <c r="BS7" s="9"/>
      <c r="BT7" s="9"/>
    </row>
    <row r="8" spans="1:72" ht="40.15" customHeight="1" x14ac:dyDescent="0.25">
      <c r="A8" s="24">
        <v>1</v>
      </c>
      <c r="B8" s="25" t="s">
        <v>309</v>
      </c>
      <c r="C8" s="25" t="s">
        <v>313</v>
      </c>
      <c r="D8" s="29" t="str">
        <f>IF(ISERROR(VLOOKUP($B8,LUN!$A$16:$D$165,3,0)),"OFF",VLOOKUP($B8,LUN!$A$16:$D$165,3,0))</f>
        <v>OFF</v>
      </c>
      <c r="E8" s="30" t="str">
        <f>IF(ISERROR(VLOOKUP($B8,LUN!$A$16:$D$165,4,0)),"OFF",VLOOKUP($B8,LUN!$A$16:$D$165,4,0))</f>
        <v>OFF</v>
      </c>
      <c r="F8" s="29" t="str">
        <f>IF(ISERROR(VLOOKUP($B8,MAR!$A$16:$D$165,3,0)),"OFF",VLOOKUP($B8,MAR!$A$16:$D$165,3,0))</f>
        <v>OFF</v>
      </c>
      <c r="G8" s="30" t="str">
        <f>IF(ISERROR(VLOOKUP($B8,MAR!$A$16:$D$165,4,0)),"OFF",VLOOKUP($B8,MAR!$A$16:$D$165,4,0))</f>
        <v>OFF</v>
      </c>
      <c r="H8" s="29" t="str">
        <f>IF(ISERROR(VLOOKUP($B8,MER!$A$16:$D$165,3,0)),"OFF",VLOOKUP($B8,MER!$A$16:$D$165,3,0))</f>
        <v>OFF</v>
      </c>
      <c r="I8" s="30" t="str">
        <f>IF(ISERROR(VLOOKUP($B8,MER!$A$16:$D$165,4,0)),"OFF",VLOOKUP($B8,MER!$A$16:$D$165,4,0))</f>
        <v>OFF</v>
      </c>
      <c r="J8" s="29" t="str">
        <f>IF(ISERROR(VLOOKUP($B8,GIO!$A$16:$D$165,3,0)),"OFF",VLOOKUP($B8,GIO!$A$16:$D$165,3,0))</f>
        <v>OFF</v>
      </c>
      <c r="K8" s="30" t="str">
        <f>IF(ISERROR(VLOOKUP($B8,GIO!$A$16:$D$165,4,0)),"OFF",VLOOKUP($B8,GIO!$A$16:$D$165,4,0))</f>
        <v>OFF</v>
      </c>
      <c r="L8" s="29" t="str">
        <f>IF(ISERROR(VLOOKUP($B8,VEN!$A$16:$D$165,3,0)),"OFF",VLOOKUP($B8,VEN!$A$16:$D$165,3,0))</f>
        <v>OFF</v>
      </c>
      <c r="M8" s="30" t="str">
        <f>IF(ISERROR(VLOOKUP($B8,VEN!$A$16:$D$165,4,0)),"OFF",VLOOKUP($B8,VEN!$A$16:$D$165,4,0))</f>
        <v>OFF</v>
      </c>
      <c r="N8" s="29" t="str">
        <f>IF(ISERROR(VLOOKUP($B8,SAB!$A$16:$D$165,3,0)),"OFF",VLOOKUP($B8,SAB!$A$16:$D$165,3,0))</f>
        <v>OFF</v>
      </c>
      <c r="O8" s="30" t="str">
        <f>IF(ISERROR(VLOOKUP($B8,SAB!$A$16:$D$165,4,0)),"OFF",VLOOKUP($B8,SAB!$A$16:$D$165,4,0))</f>
        <v>OFF</v>
      </c>
      <c r="P8" s="29" t="str">
        <f>IF(ISERROR(VLOOKUP($B8,DOM!$A$16:$D$165,3,0)),"OFF",VLOOKUP($B8,DOM!$A$16:$D$165,3,0))</f>
        <v>OFF</v>
      </c>
      <c r="Q8" s="30" t="str">
        <f>IF(ISERROR(VLOOKUP($B8,DOM!$A$16:$D$165,4,0)),"OFF",VLOOKUP($B8,DOM!$A$16:$D$165,4,0))</f>
        <v>OFF</v>
      </c>
      <c r="R8" s="218" t="str">
        <f t="shared" ref="R8:R11" si="11">IFERROR(IF(D8="OFF","OFF",E8-D8+IF(D8&gt;E8,1)),0)</f>
        <v>OFF</v>
      </c>
      <c r="S8" s="218" t="str">
        <f t="shared" ref="S8:S11" si="12">IFERROR(IF(F8="OFF","OFF",G8-F8+IF(F8&gt;G8,1)),0)</f>
        <v>OFF</v>
      </c>
      <c r="T8" s="218" t="str">
        <f t="shared" ref="T8:T11" si="13">IFERROR(IF(H8="OFF","OFF",I8-H8+IF(H8&gt;I8,1)),0)</f>
        <v>OFF</v>
      </c>
      <c r="U8" s="218" t="str">
        <f t="shared" ref="U8:U11" si="14">IFERROR(IF(J8="OFF","OFF",K8-J8+IF(J8&gt;K8,1)),0)</f>
        <v>OFF</v>
      </c>
      <c r="V8" s="218" t="str">
        <f t="shared" ref="V8:V11" si="15">IFERROR(IF(L8="OFF","OFF",M8-L8+IF(L8&gt;M8,1)),0)</f>
        <v>OFF</v>
      </c>
      <c r="W8" s="218" t="str">
        <f t="shared" ref="W8:W11" si="16">IFERROR(IF(N8="OFF","OFF",O8-N8+IF(N8&gt;O8,1)),0)</f>
        <v>OFF</v>
      </c>
      <c r="X8" s="218" t="str">
        <f t="shared" ref="X8:X11" si="17">IFERROR(IF(P8="OFF","OFF",Q8-P8+IF(P8&gt;Q8,1)),0)</f>
        <v>OFF</v>
      </c>
      <c r="Y8" s="216">
        <f t="shared" ref="Y8:Y11" si="18">SUM(R8:X8)*24</f>
        <v>0</v>
      </c>
      <c r="Z8" s="520" t="str">
        <f>B8</f>
        <v>PULIZIA1</v>
      </c>
      <c r="AA8" s="520"/>
      <c r="AB8" s="221">
        <f t="shared" ref="AB8:AB11" si="19">Y8-AA8</f>
        <v>0</v>
      </c>
      <c r="AC8" s="24">
        <f t="shared" ref="AC8:AC11" si="20">AA8+AB8</f>
        <v>0</v>
      </c>
      <c r="AD8" s="223"/>
      <c r="AE8" s="9"/>
      <c r="AF8" s="17"/>
      <c r="AG8" s="24" t="str">
        <f t="shared" ref="AG8:AH11" si="21">B8</f>
        <v>PULIZIA1</v>
      </c>
      <c r="AH8" s="24" t="str">
        <f t="shared" si="21"/>
        <v>PULIZIA1 PRANZO</v>
      </c>
      <c r="AI8" s="522"/>
      <c r="AJ8" s="522"/>
      <c r="AK8" s="522"/>
      <c r="AL8" s="522"/>
      <c r="AM8" s="522"/>
      <c r="AN8" s="522"/>
      <c r="AO8" s="522"/>
      <c r="AP8" s="522"/>
      <c r="AQ8" s="522"/>
      <c r="AR8" s="522"/>
      <c r="AS8" s="522"/>
      <c r="AT8" s="522"/>
      <c r="AU8" s="522"/>
      <c r="AV8" s="522"/>
      <c r="AW8" s="12"/>
      <c r="AX8" s="9"/>
      <c r="AY8" s="9"/>
      <c r="AZ8" s="9"/>
      <c r="BA8" s="25" t="s">
        <v>194</v>
      </c>
      <c r="BB8" s="29" t="str">
        <f>IF(ISERROR(VLOOKUP($B8,LUN!$A$16:$D$165,3,0)),"OFF",VLOOKUP($B8,LUN!$A$16:$D$165,3,0))</f>
        <v>OFF</v>
      </c>
      <c r="BC8" s="30" t="str">
        <f>IF(ISERROR(VLOOKUP($B8,LUN!$A$16:$D$165,4,0)),"OFF",VLOOKUP($B8,LUN!$A$16:$D$165,4,0))</f>
        <v>OFF</v>
      </c>
      <c r="BD8" s="29" t="str">
        <f>IF(ISERROR(VLOOKUP($B8,MAR!$A$16:$D$165,3,0)),"OFF",VLOOKUP($B8,MAR!$A$16:$D$165,3,0))</f>
        <v>OFF</v>
      </c>
      <c r="BE8" s="30" t="str">
        <f>IF(ISERROR(VLOOKUP($B8,MAR!$A$16:$D$165,4,0)),"OFF",VLOOKUP($B8,MAR!$A$16:$D$165,4,0))</f>
        <v>OFF</v>
      </c>
      <c r="BF8" s="29" t="str">
        <f>IF(ISERROR(VLOOKUP($B8,MER!$A$16:$D$165,3,0)),"OFF",VLOOKUP($B8,MER!$A$16:$D$165,3,0))</f>
        <v>OFF</v>
      </c>
      <c r="BG8" s="30" t="str">
        <f>IF(ISERROR(VLOOKUP($B8,MER!$A$16:$D$165,4,0)),"OFF",VLOOKUP($B8,MER!$A$16:$D$165,4,0))</f>
        <v>OFF</v>
      </c>
      <c r="BH8" s="29" t="str">
        <f>IF(ISERROR(VLOOKUP($B8,GIO!$A$16:$D$165,3,0)),"OFF",VLOOKUP($B8,GIO!$A$16:$D$165,3,0))</f>
        <v>OFF</v>
      </c>
      <c r="BI8" s="30" t="str">
        <f>IF(ISERROR(VLOOKUP($B8,GIO!$A$16:$D$165,4,0)),"OFF",VLOOKUP($B8,GIO!$A$16:$D$165,4,0))</f>
        <v>OFF</v>
      </c>
      <c r="BJ8" s="29" t="str">
        <f>IF(ISERROR(VLOOKUP($B8,VEN!$A$16:$D$165,3,0)),"OFF",VLOOKUP($B8,VEN!$A$16:$D$165,3,0))</f>
        <v>OFF</v>
      </c>
      <c r="BK8" s="30" t="str">
        <f>IF(ISERROR(VLOOKUP($B8,VEN!$A$16:$D$165,4,0)),"OFF",VLOOKUP($B8,VEN!$A$16:$D$165,4,0))</f>
        <v>OFF</v>
      </c>
      <c r="BL8" s="29" t="str">
        <f>IF(ISERROR(VLOOKUP($B8,SAB!$A$16:$D$165,3,0)),"OFF",VLOOKUP($B8,SAB!$A$16:$D$165,3,0))</f>
        <v>OFF</v>
      </c>
      <c r="BM8" s="30" t="str">
        <f>IF(ISERROR(VLOOKUP($B8,SAB!$A$16:$D$165,4,0)),"OFF",VLOOKUP($B8,SAB!$A$16:$D$165,4,0))</f>
        <v>OFF</v>
      </c>
      <c r="BN8" s="29" t="str">
        <f>IF(ISERROR(VLOOKUP($B8,DOM!$A$16:$D$165,3,0)),"OFF",VLOOKUP($B8,DOM!$A$16:$D$165,3,0))</f>
        <v>OFF</v>
      </c>
      <c r="BO8" s="30" t="str">
        <f>IF(ISERROR(VLOOKUP($B8,DOM!$A$16:$D$165,4,0)),"OFF",VLOOKUP($B8,DOM!$A$16:$D$165,4,0))</f>
        <v>OFF</v>
      </c>
      <c r="BP8" s="9"/>
      <c r="BQ8" s="9"/>
      <c r="BR8" s="9"/>
      <c r="BS8" s="9"/>
      <c r="BT8" s="9"/>
    </row>
    <row r="9" spans="1:72" ht="40.15" customHeight="1" x14ac:dyDescent="0.25">
      <c r="A9" s="25">
        <f>A8+1</f>
        <v>2</v>
      </c>
      <c r="B9" s="25" t="s">
        <v>310</v>
      </c>
      <c r="C9" s="25" t="s">
        <v>314</v>
      </c>
      <c r="D9" s="29" t="str">
        <f>IF(ISERROR(VLOOKUP($B9,LUN!$A$16:$D$165,3,0)),"OFF",VLOOKUP($B9,LUN!$A$16:$D$165,3,0))</f>
        <v>OFF</v>
      </c>
      <c r="E9" s="30" t="str">
        <f>IF(ISERROR(VLOOKUP($B9,LUN!$A$16:$D$165,4,0)),"OFF",VLOOKUP($B9,LUN!$A$16:$D$165,4,0))</f>
        <v>OFF</v>
      </c>
      <c r="F9" s="29" t="str">
        <f>IF(ISERROR(VLOOKUP($B9,MAR!$A$16:$D$165,3,0)),"OFF",VLOOKUP($B9,MAR!$A$16:$D$165,3,0))</f>
        <v>OFF</v>
      </c>
      <c r="G9" s="30" t="str">
        <f>IF(ISERROR(VLOOKUP($B9,MAR!$A$16:$D$165,4,0)),"OFF",VLOOKUP($B9,MAR!$A$16:$D$165,4,0))</f>
        <v>OFF</v>
      </c>
      <c r="H9" s="29" t="str">
        <f>IF(ISERROR(VLOOKUP($B9,MER!$A$16:$D$165,3,0)),"OFF",VLOOKUP($B9,MER!$A$16:$D$165,3,0))</f>
        <v>OFF</v>
      </c>
      <c r="I9" s="30" t="str">
        <f>IF(ISERROR(VLOOKUP($B9,MER!$A$16:$D$165,4,0)),"OFF",VLOOKUP($B9,MER!$A$16:$D$165,4,0))</f>
        <v>OFF</v>
      </c>
      <c r="J9" s="29" t="str">
        <f>IF(ISERROR(VLOOKUP($B9,GIO!$A$16:$D$165,3,0)),"OFF",VLOOKUP($B9,GIO!$A$16:$D$165,3,0))</f>
        <v>OFF</v>
      </c>
      <c r="K9" s="30" t="str">
        <f>IF(ISERROR(VLOOKUP($B9,GIO!$A$16:$D$165,4,0)),"OFF",VLOOKUP($B9,GIO!$A$16:$D$165,4,0))</f>
        <v>OFF</v>
      </c>
      <c r="L9" s="29" t="str">
        <f>IF(ISERROR(VLOOKUP($B9,VEN!$A$16:$D$165,3,0)),"OFF",VLOOKUP($B9,VEN!$A$16:$D$165,3,0))</f>
        <v>OFF</v>
      </c>
      <c r="M9" s="30" t="str">
        <f>IF(ISERROR(VLOOKUP($B9,VEN!$A$16:$D$165,4,0)),"OFF",VLOOKUP($B9,VEN!$A$16:$D$165,4,0))</f>
        <v>OFF</v>
      </c>
      <c r="N9" s="29" t="str">
        <f>IF(ISERROR(VLOOKUP($B9,SAB!$A$16:$D$165,3,0)),"OFF",VLOOKUP($B9,SAB!$A$16:$D$165,3,0))</f>
        <v>OFF</v>
      </c>
      <c r="O9" s="30" t="str">
        <f>IF(ISERROR(VLOOKUP($B9,SAB!$A$16:$D$165,4,0)),"OFF",VLOOKUP($B9,SAB!$A$16:$D$165,4,0))</f>
        <v>OFF</v>
      </c>
      <c r="P9" s="29" t="str">
        <f>IF(ISERROR(VLOOKUP($B9,DOM!$A$16:$D$165,3,0)),"OFF",VLOOKUP($B9,DOM!$A$16:$D$165,3,0))</f>
        <v>OFF</v>
      </c>
      <c r="Q9" s="30" t="str">
        <f>IF(ISERROR(VLOOKUP($B9,DOM!$A$16:$D$165,4,0)),"OFF",VLOOKUP($B9,DOM!$A$16:$D$165,4,0))</f>
        <v>OFF</v>
      </c>
      <c r="R9" s="218" t="str">
        <f t="shared" si="11"/>
        <v>OFF</v>
      </c>
      <c r="S9" s="218" t="str">
        <f t="shared" si="12"/>
        <v>OFF</v>
      </c>
      <c r="T9" s="218" t="str">
        <f t="shared" si="13"/>
        <v>OFF</v>
      </c>
      <c r="U9" s="218" t="str">
        <f t="shared" si="14"/>
        <v>OFF</v>
      </c>
      <c r="V9" s="218" t="str">
        <f t="shared" si="15"/>
        <v>OFF</v>
      </c>
      <c r="W9" s="218" t="str">
        <f t="shared" si="16"/>
        <v>OFF</v>
      </c>
      <c r="X9" s="218" t="str">
        <f t="shared" si="17"/>
        <v>OFF</v>
      </c>
      <c r="Y9" s="216">
        <f t="shared" si="18"/>
        <v>0</v>
      </c>
      <c r="Z9" s="521" t="str">
        <f>B9</f>
        <v>PULIZIA2</v>
      </c>
      <c r="AA9" s="521"/>
      <c r="AB9" s="221">
        <f t="shared" si="19"/>
        <v>0</v>
      </c>
      <c r="AC9" s="25">
        <f t="shared" si="20"/>
        <v>0</v>
      </c>
      <c r="AD9" s="18"/>
      <c r="AE9" s="9"/>
      <c r="AF9" s="17"/>
      <c r="AG9" s="25" t="str">
        <f t="shared" si="21"/>
        <v>PULIZIA2</v>
      </c>
      <c r="AH9" s="25" t="str">
        <f t="shared" si="21"/>
        <v>PULIZIA2 CENA</v>
      </c>
      <c r="AI9" s="522"/>
      <c r="AJ9" s="522"/>
      <c r="AK9" s="522"/>
      <c r="AL9" s="522"/>
      <c r="AM9" s="522"/>
      <c r="AN9" s="522"/>
      <c r="AO9" s="522"/>
      <c r="AP9" s="522"/>
      <c r="AQ9" s="522"/>
      <c r="AR9" s="522"/>
      <c r="AS9" s="522"/>
      <c r="AT9" s="522"/>
      <c r="AU9" s="522"/>
      <c r="AV9" s="522"/>
      <c r="AW9" s="12"/>
      <c r="AX9" s="9"/>
      <c r="AY9" s="9"/>
      <c r="AZ9" s="9"/>
      <c r="BA9" s="25" t="s">
        <v>195</v>
      </c>
      <c r="BB9" s="29" t="str">
        <f>IF(ISERROR(VLOOKUP($B9,LUN!$A$16:$D$165,3,0)),"OFF",VLOOKUP($B9,LUN!$A$16:$D$165,3,0))</f>
        <v>OFF</v>
      </c>
      <c r="BC9" s="30" t="str">
        <f>IF(ISERROR(VLOOKUP($B9,LUN!$A$16:$D$165,4,0)),"OFF",VLOOKUP($B9,LUN!$A$16:$D$165,4,0))</f>
        <v>OFF</v>
      </c>
      <c r="BD9" s="29" t="str">
        <f>IF(ISERROR(VLOOKUP($B9,MAR!$A$16:$D$165,3,0)),"OFF",VLOOKUP($B9,MAR!$A$16:$D$165,3,0))</f>
        <v>OFF</v>
      </c>
      <c r="BE9" s="30" t="str">
        <f>IF(ISERROR(VLOOKUP($B9,MAR!$A$16:$D$165,4,0)),"OFF",VLOOKUP($B9,MAR!$A$16:$D$165,4,0))</f>
        <v>OFF</v>
      </c>
      <c r="BF9" s="29" t="str">
        <f>IF(ISERROR(VLOOKUP($B9,MER!$A$16:$D$165,3,0)),"OFF",VLOOKUP($B9,MER!$A$16:$D$165,3,0))</f>
        <v>OFF</v>
      </c>
      <c r="BG9" s="30" t="str">
        <f>IF(ISERROR(VLOOKUP($B9,MER!$A$16:$D$165,4,0)),"OFF",VLOOKUP($B9,MER!$A$16:$D$165,4,0))</f>
        <v>OFF</v>
      </c>
      <c r="BH9" s="29" t="str">
        <f>IF(ISERROR(VLOOKUP($B9,GIO!$A$16:$D$165,3,0)),"OFF",VLOOKUP($B9,GIO!$A$16:$D$165,3,0))</f>
        <v>OFF</v>
      </c>
      <c r="BI9" s="30" t="str">
        <f>IF(ISERROR(VLOOKUP($B9,GIO!$A$16:$D$165,4,0)),"OFF",VLOOKUP($B9,GIO!$A$16:$D$165,4,0))</f>
        <v>OFF</v>
      </c>
      <c r="BJ9" s="29" t="str">
        <f>IF(ISERROR(VLOOKUP($B9,VEN!$A$16:$D$165,3,0)),"OFF",VLOOKUP($B9,VEN!$A$16:$D$165,3,0))</f>
        <v>OFF</v>
      </c>
      <c r="BK9" s="30" t="str">
        <f>IF(ISERROR(VLOOKUP($B9,VEN!$A$16:$D$165,4,0)),"OFF",VLOOKUP($B9,VEN!$A$16:$D$165,4,0))</f>
        <v>OFF</v>
      </c>
      <c r="BL9" s="29" t="str">
        <f>IF(ISERROR(VLOOKUP($B9,SAB!$A$16:$D$165,3,0)),"OFF",VLOOKUP($B9,SAB!$A$16:$D$165,3,0))</f>
        <v>OFF</v>
      </c>
      <c r="BM9" s="30" t="str">
        <f>IF(ISERROR(VLOOKUP($B9,SAB!$A$16:$D$165,4,0)),"OFF",VLOOKUP($B9,SAB!$A$16:$D$165,4,0))</f>
        <v>OFF</v>
      </c>
      <c r="BN9" s="29" t="str">
        <f>IF(ISERROR(VLOOKUP($B9,DOM!$A$16:$D$165,3,0)),"OFF",VLOOKUP($B9,DOM!$A$16:$D$165,3,0))</f>
        <v>OFF</v>
      </c>
      <c r="BO9" s="30" t="str">
        <f>IF(ISERROR(VLOOKUP($B9,DOM!$A$16:$D$165,4,0)),"OFF",VLOOKUP($B9,DOM!$A$16:$D$165,4,0))</f>
        <v>OFF</v>
      </c>
      <c r="BP9" s="9"/>
      <c r="BQ9" s="9"/>
      <c r="BR9" s="9"/>
      <c r="BS9" s="9"/>
      <c r="BT9" s="9"/>
    </row>
    <row r="10" spans="1:72" ht="40.15" customHeight="1" x14ac:dyDescent="0.25">
      <c r="A10" s="25">
        <f>A9+1</f>
        <v>3</v>
      </c>
      <c r="B10" s="25" t="s">
        <v>311</v>
      </c>
      <c r="C10" s="25" t="s">
        <v>315</v>
      </c>
      <c r="D10" s="29" t="str">
        <f>IF(ISERROR(VLOOKUP($B10,LUN!$A$16:$D$165,3,0)),"OFF",VLOOKUP($B10,LUN!$A$16:$D$165,3,0))</f>
        <v>OFF</v>
      </c>
      <c r="E10" s="30" t="str">
        <f>IF(ISERROR(VLOOKUP($B10,LUN!$A$16:$D$165,4,0)),"OFF",VLOOKUP($B10,LUN!$A$16:$D$165,4,0))</f>
        <v>OFF</v>
      </c>
      <c r="F10" s="29" t="str">
        <f>IF(ISERROR(VLOOKUP($B10,MAR!$A$16:$D$165,3,0)),"OFF",VLOOKUP($B10,MAR!$A$16:$D$165,3,0))</f>
        <v>OFF</v>
      </c>
      <c r="G10" s="30" t="str">
        <f>IF(ISERROR(VLOOKUP($B10,MAR!$A$16:$D$165,4,0)),"OFF",VLOOKUP($B10,MAR!$A$16:$D$165,4,0))</f>
        <v>OFF</v>
      </c>
      <c r="H10" s="29" t="str">
        <f>IF(ISERROR(VLOOKUP($B10,MER!$A$16:$D$165,3,0)),"OFF",VLOOKUP($B10,MER!$A$16:$D$165,3,0))</f>
        <v>OFF</v>
      </c>
      <c r="I10" s="30" t="str">
        <f>IF(ISERROR(VLOOKUP($B10,MER!$A$16:$D$165,4,0)),"OFF",VLOOKUP($B10,MER!$A$16:$D$165,4,0))</f>
        <v>OFF</v>
      </c>
      <c r="J10" s="29" t="str">
        <f>IF(ISERROR(VLOOKUP($B10,GIO!$A$16:$D$165,3,0)),"OFF",VLOOKUP($B10,GIO!$A$16:$D$165,3,0))</f>
        <v>OFF</v>
      </c>
      <c r="K10" s="30" t="str">
        <f>IF(ISERROR(VLOOKUP($B10,GIO!$A$16:$D$165,4,0)),"OFF",VLOOKUP($B10,GIO!$A$16:$D$165,4,0))</f>
        <v>OFF</v>
      </c>
      <c r="L10" s="29" t="str">
        <f>IF(ISERROR(VLOOKUP($B10,VEN!$A$16:$D$165,3,0)),"OFF",VLOOKUP($B10,VEN!$A$16:$D$165,3,0))</f>
        <v>OFF</v>
      </c>
      <c r="M10" s="30" t="str">
        <f>IF(ISERROR(VLOOKUP($B10,VEN!$A$16:$D$165,4,0)),"OFF",VLOOKUP($B10,VEN!$A$16:$D$165,4,0))</f>
        <v>OFF</v>
      </c>
      <c r="N10" s="29" t="str">
        <f>IF(ISERROR(VLOOKUP($B10,SAB!$A$16:$D$165,3,0)),"OFF",VLOOKUP($B10,SAB!$A$16:$D$165,3,0))</f>
        <v>OFF</v>
      </c>
      <c r="O10" s="30" t="str">
        <f>IF(ISERROR(VLOOKUP($B10,SAB!$A$16:$D$165,4,0)),"OFF",VLOOKUP($B10,SAB!$A$16:$D$165,4,0))</f>
        <v>OFF</v>
      </c>
      <c r="P10" s="29" t="str">
        <f>IF(ISERROR(VLOOKUP($B10,DOM!$A$16:$D$165,3,0)),"OFF",VLOOKUP($B10,DOM!$A$16:$D$165,3,0))</f>
        <v>OFF</v>
      </c>
      <c r="Q10" s="30" t="str">
        <f>IF(ISERROR(VLOOKUP($B10,DOM!$A$16:$D$165,4,0)),"OFF",VLOOKUP($B10,DOM!$A$16:$D$165,4,0))</f>
        <v>OFF</v>
      </c>
      <c r="R10" s="218" t="str">
        <f t="shared" si="11"/>
        <v>OFF</v>
      </c>
      <c r="S10" s="218" t="str">
        <f t="shared" si="12"/>
        <v>OFF</v>
      </c>
      <c r="T10" s="218" t="str">
        <f t="shared" si="13"/>
        <v>OFF</v>
      </c>
      <c r="U10" s="218" t="str">
        <f t="shared" si="14"/>
        <v>OFF</v>
      </c>
      <c r="V10" s="218" t="str">
        <f t="shared" si="15"/>
        <v>OFF</v>
      </c>
      <c r="W10" s="218" t="str">
        <f t="shared" si="16"/>
        <v>OFF</v>
      </c>
      <c r="X10" s="218" t="str">
        <f t="shared" si="17"/>
        <v>OFF</v>
      </c>
      <c r="Y10" s="216">
        <f t="shared" si="18"/>
        <v>0</v>
      </c>
      <c r="Z10" s="521" t="str">
        <f>B10</f>
        <v>PULIZIA3</v>
      </c>
      <c r="AA10" s="521"/>
      <c r="AB10" s="221">
        <f t="shared" si="19"/>
        <v>0</v>
      </c>
      <c r="AC10" s="234">
        <f t="shared" si="20"/>
        <v>0</v>
      </c>
      <c r="AD10" s="18"/>
      <c r="AE10" s="9"/>
      <c r="AF10" s="17"/>
      <c r="AG10" s="25" t="str">
        <f t="shared" si="21"/>
        <v>PULIZIA3</v>
      </c>
      <c r="AH10" s="25" t="str">
        <f t="shared" si="21"/>
        <v>PULIZIA3 DELIVERY</v>
      </c>
      <c r="AI10" s="522"/>
      <c r="AJ10" s="522"/>
      <c r="AK10" s="522"/>
      <c r="AL10" s="522"/>
      <c r="AM10" s="522"/>
      <c r="AN10" s="522"/>
      <c r="AO10" s="522"/>
      <c r="AP10" s="522"/>
      <c r="AQ10" s="522"/>
      <c r="AR10" s="522"/>
      <c r="AS10" s="522"/>
      <c r="AT10" s="522"/>
      <c r="AU10" s="522"/>
      <c r="AV10" s="522"/>
      <c r="AW10" s="12"/>
      <c r="AX10" s="9"/>
      <c r="AY10" s="9"/>
      <c r="AZ10" s="9"/>
      <c r="BA10" s="25" t="s">
        <v>196</v>
      </c>
      <c r="BB10" s="29" t="str">
        <f>IF(ISERROR(VLOOKUP($B10,LUN!$A$16:$D$165,3,0)),"OFF",VLOOKUP($B10,LUN!$A$16:$D$165,3,0))</f>
        <v>OFF</v>
      </c>
      <c r="BC10" s="30" t="str">
        <f>IF(ISERROR(VLOOKUP($B10,LUN!$A$16:$D$165,4,0)),"OFF",VLOOKUP($B10,LUN!$A$16:$D$165,4,0))</f>
        <v>OFF</v>
      </c>
      <c r="BD10" s="29" t="str">
        <f>IF(ISERROR(VLOOKUP($B10,MAR!$A$16:$D$165,3,0)),"OFF",VLOOKUP($B10,MAR!$A$16:$D$165,3,0))</f>
        <v>OFF</v>
      </c>
      <c r="BE10" s="30" t="str">
        <f>IF(ISERROR(VLOOKUP($B10,MAR!$A$16:$D$165,4,0)),"OFF",VLOOKUP($B10,MAR!$A$16:$D$165,4,0))</f>
        <v>OFF</v>
      </c>
      <c r="BF10" s="29" t="str">
        <f>IF(ISERROR(VLOOKUP($B10,MER!$A$16:$D$165,3,0)),"OFF",VLOOKUP($B10,MER!$A$16:$D$165,3,0))</f>
        <v>OFF</v>
      </c>
      <c r="BG10" s="30" t="str">
        <f>IF(ISERROR(VLOOKUP($B10,MER!$A$16:$D$165,4,0)),"OFF",VLOOKUP($B10,MER!$A$16:$D$165,4,0))</f>
        <v>OFF</v>
      </c>
      <c r="BH10" s="29" t="str">
        <f>IF(ISERROR(VLOOKUP($B10,GIO!$A$16:$D$165,3,0)),"OFF",VLOOKUP($B10,GIO!$A$16:$D$165,3,0))</f>
        <v>OFF</v>
      </c>
      <c r="BI10" s="30" t="str">
        <f>IF(ISERROR(VLOOKUP($B10,GIO!$A$16:$D$165,4,0)),"OFF",VLOOKUP($B10,GIO!$A$16:$D$165,4,0))</f>
        <v>OFF</v>
      </c>
      <c r="BJ10" s="29" t="str">
        <f>IF(ISERROR(VLOOKUP($B10,VEN!$A$16:$D$165,3,0)),"OFF",VLOOKUP($B10,VEN!$A$16:$D$165,3,0))</f>
        <v>OFF</v>
      </c>
      <c r="BK10" s="30" t="str">
        <f>IF(ISERROR(VLOOKUP($B10,VEN!$A$16:$D$165,4,0)),"OFF",VLOOKUP($B10,VEN!$A$16:$D$165,4,0))</f>
        <v>OFF</v>
      </c>
      <c r="BL10" s="29" t="str">
        <f>IF(ISERROR(VLOOKUP($B10,SAB!$A$16:$D$165,3,0)),"OFF",VLOOKUP($B10,SAB!$A$16:$D$165,3,0))</f>
        <v>OFF</v>
      </c>
      <c r="BM10" s="30" t="str">
        <f>IF(ISERROR(VLOOKUP($B10,SAB!$A$16:$D$165,4,0)),"OFF",VLOOKUP($B10,SAB!$A$16:$D$165,4,0))</f>
        <v>OFF</v>
      </c>
      <c r="BN10" s="29" t="str">
        <f>IF(ISERROR(VLOOKUP($B10,DOM!$A$16:$D$165,3,0)),"OFF",VLOOKUP($B10,DOM!$A$16:$D$165,3,0))</f>
        <v>OFF</v>
      </c>
      <c r="BO10" s="30" t="str">
        <f>IF(ISERROR(VLOOKUP($B10,DOM!$A$16:$D$165,4,0)),"OFF",VLOOKUP($B10,DOM!$A$16:$D$165,4,0))</f>
        <v>OFF</v>
      </c>
      <c r="BP10" s="9"/>
      <c r="BQ10" s="9"/>
      <c r="BR10" s="9"/>
      <c r="BS10" s="9"/>
      <c r="BT10" s="9"/>
    </row>
    <row r="11" spans="1:72" ht="40.15" customHeight="1" thickBot="1" x14ac:dyDescent="0.3">
      <c r="A11" s="25">
        <f>A10+1</f>
        <v>4</v>
      </c>
      <c r="B11" s="26" t="s">
        <v>312</v>
      </c>
      <c r="C11" s="26" t="s">
        <v>316</v>
      </c>
      <c r="D11" s="31" t="str">
        <f>IF(ISERROR(VLOOKUP($B11,LUN!$A$16:$D$165,3,0)),"OFF",VLOOKUP($B11,LUN!$A$16:$D$165,3,0))</f>
        <v>OFF</v>
      </c>
      <c r="E11" s="32" t="str">
        <f>IF(ISERROR(VLOOKUP($B11,LUN!$A$16:$D$165,4,0)),"OFF",VLOOKUP($B11,LUN!$A$16:$D$165,4,0))</f>
        <v>OFF</v>
      </c>
      <c r="F11" s="31" t="str">
        <f>IF(ISERROR(VLOOKUP($B11,MAR!$A$16:$D$165,3,0)),"OFF",VLOOKUP($B11,MAR!$A$16:$D$165,3,0))</f>
        <v>OFF</v>
      </c>
      <c r="G11" s="32" t="str">
        <f>IF(ISERROR(VLOOKUP($B11,MAR!$A$16:$D$165,4,0)),"OFF",VLOOKUP($B11,MAR!$A$16:$D$165,4,0))</f>
        <v>OFF</v>
      </c>
      <c r="H11" s="31" t="str">
        <f>IF(ISERROR(VLOOKUP($B11,MER!$A$16:$D$165,3,0)),"OFF",VLOOKUP($B11,MER!$A$16:$D$165,3,0))</f>
        <v>OFF</v>
      </c>
      <c r="I11" s="32" t="str">
        <f>IF(ISERROR(VLOOKUP($B11,MER!$A$16:$D$165,4,0)),"OFF",VLOOKUP($B11,MER!$A$16:$D$165,4,0))</f>
        <v>OFF</v>
      </c>
      <c r="J11" s="31" t="str">
        <f>IF(ISERROR(VLOOKUP($B11,GIO!$A$16:$D$165,3,0)),"OFF",VLOOKUP($B11,GIO!$A$16:$D$165,3,0))</f>
        <v>OFF</v>
      </c>
      <c r="K11" s="32" t="str">
        <f>IF(ISERROR(VLOOKUP($B11,GIO!$A$16:$D$165,4,0)),"OFF",VLOOKUP($B11,GIO!$A$16:$D$165,4,0))</f>
        <v>OFF</v>
      </c>
      <c r="L11" s="31" t="str">
        <f>IF(ISERROR(VLOOKUP($B11,VEN!$A$16:$D$165,3,0)),"OFF",VLOOKUP($B11,VEN!$A$16:$D$165,3,0))</f>
        <v>OFF</v>
      </c>
      <c r="M11" s="32" t="str">
        <f>IF(ISERROR(VLOOKUP($B11,VEN!$A$16:$D$165,4,0)),"OFF",VLOOKUP($B11,VEN!$A$16:$D$165,4,0))</f>
        <v>OFF</v>
      </c>
      <c r="N11" s="31" t="str">
        <f>IF(ISERROR(VLOOKUP($B11,SAB!$A$16:$D$165,3,0)),"OFF",VLOOKUP($B11,SAB!$A$16:$D$165,3,0))</f>
        <v>OFF</v>
      </c>
      <c r="O11" s="32" t="str">
        <f>IF(ISERROR(VLOOKUP($B11,SAB!$A$16:$D$165,4,0)),"OFF",VLOOKUP($B11,SAB!$A$16:$D$165,4,0))</f>
        <v>OFF</v>
      </c>
      <c r="P11" s="31" t="str">
        <f>IF(ISERROR(VLOOKUP($B11,DOM!$A$16:$D$165,3,0)),"OFF",VLOOKUP($B11,DOM!$A$16:$D$165,3,0))</f>
        <v>OFF</v>
      </c>
      <c r="Q11" s="32" t="str">
        <f>IF(ISERROR(VLOOKUP($B11,DOM!$A$16:$D$165,4,0)),"OFF",VLOOKUP($B11,DOM!$A$16:$D$165,4,0))</f>
        <v>OFF</v>
      </c>
      <c r="R11" s="218" t="str">
        <f t="shared" si="11"/>
        <v>OFF</v>
      </c>
      <c r="S11" s="218" t="str">
        <f t="shared" si="12"/>
        <v>OFF</v>
      </c>
      <c r="T11" s="218" t="str">
        <f t="shared" si="13"/>
        <v>OFF</v>
      </c>
      <c r="U11" s="218" t="str">
        <f t="shared" si="14"/>
        <v>OFF</v>
      </c>
      <c r="V11" s="218" t="str">
        <f t="shared" si="15"/>
        <v>OFF</v>
      </c>
      <c r="W11" s="218" t="str">
        <f t="shared" si="16"/>
        <v>OFF</v>
      </c>
      <c r="X11" s="218" t="str">
        <f t="shared" si="17"/>
        <v>OFF</v>
      </c>
      <c r="Y11" s="217">
        <f t="shared" si="18"/>
        <v>0</v>
      </c>
      <c r="Z11" s="531" t="str">
        <f>B11</f>
        <v>PULIZIA4</v>
      </c>
      <c r="AA11" s="532"/>
      <c r="AB11" s="221">
        <f t="shared" si="19"/>
        <v>0</v>
      </c>
      <c r="AC11" s="26">
        <f t="shared" si="20"/>
        <v>0</v>
      </c>
      <c r="AD11" s="18"/>
      <c r="AE11" s="9"/>
      <c r="AF11" s="17"/>
      <c r="AG11" s="26" t="str">
        <f t="shared" si="21"/>
        <v>PULIZIA4</v>
      </c>
      <c r="AH11" s="26" t="str">
        <f t="shared" si="21"/>
        <v>PULIZIA NOTTE</v>
      </c>
      <c r="AI11" s="522"/>
      <c r="AJ11" s="522"/>
      <c r="AK11" s="522"/>
      <c r="AL11" s="522"/>
      <c r="AM11" s="522"/>
      <c r="AN11" s="522"/>
      <c r="AO11" s="522"/>
      <c r="AP11" s="522"/>
      <c r="AQ11" s="522"/>
      <c r="AR11" s="522"/>
      <c r="AS11" s="522"/>
      <c r="AT11" s="522"/>
      <c r="AU11" s="526"/>
      <c r="AV11" s="526"/>
      <c r="AW11" s="12"/>
      <c r="AX11" s="9"/>
      <c r="AY11" s="9"/>
      <c r="AZ11" s="9"/>
      <c r="BA11" s="26" t="s">
        <v>197</v>
      </c>
      <c r="BB11" s="31" t="str">
        <f>IF(ISERROR(VLOOKUP($B11,LUN!$A$16:$D$165,3,0)),"OFF",VLOOKUP($B11,LUN!$A$16:$D$165,3,0))</f>
        <v>OFF</v>
      </c>
      <c r="BC11" s="32" t="str">
        <f>IF(ISERROR(VLOOKUP($B11,LUN!$A$16:$D$165,4,0)),"OFF",VLOOKUP($B11,LUN!$A$16:$D$165,4,0))</f>
        <v>OFF</v>
      </c>
      <c r="BD11" s="31" t="str">
        <f>IF(ISERROR(VLOOKUP($B11,MAR!$A$16:$D$165,3,0)),"OFF",VLOOKUP($B11,MAR!$A$16:$D$165,3,0))</f>
        <v>OFF</v>
      </c>
      <c r="BE11" s="32" t="str">
        <f>IF(ISERROR(VLOOKUP($B11,MAR!$A$16:$D$165,4,0)),"OFF",VLOOKUP($B11,MAR!$A$16:$D$165,4,0))</f>
        <v>OFF</v>
      </c>
      <c r="BF11" s="31" t="str">
        <f>IF(ISERROR(VLOOKUP($B11,MER!$A$16:$D$165,3,0)),"OFF",VLOOKUP($B11,MER!$A$16:$D$165,3,0))</f>
        <v>OFF</v>
      </c>
      <c r="BG11" s="32" t="str">
        <f>IF(ISERROR(VLOOKUP($B11,MER!$A$16:$D$165,4,0)),"OFF",VLOOKUP($B11,MER!$A$16:$D$165,4,0))</f>
        <v>OFF</v>
      </c>
      <c r="BH11" s="31" t="str">
        <f>IF(ISERROR(VLOOKUP($B11,GIO!$A$16:$D$165,3,0)),"OFF",VLOOKUP($B11,GIO!$A$16:$D$165,3,0))</f>
        <v>OFF</v>
      </c>
      <c r="BI11" s="32" t="str">
        <f>IF(ISERROR(VLOOKUP($B11,GIO!$A$16:$D$165,4,0)),"OFF",VLOOKUP($B11,GIO!$A$16:$D$165,4,0))</f>
        <v>OFF</v>
      </c>
      <c r="BJ11" s="31" t="str">
        <f>IF(ISERROR(VLOOKUP($B11,VEN!$A$16:$D$165,3,0)),"OFF",VLOOKUP($B11,VEN!$A$16:$D$165,3,0))</f>
        <v>OFF</v>
      </c>
      <c r="BK11" s="32" t="str">
        <f>IF(ISERROR(VLOOKUP($B11,VEN!$A$16:$D$165,4,0)),"OFF",VLOOKUP($B11,VEN!$A$16:$D$165,4,0))</f>
        <v>OFF</v>
      </c>
      <c r="BL11" s="31" t="str">
        <f>IF(ISERROR(VLOOKUP($B11,SAB!$A$16:$D$165,3,0)),"OFF",VLOOKUP($B11,SAB!$A$16:$D$165,3,0))</f>
        <v>OFF</v>
      </c>
      <c r="BM11" s="32" t="str">
        <f>IF(ISERROR(VLOOKUP($B11,SAB!$A$16:$D$165,4,0)),"OFF",VLOOKUP($B11,SAB!$A$16:$D$165,4,0))</f>
        <v>OFF</v>
      </c>
      <c r="BN11" s="31" t="str">
        <f>IF(ISERROR(VLOOKUP($B11,DOM!$A$16:$D$165,3,0)),"OFF",VLOOKUP($B11,DOM!$A$16:$D$165,3,0))</f>
        <v>OFF</v>
      </c>
      <c r="BO11" s="32" t="str">
        <f>IF(ISERROR(VLOOKUP($B11,DOM!$A$16:$D$165,4,0)),"OFF",VLOOKUP($B11,DOM!$A$16:$D$165,4,0))</f>
        <v>OFF</v>
      </c>
      <c r="BP11" s="9"/>
      <c r="BQ11" s="9"/>
      <c r="BR11" s="9"/>
      <c r="BS11" s="9"/>
      <c r="BT11" s="9"/>
    </row>
    <row r="12" spans="1:72" ht="25.15" customHeight="1" x14ac:dyDescent="0.35">
      <c r="A12" s="15"/>
      <c r="B12" s="16"/>
      <c r="C12" s="509"/>
      <c r="D12" s="510"/>
      <c r="E12" s="510"/>
      <c r="F12" s="510"/>
      <c r="G12" s="510"/>
      <c r="H12" s="510"/>
      <c r="I12" s="510"/>
      <c r="J12" s="510"/>
      <c r="K12" s="510"/>
      <c r="L12" s="510"/>
      <c r="M12" s="510"/>
      <c r="N12" s="510"/>
      <c r="O12" s="510"/>
      <c r="P12" s="510"/>
      <c r="Q12" s="511"/>
      <c r="R12" s="13"/>
      <c r="S12" s="15"/>
      <c r="T12" s="15"/>
      <c r="U12" s="15"/>
      <c r="V12" s="15"/>
      <c r="W12" s="15"/>
      <c r="X12" s="15"/>
      <c r="Y12" s="22"/>
      <c r="Z12" s="529" t="s">
        <v>317</v>
      </c>
      <c r="AA12" s="530"/>
      <c r="AB12" s="161">
        <f>SUM(AB8:AB11)</f>
        <v>0</v>
      </c>
      <c r="AC12" s="28"/>
      <c r="AD12" s="18"/>
      <c r="AE12" s="9"/>
      <c r="AF12" s="12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7"/>
      <c r="AV12" s="7"/>
      <c r="AW12" s="12"/>
      <c r="AX12" s="9"/>
      <c r="AY12" s="9"/>
      <c r="AZ12" s="9"/>
      <c r="BA12" s="509">
        <f>C12</f>
        <v>0</v>
      </c>
      <c r="BB12" s="510"/>
      <c r="BC12" s="510"/>
      <c r="BD12" s="510"/>
      <c r="BE12" s="510"/>
      <c r="BF12" s="510"/>
      <c r="BG12" s="510"/>
      <c r="BH12" s="510"/>
      <c r="BI12" s="510"/>
      <c r="BJ12" s="510"/>
      <c r="BK12" s="510"/>
      <c r="BL12" s="510"/>
      <c r="BM12" s="510"/>
      <c r="BN12" s="510"/>
      <c r="BO12" s="511"/>
      <c r="BP12" s="9"/>
      <c r="BQ12" s="9"/>
      <c r="BR12" s="9"/>
      <c r="BS12" s="9"/>
      <c r="BT12" s="9"/>
    </row>
    <row r="13" spans="1:72" ht="21" customHeight="1" x14ac:dyDescent="0.25">
      <c r="A13" s="9"/>
      <c r="B13" s="17"/>
      <c r="C13" s="512"/>
      <c r="D13" s="513"/>
      <c r="E13" s="513"/>
      <c r="F13" s="513"/>
      <c r="G13" s="513"/>
      <c r="H13" s="513"/>
      <c r="I13" s="513"/>
      <c r="J13" s="513"/>
      <c r="K13" s="513"/>
      <c r="L13" s="513"/>
      <c r="M13" s="513"/>
      <c r="N13" s="513"/>
      <c r="O13" s="513"/>
      <c r="P13" s="513"/>
      <c r="Q13" s="514"/>
      <c r="R13" s="14"/>
      <c r="S13" s="9"/>
      <c r="T13" s="9"/>
      <c r="U13" s="9"/>
      <c r="V13" s="9"/>
      <c r="W13" s="9"/>
      <c r="X13" s="9"/>
      <c r="Y13" s="12"/>
      <c r="Z13" s="527" t="s">
        <v>254</v>
      </c>
      <c r="AA13" s="528"/>
      <c r="AB13" s="162">
        <f>SUM(AB4:AB7)</f>
        <v>-126</v>
      </c>
      <c r="AC13" s="18"/>
      <c r="AD13" s="18"/>
      <c r="AE13" s="9"/>
      <c r="AF13" s="12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12"/>
      <c r="AX13" s="9"/>
      <c r="AY13" s="9"/>
      <c r="AZ13" s="9"/>
      <c r="BA13" s="512"/>
      <c r="BB13" s="513"/>
      <c r="BC13" s="513"/>
      <c r="BD13" s="513"/>
      <c r="BE13" s="513"/>
      <c r="BF13" s="513"/>
      <c r="BG13" s="513"/>
      <c r="BH13" s="513"/>
      <c r="BI13" s="513"/>
      <c r="BJ13" s="513"/>
      <c r="BK13" s="513"/>
      <c r="BL13" s="513"/>
      <c r="BM13" s="513"/>
      <c r="BN13" s="513"/>
      <c r="BO13" s="514"/>
      <c r="BP13" s="9"/>
      <c r="BQ13" s="9"/>
      <c r="BR13" s="9"/>
      <c r="BS13" s="9"/>
      <c r="BT13" s="9"/>
    </row>
    <row r="14" spans="1:72" ht="21.75" customHeight="1" thickBot="1" x14ac:dyDescent="0.3">
      <c r="A14" s="9"/>
      <c r="B14" s="17"/>
      <c r="C14" s="515"/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7"/>
      <c r="R14" s="14"/>
      <c r="S14" s="9"/>
      <c r="T14" s="9"/>
      <c r="U14" s="9"/>
      <c r="V14" s="9"/>
      <c r="W14" s="9"/>
      <c r="X14" s="9"/>
      <c r="Y14" s="12"/>
      <c r="Z14" s="518" t="s">
        <v>255</v>
      </c>
      <c r="AA14" s="519"/>
      <c r="AB14" s="27">
        <f>SUM(AA4:AA7)</f>
        <v>126</v>
      </c>
      <c r="AC14" s="19"/>
      <c r="AD14" s="19"/>
      <c r="AE14" s="9"/>
      <c r="AF14" s="12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12"/>
      <c r="AX14" s="9"/>
      <c r="AY14" s="9"/>
      <c r="AZ14" s="9"/>
      <c r="BA14" s="515"/>
      <c r="BB14" s="516"/>
      <c r="BC14" s="516"/>
      <c r="BD14" s="516"/>
      <c r="BE14" s="516"/>
      <c r="BF14" s="516"/>
      <c r="BG14" s="516"/>
      <c r="BH14" s="516"/>
      <c r="BI14" s="516"/>
      <c r="BJ14" s="516"/>
      <c r="BK14" s="516"/>
      <c r="BL14" s="516"/>
      <c r="BM14" s="516"/>
      <c r="BN14" s="516"/>
      <c r="BO14" s="517"/>
      <c r="BP14" s="9"/>
      <c r="BQ14" s="9"/>
      <c r="BR14" s="9"/>
      <c r="BS14" s="9"/>
      <c r="BT14" s="9"/>
    </row>
    <row r="15" spans="1:72" x14ac:dyDescent="0.25">
      <c r="A15" s="7"/>
      <c r="B15" s="7"/>
      <c r="C15" s="174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14"/>
      <c r="S15" s="9"/>
      <c r="T15" s="9"/>
      <c r="U15" s="9"/>
      <c r="V15" s="9"/>
      <c r="W15" s="9"/>
      <c r="X15" s="9"/>
      <c r="Y15" s="12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12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</row>
    <row r="16" spans="1:72" x14ac:dyDescent="0.25">
      <c r="A16" s="10"/>
      <c r="B16" s="10"/>
      <c r="C16" s="175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S16" s="7"/>
      <c r="T16" s="7"/>
      <c r="U16" s="7"/>
      <c r="V16" s="7"/>
      <c r="W16" s="7"/>
      <c r="X16" s="7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12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</row>
    <row r="17" spans="1:72" x14ac:dyDescent="0.25">
      <c r="A17" s="9"/>
      <c r="B17" s="9"/>
      <c r="C17" s="176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12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</row>
    <row r="18" spans="1:72" x14ac:dyDescent="0.25">
      <c r="A18" s="9"/>
      <c r="B18" s="9"/>
      <c r="C18" s="176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12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</row>
    <row r="19" spans="1:72" x14ac:dyDescent="0.25">
      <c r="A19" s="9"/>
      <c r="B19" s="9"/>
      <c r="C19" s="176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12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</row>
    <row r="20" spans="1:72" x14ac:dyDescent="0.25">
      <c r="A20" s="9"/>
      <c r="B20" s="9"/>
      <c r="C20" s="176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12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</row>
    <row r="21" spans="1:72" x14ac:dyDescent="0.25">
      <c r="A21" s="9"/>
      <c r="B21" s="9"/>
      <c r="C21" s="176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12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</row>
    <row r="22" spans="1:72" x14ac:dyDescent="0.25">
      <c r="A22" s="9"/>
      <c r="B22" s="9"/>
      <c r="C22" s="176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12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</row>
    <row r="23" spans="1:72" ht="51" customHeight="1" x14ac:dyDescent="0.25">
      <c r="A23" s="9"/>
      <c r="B23" s="9"/>
      <c r="C23" s="176"/>
      <c r="D23" s="12"/>
      <c r="E23" s="525" t="s">
        <v>279</v>
      </c>
      <c r="F23" s="525"/>
      <c r="G23" s="525"/>
      <c r="H23" s="525"/>
      <c r="I23" s="525"/>
      <c r="J23" s="525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12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</row>
    <row r="24" spans="1:72" x14ac:dyDescent="0.25">
      <c r="A24" s="9"/>
      <c r="B24" s="9"/>
      <c r="C24" s="176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12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</row>
    <row r="25" spans="1:72" x14ac:dyDescent="0.25">
      <c r="A25" s="9"/>
      <c r="B25" s="9"/>
      <c r="C25" s="176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12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</row>
    <row r="26" spans="1:72" x14ac:dyDescent="0.25">
      <c r="A26" s="9"/>
      <c r="B26" s="9"/>
      <c r="C26" s="176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12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</row>
    <row r="27" spans="1:72" ht="49.5" customHeight="1" x14ac:dyDescent="0.25">
      <c r="A27" s="9"/>
      <c r="B27" s="9"/>
      <c r="C27" s="176"/>
      <c r="D27" s="12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12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</row>
    <row r="28" spans="1:72" x14ac:dyDescent="0.25">
      <c r="A28" s="9"/>
      <c r="B28" s="9"/>
      <c r="C28" s="176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12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</row>
    <row r="29" spans="1:72" x14ac:dyDescent="0.25">
      <c r="A29" s="9"/>
      <c r="B29" s="9"/>
      <c r="C29" s="176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12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</row>
    <row r="30" spans="1:72" x14ac:dyDescent="0.25">
      <c r="A30" s="9"/>
      <c r="B30" s="9"/>
      <c r="C30" s="176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12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</row>
    <row r="31" spans="1:72" ht="43.5" customHeight="1" x14ac:dyDescent="0.25">
      <c r="A31" s="9"/>
      <c r="B31" s="9"/>
      <c r="C31" s="176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</row>
    <row r="32" spans="1:72" x14ac:dyDescent="0.25">
      <c r="A32" s="9"/>
      <c r="B32" s="9"/>
      <c r="C32" s="176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</row>
    <row r="33" spans="1:72" x14ac:dyDescent="0.25">
      <c r="A33" s="9"/>
      <c r="B33" s="9"/>
      <c r="C33" s="176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</row>
    <row r="34" spans="1:72" x14ac:dyDescent="0.25">
      <c r="A34" s="9"/>
      <c r="B34" s="9"/>
      <c r="C34" s="176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</row>
    <row r="35" spans="1:72" ht="32.25" customHeight="1" x14ac:dyDescent="0.25">
      <c r="A35" s="9"/>
      <c r="B35" s="9"/>
      <c r="C35" s="176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</row>
    <row r="36" spans="1:72" x14ac:dyDescent="0.25">
      <c r="A36" s="9"/>
      <c r="B36" s="9"/>
      <c r="C36" s="176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</row>
    <row r="37" spans="1:72" x14ac:dyDescent="0.25">
      <c r="A37" s="9"/>
      <c r="B37" s="9"/>
      <c r="C37" s="176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</row>
    <row r="38" spans="1:72" x14ac:dyDescent="0.25">
      <c r="A38" s="9"/>
      <c r="B38" s="9"/>
      <c r="C38" s="176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</row>
    <row r="39" spans="1:72" x14ac:dyDescent="0.25">
      <c r="A39" s="9"/>
      <c r="B39" s="9"/>
      <c r="C39" s="176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</row>
    <row r="40" spans="1:72" x14ac:dyDescent="0.25">
      <c r="A40" s="9"/>
      <c r="B40" s="9"/>
      <c r="C40" s="176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</row>
    <row r="41" spans="1:72" x14ac:dyDescent="0.25">
      <c r="A41" s="9"/>
      <c r="B41" s="9"/>
      <c r="C41" s="176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</row>
    <row r="42" spans="1:72" x14ac:dyDescent="0.25">
      <c r="A42" s="9"/>
      <c r="B42" s="9"/>
      <c r="C42" s="176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</row>
    <row r="43" spans="1:72" x14ac:dyDescent="0.25">
      <c r="A43" s="9"/>
      <c r="B43" s="9"/>
      <c r="C43" s="176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</row>
    <row r="44" spans="1:72" x14ac:dyDescent="0.25">
      <c r="A44" s="9"/>
      <c r="B44" s="9"/>
      <c r="C44" s="176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</row>
    <row r="45" spans="1:72" x14ac:dyDescent="0.25">
      <c r="A45" s="9"/>
      <c r="B45" s="9"/>
      <c r="C45" s="176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</row>
    <row r="46" spans="1:72" x14ac:dyDescent="0.25">
      <c r="A46" s="9"/>
      <c r="B46" s="9"/>
      <c r="C46" s="176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</row>
    <row r="47" spans="1:72" x14ac:dyDescent="0.25">
      <c r="A47" s="9"/>
      <c r="B47" s="9"/>
      <c r="C47" s="176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</row>
    <row r="48" spans="1:72" x14ac:dyDescent="0.25">
      <c r="A48" s="9"/>
      <c r="B48" s="9"/>
      <c r="C48" s="176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</row>
    <row r="49" spans="1:72" x14ac:dyDescent="0.25">
      <c r="A49" s="9"/>
      <c r="B49" s="9"/>
      <c r="C49" s="176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</row>
    <row r="50" spans="1:72" x14ac:dyDescent="0.25">
      <c r="A50" s="9"/>
      <c r="B50" s="9"/>
      <c r="C50" s="176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</row>
    <row r="51" spans="1:72" x14ac:dyDescent="0.25">
      <c r="A51" s="9"/>
      <c r="B51" s="9"/>
      <c r="C51" s="176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</row>
    <row r="52" spans="1:72" x14ac:dyDescent="0.25">
      <c r="A52" s="9"/>
      <c r="B52" s="9"/>
      <c r="C52" s="176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</row>
    <row r="53" spans="1:72" x14ac:dyDescent="0.25">
      <c r="A53" s="9"/>
      <c r="B53" s="9"/>
      <c r="C53" s="176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</row>
    <row r="54" spans="1:72" x14ac:dyDescent="0.25">
      <c r="A54" s="9"/>
      <c r="B54" s="9"/>
      <c r="C54" s="176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</row>
    <row r="55" spans="1:72" x14ac:dyDescent="0.25">
      <c r="A55" s="9"/>
      <c r="B55" s="9"/>
      <c r="C55" s="176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</row>
    <row r="56" spans="1:72" x14ac:dyDescent="0.25">
      <c r="A56" s="9"/>
      <c r="B56" s="9"/>
      <c r="C56" s="176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</row>
    <row r="57" spans="1:72" x14ac:dyDescent="0.25">
      <c r="A57" s="9"/>
      <c r="B57" s="9"/>
      <c r="C57" s="176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</row>
    <row r="58" spans="1:72" x14ac:dyDescent="0.25">
      <c r="A58" s="9"/>
      <c r="B58" s="9"/>
      <c r="C58" s="176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</row>
    <row r="59" spans="1:72" x14ac:dyDescent="0.25">
      <c r="A59" s="9"/>
      <c r="B59" s="9"/>
      <c r="C59" s="176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</row>
    <row r="60" spans="1:72" x14ac:dyDescent="0.25">
      <c r="A60" s="9"/>
      <c r="B60" s="9"/>
      <c r="C60" s="176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</row>
    <row r="61" spans="1:72" x14ac:dyDescent="0.25">
      <c r="A61" s="9"/>
      <c r="B61" s="9"/>
      <c r="C61" s="176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</row>
    <row r="62" spans="1:72" x14ac:dyDescent="0.25">
      <c r="A62" s="9"/>
      <c r="B62" s="9"/>
      <c r="C62" s="176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</row>
    <row r="63" spans="1:72" x14ac:dyDescent="0.25">
      <c r="A63" s="9"/>
      <c r="B63" s="9"/>
      <c r="C63" s="176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</row>
    <row r="64" spans="1:72" x14ac:dyDescent="0.25">
      <c r="A64" s="9"/>
      <c r="B64" s="9"/>
      <c r="C64" s="176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</row>
    <row r="65" spans="1:72" x14ac:dyDescent="0.25">
      <c r="A65" s="9"/>
      <c r="B65" s="9"/>
      <c r="C65" s="176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</row>
    <row r="66" spans="1:72" x14ac:dyDescent="0.25">
      <c r="A66" s="9"/>
      <c r="B66" s="9"/>
      <c r="C66" s="176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</row>
    <row r="67" spans="1:72" x14ac:dyDescent="0.25">
      <c r="A67" s="9"/>
      <c r="B67" s="9"/>
      <c r="C67" s="176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</row>
    <row r="68" spans="1:72" x14ac:dyDescent="0.25">
      <c r="A68" s="9"/>
      <c r="B68" s="9"/>
      <c r="C68" s="176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</row>
    <row r="69" spans="1:72" x14ac:dyDescent="0.25">
      <c r="A69" s="9"/>
      <c r="B69" s="9"/>
      <c r="C69" s="176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</row>
    <row r="75" spans="1:72" ht="15.75" x14ac:dyDescent="0.25">
      <c r="A75" s="23"/>
    </row>
    <row r="76" spans="1:72" ht="15.75" x14ac:dyDescent="0.25">
      <c r="A76" s="23"/>
    </row>
  </sheetData>
  <sheetProtection algorithmName="SHA-512" hashValue="gEAWcar5dcTJuBjaRPP1fF/hRcz3cXfrIGENolH1Qi4kKm/jcetY0q74dJYu7BpVTJtQt/4q1AyuVuE0VDLc4g==" saltValue="QgeRd0eaNZmYFMZmm2Nhbg==" spinCount="100000" sheet="1" objects="1" scenarios="1"/>
  <mergeCells count="120">
    <mergeCell ref="AI6:AJ6"/>
    <mergeCell ref="AK6:AL6"/>
    <mergeCell ref="AM6:AN6"/>
    <mergeCell ref="AO6:AP6"/>
    <mergeCell ref="AQ6:AR6"/>
    <mergeCell ref="AS6:AT6"/>
    <mergeCell ref="AU6:AV6"/>
    <mergeCell ref="AI7:AJ7"/>
    <mergeCell ref="AK7:AL7"/>
    <mergeCell ref="AM7:AN7"/>
    <mergeCell ref="AO7:AP7"/>
    <mergeCell ref="AQ7:AR7"/>
    <mergeCell ref="AS7:AT7"/>
    <mergeCell ref="AU7:AV7"/>
    <mergeCell ref="AI4:AJ4"/>
    <mergeCell ref="AK4:AL4"/>
    <mergeCell ref="AM4:AN4"/>
    <mergeCell ref="AO4:AP4"/>
    <mergeCell ref="AQ4:AR4"/>
    <mergeCell ref="AS4:AT4"/>
    <mergeCell ref="AU4:AV4"/>
    <mergeCell ref="AI5:AJ5"/>
    <mergeCell ref="AK5:AL5"/>
    <mergeCell ref="AM5:AN5"/>
    <mergeCell ref="AO5:AP5"/>
    <mergeCell ref="AQ5:AR5"/>
    <mergeCell ref="AS5:AT5"/>
    <mergeCell ref="AU5:AV5"/>
    <mergeCell ref="E23:J23"/>
    <mergeCell ref="AI11:AJ11"/>
    <mergeCell ref="AK11:AL11"/>
    <mergeCell ref="AM11:AN11"/>
    <mergeCell ref="AO11:AP11"/>
    <mergeCell ref="AQ11:AR11"/>
    <mergeCell ref="AS11:AT11"/>
    <mergeCell ref="AU11:AV11"/>
    <mergeCell ref="C12:Q14"/>
    <mergeCell ref="Z13:AA13"/>
    <mergeCell ref="Z12:AA12"/>
    <mergeCell ref="Z11:AA11"/>
    <mergeCell ref="AQ8:AR8"/>
    <mergeCell ref="AS8:AT8"/>
    <mergeCell ref="AS10:AT10"/>
    <mergeCell ref="AO10:AP10"/>
    <mergeCell ref="AK10:AL10"/>
    <mergeCell ref="AQ10:AR10"/>
    <mergeCell ref="AI10:AJ10"/>
    <mergeCell ref="AS9:AT9"/>
    <mergeCell ref="AU10:AV10"/>
    <mergeCell ref="AU9:AV9"/>
    <mergeCell ref="AM9:AN9"/>
    <mergeCell ref="AO9:AP9"/>
    <mergeCell ref="AQ9:AR9"/>
    <mergeCell ref="AM10:AN10"/>
    <mergeCell ref="AI9:AJ9"/>
    <mergeCell ref="AK9:AL9"/>
    <mergeCell ref="AO8:AP8"/>
    <mergeCell ref="AM8:AN8"/>
    <mergeCell ref="AI8:AJ8"/>
    <mergeCell ref="AG2:AG3"/>
    <mergeCell ref="AH2:AH3"/>
    <mergeCell ref="AU1:AV1"/>
    <mergeCell ref="AI1:AJ1"/>
    <mergeCell ref="AK1:AL1"/>
    <mergeCell ref="AM1:AN1"/>
    <mergeCell ref="AO1:AP1"/>
    <mergeCell ref="BA12:BO14"/>
    <mergeCell ref="Z14:AA14"/>
    <mergeCell ref="Z8:AA8"/>
    <mergeCell ref="Z9:AA9"/>
    <mergeCell ref="Z10:AA10"/>
    <mergeCell ref="AU8:AV8"/>
    <mergeCell ref="AK8:AL8"/>
    <mergeCell ref="AQ1:AR1"/>
    <mergeCell ref="AM2:AN3"/>
    <mergeCell ref="AS1:AT1"/>
    <mergeCell ref="AO2:AP3"/>
    <mergeCell ref="AS2:AT3"/>
    <mergeCell ref="AU2:AV3"/>
    <mergeCell ref="AQ2:AR3"/>
    <mergeCell ref="AI2:AJ3"/>
    <mergeCell ref="AK2:AL3"/>
    <mergeCell ref="BN1:BO1"/>
    <mergeCell ref="A2:A3"/>
    <mergeCell ref="B2:B3"/>
    <mergeCell ref="C2:C3"/>
    <mergeCell ref="D2:E2"/>
    <mergeCell ref="F2:G2"/>
    <mergeCell ref="H2:I2"/>
    <mergeCell ref="J2:K2"/>
    <mergeCell ref="L2:M2"/>
    <mergeCell ref="AD1:AD3"/>
    <mergeCell ref="AC1:AC3"/>
    <mergeCell ref="D1:E1"/>
    <mergeCell ref="F1:G1"/>
    <mergeCell ref="H1:I1"/>
    <mergeCell ref="J1:K1"/>
    <mergeCell ref="L1:M1"/>
    <mergeCell ref="N1:O1"/>
    <mergeCell ref="N2:O2"/>
    <mergeCell ref="P1:Q1"/>
    <mergeCell ref="R1:Y2"/>
    <mergeCell ref="Z1:Z3"/>
    <mergeCell ref="AA1:AA3"/>
    <mergeCell ref="P2:Q2"/>
    <mergeCell ref="AB1:AB3"/>
    <mergeCell ref="BA2:BA3"/>
    <mergeCell ref="BB2:BC2"/>
    <mergeCell ref="BD2:BE2"/>
    <mergeCell ref="BF2:BG2"/>
    <mergeCell ref="BH2:BI2"/>
    <mergeCell ref="BJ2:BK2"/>
    <mergeCell ref="BL2:BM2"/>
    <mergeCell ref="BN2:BO2"/>
    <mergeCell ref="BD1:BE1"/>
    <mergeCell ref="BF1:BG1"/>
    <mergeCell ref="BH1:BI1"/>
    <mergeCell ref="BJ1:BK1"/>
    <mergeCell ref="BL1:BM1"/>
    <mergeCell ref="BB1:BC1"/>
  </mergeCells>
  <phoneticPr fontId="6" type="noConversion"/>
  <conditionalFormatting sqref="AB4:AB11">
    <cfRule type="cellIs" dxfId="108" priority="5129" operator="lessThan">
      <formula>0</formula>
    </cfRule>
    <cfRule type="cellIs" dxfId="107" priority="5130" operator="greaterThan">
      <formula>0</formula>
    </cfRule>
  </conditionalFormatting>
  <conditionalFormatting sqref="AB4:AB11">
    <cfRule type="cellIs" dxfId="106" priority="5121" operator="equal">
      <formula>"FERIE"</formula>
    </cfRule>
  </conditionalFormatting>
  <conditionalFormatting sqref="E4:F11">
    <cfRule type="expression" dxfId="105" priority="5131" stopIfTrue="1">
      <formula>AND(OR($E4&lt;&gt;"OFF",$F4&lt;&gt;"OFF"),OR(AND($D4&gt;$E4,$F4-$E4&lt;0.46),AND($D4&lt;$E4,(1-$E4)+($F4)&lt;0.46)))</formula>
    </cfRule>
  </conditionalFormatting>
  <conditionalFormatting sqref="G4:H11">
    <cfRule type="expression" dxfId="104" priority="5132" stopIfTrue="1">
      <formula>AND(OR($G4&lt;&gt;"OFF",$H4&lt;&gt;"OFF"),OR(AND($F4&gt;$G4,$H4-$G4&lt;0.46),AND($F4&lt;$G4,(1-$G4)+($H4)&lt;0.46)))</formula>
    </cfRule>
  </conditionalFormatting>
  <conditionalFormatting sqref="I4:J11">
    <cfRule type="expression" dxfId="103" priority="5133" stopIfTrue="1">
      <formula>AND(OR($I4&lt;&gt;"OFF",$J4&lt;&gt;"OFF"),OR(AND($H4&gt;$I4,$J4-$I4&lt;0.46),AND($H4&lt;$I4,(1-$I4)+($J4)&lt;0.46)))</formula>
    </cfRule>
  </conditionalFormatting>
  <conditionalFormatting sqref="K4:L11">
    <cfRule type="expression" dxfId="102" priority="5134" stopIfTrue="1">
      <formula>AND(OR($K4&lt;&gt;"OFF",$L4&lt;&gt;"OFF"),OR(AND($J4&gt;$K4,$L4-$K4&lt;0.46),AND($J4&lt;$K4,(1-$K4)+($L4)&lt;0.46)))</formula>
    </cfRule>
  </conditionalFormatting>
  <conditionalFormatting sqref="M4:N11">
    <cfRule type="expression" dxfId="101" priority="5135" stopIfTrue="1">
      <formula>AND(OR($M4&lt;&gt;"OFF",$N4&lt;&gt;"OFF"),OR(AND($L4&gt;$M4,$N4-$M4&lt;0.46),AND($L4&lt;$M4,(1-$M4)+($N4)&lt;0.46)))</formula>
    </cfRule>
  </conditionalFormatting>
  <conditionalFormatting sqref="O4:P11">
    <cfRule type="expression" dxfId="100" priority="5136" stopIfTrue="1">
      <formula>AND(OR($O4&lt;&gt;"OFF",$P4&lt;&gt;"OFF"),OR(AND($N4&gt;$O4,$P4-$O4&lt;0.46),AND($N4&lt;$O4,(1-$O4)+($P4)&lt;0.46)))</formula>
    </cfRule>
  </conditionalFormatting>
  <conditionalFormatting sqref="E4:H11">
    <cfRule type="expression" dxfId="99" priority="5137" stopIfTrue="1">
      <formula>AND($E4&lt;&gt;"OFF",$F4="OFF",$H4&lt;&gt;"OFF",OR(AND($D4&gt;$E4,$H4-$E4&lt;0.46),AND($D4&lt;$E4,(1-$E4)+$H4&lt;0.46)))</formula>
    </cfRule>
  </conditionalFormatting>
  <conditionalFormatting sqref="G4:J11">
    <cfRule type="expression" dxfId="98" priority="5138" stopIfTrue="1">
      <formula>AND($G4&lt;&gt;"OFF",$H4="OFF",$J4&lt;&gt;"OFF",OR(AND($F4&gt;$G4,$J4-$G4&lt;0.46),AND($F4&lt;$G4,(1-$G4)+$J4&lt;0.46)))</formula>
    </cfRule>
  </conditionalFormatting>
  <conditionalFormatting sqref="I4:L11">
    <cfRule type="expression" dxfId="97" priority="5139" stopIfTrue="1">
      <formula>AND($I4&lt;&gt;"OFF",$J4="OFF",$L4&lt;&gt;"OFF",OR(AND($H4&gt;$I4,$L4-$I4&lt;0.46),AND($H4&lt;$I4,(1-$I4)+$L4&lt;0.46)))</formula>
    </cfRule>
  </conditionalFormatting>
  <conditionalFormatting sqref="K4:N11">
    <cfRule type="expression" dxfId="96" priority="5140" stopIfTrue="1">
      <formula>AND($K4&lt;&gt;"OFF",$L4="OFF",$N4&lt;&gt;"OFF",OR(AND($J4&gt;$K4,$N4-$K4&lt;0.46),AND($J4&lt;$K4,(1-$K4)+$N4&lt;0.46)))</formula>
    </cfRule>
  </conditionalFormatting>
  <conditionalFormatting sqref="M4:P11">
    <cfRule type="expression" dxfId="95" priority="5141" stopIfTrue="1">
      <formula>AND($M4&lt;&gt;"OFF",$N4="OFF",$P4&lt;&gt;"OFF",OR(AND($L4&gt;$M4,$P4-$M4&lt;0.46),AND($L4&lt;$M4,(1-$M4)+$P4&lt;0.46)))</formula>
    </cfRule>
  </conditionalFormatting>
  <conditionalFormatting sqref="D4:Q11">
    <cfRule type="cellIs" dxfId="94" priority="5142" stopIfTrue="1" operator="equal">
      <formula>"OFF"</formula>
    </cfRule>
  </conditionalFormatting>
  <printOptions horizontalCentered="1" verticalCentered="1"/>
  <pageMargins left="3.937007874015748E-2" right="3.937007874015748E-2" top="0.15748031496062992" bottom="0.15748031496062992" header="0.31496062992125984" footer="0.31496062992125984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32" r:id="rId4" name="Button 76">
              <controlPr defaultSize="0" print="0" autoFill="0" autoPict="0" macro="[0]!StampaTOT">
                <anchor moveWithCells="1" sizeWithCells="1">
                  <from>
                    <xdr:col>2</xdr:col>
                    <xdr:colOff>2181225</xdr:colOff>
                    <xdr:row>21</xdr:row>
                    <xdr:rowOff>95250</xdr:rowOff>
                  </from>
                  <to>
                    <xdr:col>3</xdr:col>
                    <xdr:colOff>1009650</xdr:colOff>
                    <xdr:row>23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rmazione">
    <tabColor rgb="FFFFFF00"/>
    <pageSetUpPr fitToPage="1"/>
  </sheetPr>
  <dimension ref="A1:BX35"/>
  <sheetViews>
    <sheetView topLeftCell="L1" zoomScale="40" zoomScaleNormal="40" workbookViewId="0">
      <pane ySplit="3" topLeftCell="A4" activePane="bottomLeft" state="frozen"/>
      <selection activeCell="L52" sqref="L52"/>
      <selection pane="bottomLeft" activeCell="BC1" sqref="T1:BC2"/>
    </sheetView>
  </sheetViews>
  <sheetFormatPr defaultRowHeight="15" x14ac:dyDescent="0.25"/>
  <cols>
    <col min="2" max="2" width="51.42578125" customWidth="1"/>
    <col min="3" max="16" width="12.7109375" customWidth="1"/>
    <col min="19" max="19" width="49" customWidth="1"/>
    <col min="20" max="55" width="10.7109375" customWidth="1"/>
    <col min="57" max="57" width="9.42578125" customWidth="1"/>
    <col min="58" max="58" width="46.28515625" customWidth="1"/>
    <col min="59" max="72" width="13.85546875" customWidth="1"/>
  </cols>
  <sheetData>
    <row r="1" spans="1:76" ht="55.15" customHeight="1" x14ac:dyDescent="0.25">
      <c r="A1" s="18"/>
      <c r="B1" s="220" t="s">
        <v>235</v>
      </c>
      <c r="C1" s="499" t="s">
        <v>186</v>
      </c>
      <c r="D1" s="499"/>
      <c r="E1" s="499" t="s">
        <v>185</v>
      </c>
      <c r="F1" s="499"/>
      <c r="G1" s="499" t="s">
        <v>187</v>
      </c>
      <c r="H1" s="499"/>
      <c r="I1" s="499" t="s">
        <v>188</v>
      </c>
      <c r="J1" s="499"/>
      <c r="K1" s="499" t="s">
        <v>189</v>
      </c>
      <c r="L1" s="499"/>
      <c r="M1" s="499" t="s">
        <v>190</v>
      </c>
      <c r="N1" s="499"/>
      <c r="O1" s="499" t="s">
        <v>191</v>
      </c>
      <c r="P1" s="499"/>
      <c r="Q1" s="20"/>
      <c r="R1" s="21"/>
      <c r="S1" s="220" t="s">
        <v>216</v>
      </c>
      <c r="T1" s="547" t="s">
        <v>45</v>
      </c>
      <c r="U1" s="538" t="s">
        <v>219</v>
      </c>
      <c r="V1" s="538" t="s">
        <v>38</v>
      </c>
      <c r="W1" s="538"/>
      <c r="X1" s="538"/>
      <c r="Y1" s="538"/>
      <c r="Z1" s="538"/>
      <c r="AA1" s="538"/>
      <c r="AB1" s="538"/>
      <c r="AC1" s="543" t="s">
        <v>220</v>
      </c>
      <c r="AD1" s="543" t="s">
        <v>221</v>
      </c>
      <c r="AE1" s="545" t="s">
        <v>222</v>
      </c>
      <c r="AF1" s="547" t="s">
        <v>223</v>
      </c>
      <c r="AG1" s="543"/>
      <c r="AH1" s="543"/>
      <c r="AI1" s="543" t="s">
        <v>224</v>
      </c>
      <c r="AJ1" s="543"/>
      <c r="AK1" s="543"/>
      <c r="AL1" s="543"/>
      <c r="AM1" s="543"/>
      <c r="AN1" s="543"/>
      <c r="AO1" s="543"/>
      <c r="AP1" s="543"/>
      <c r="AQ1" s="543" t="s">
        <v>225</v>
      </c>
      <c r="AR1" s="543"/>
      <c r="AS1" s="543"/>
      <c r="AT1" s="550" t="s">
        <v>41</v>
      </c>
      <c r="AU1" s="554"/>
      <c r="AV1" s="543"/>
      <c r="AW1" s="543"/>
      <c r="AX1" s="543"/>
      <c r="AY1" s="543"/>
      <c r="AZ1" s="543"/>
      <c r="BA1" s="543" t="s">
        <v>226</v>
      </c>
      <c r="BB1" s="543" t="s">
        <v>227</v>
      </c>
      <c r="BC1" s="550" t="s">
        <v>228</v>
      </c>
      <c r="BD1" s="219"/>
      <c r="BE1" s="21"/>
      <c r="BF1" s="220" t="s">
        <v>272</v>
      </c>
      <c r="BG1" s="556" t="s">
        <v>273</v>
      </c>
      <c r="BH1" s="557"/>
      <c r="BI1" s="557"/>
      <c r="BJ1" s="558"/>
      <c r="BK1" s="556" t="s">
        <v>274</v>
      </c>
      <c r="BL1" s="557"/>
      <c r="BM1" s="557"/>
      <c r="BN1" s="558"/>
      <c r="BO1" s="556" t="s">
        <v>275</v>
      </c>
      <c r="BP1" s="557"/>
      <c r="BQ1" s="557"/>
      <c r="BR1" s="557"/>
      <c r="BS1" s="557"/>
      <c r="BT1" s="558"/>
      <c r="BU1" s="212"/>
      <c r="BV1" s="7"/>
      <c r="BW1" s="7"/>
      <c r="BX1" s="7"/>
    </row>
    <row r="2" spans="1:76" ht="65.099999999999994" customHeight="1" thickBot="1" x14ac:dyDescent="0.3">
      <c r="A2" s="18"/>
      <c r="B2" s="536" t="s">
        <v>215</v>
      </c>
      <c r="C2" s="523">
        <f>TOT!D2</f>
        <v>45887</v>
      </c>
      <c r="D2" s="523"/>
      <c r="E2" s="523">
        <f>C2+1</f>
        <v>45888</v>
      </c>
      <c r="F2" s="523"/>
      <c r="G2" s="523">
        <f>E2+1</f>
        <v>45889</v>
      </c>
      <c r="H2" s="523"/>
      <c r="I2" s="523">
        <f>G2+1</f>
        <v>45890</v>
      </c>
      <c r="J2" s="523"/>
      <c r="K2" s="523">
        <f>I2+1</f>
        <v>45891</v>
      </c>
      <c r="L2" s="523"/>
      <c r="M2" s="523">
        <f>K2+1</f>
        <v>45892</v>
      </c>
      <c r="N2" s="523"/>
      <c r="O2" s="523">
        <f>M2+1</f>
        <v>45893</v>
      </c>
      <c r="P2" s="523"/>
      <c r="Q2" s="20"/>
      <c r="R2" s="21"/>
      <c r="S2" s="536" t="s">
        <v>215</v>
      </c>
      <c r="T2" s="548"/>
      <c r="U2" s="539"/>
      <c r="V2" s="539"/>
      <c r="W2" s="539"/>
      <c r="X2" s="539"/>
      <c r="Y2" s="539"/>
      <c r="Z2" s="539"/>
      <c r="AA2" s="539"/>
      <c r="AB2" s="539"/>
      <c r="AC2" s="544"/>
      <c r="AD2" s="544"/>
      <c r="AE2" s="546"/>
      <c r="AF2" s="548"/>
      <c r="AG2" s="544"/>
      <c r="AH2" s="544"/>
      <c r="AI2" s="544" t="s">
        <v>224</v>
      </c>
      <c r="AJ2" s="544"/>
      <c r="AK2" s="544"/>
      <c r="AL2" s="544"/>
      <c r="AM2" s="544"/>
      <c r="AN2" s="544"/>
      <c r="AO2" s="544"/>
      <c r="AP2" s="544"/>
      <c r="AQ2" s="544" t="s">
        <v>225</v>
      </c>
      <c r="AR2" s="544"/>
      <c r="AS2" s="544"/>
      <c r="AT2" s="551" t="s">
        <v>41</v>
      </c>
      <c r="AU2" s="555"/>
      <c r="AV2" s="544"/>
      <c r="AW2" s="544"/>
      <c r="AX2" s="544"/>
      <c r="AY2" s="544"/>
      <c r="AZ2" s="544"/>
      <c r="BA2" s="544" t="s">
        <v>226</v>
      </c>
      <c r="BB2" s="544" t="s">
        <v>227</v>
      </c>
      <c r="BC2" s="551" t="s">
        <v>228</v>
      </c>
      <c r="BD2" s="219"/>
      <c r="BE2" s="21"/>
      <c r="BF2" s="536" t="s">
        <v>215</v>
      </c>
      <c r="BG2" s="559" t="s">
        <v>318</v>
      </c>
      <c r="BH2" s="560"/>
      <c r="BI2" s="559" t="s">
        <v>319</v>
      </c>
      <c r="BJ2" s="560"/>
      <c r="BK2" s="559" t="s">
        <v>320</v>
      </c>
      <c r="BL2" s="560"/>
      <c r="BM2" s="559" t="s">
        <v>321</v>
      </c>
      <c r="BN2" s="560"/>
      <c r="BO2" s="559" t="s">
        <v>276</v>
      </c>
      <c r="BP2" s="560"/>
      <c r="BQ2" s="559" t="s">
        <v>277</v>
      </c>
      <c r="BR2" s="560"/>
      <c r="BS2" s="559" t="s">
        <v>278</v>
      </c>
      <c r="BT2" s="560"/>
      <c r="BU2" s="14"/>
      <c r="BV2" s="9"/>
      <c r="BW2" s="9"/>
      <c r="BX2" s="9"/>
    </row>
    <row r="3" spans="1:76" ht="30" customHeight="1" x14ac:dyDescent="0.25">
      <c r="A3" s="18"/>
      <c r="B3" s="537"/>
      <c r="C3" s="524"/>
      <c r="D3" s="524"/>
      <c r="E3" s="524"/>
      <c r="F3" s="524"/>
      <c r="G3" s="524"/>
      <c r="H3" s="524"/>
      <c r="I3" s="524"/>
      <c r="J3" s="524"/>
      <c r="K3" s="524"/>
      <c r="L3" s="524"/>
      <c r="M3" s="524"/>
      <c r="N3" s="524"/>
      <c r="O3" s="524"/>
      <c r="P3" s="524"/>
      <c r="Q3" s="20"/>
      <c r="R3" s="21"/>
      <c r="S3" s="537"/>
      <c r="T3" s="540" t="s">
        <v>217</v>
      </c>
      <c r="U3" s="541"/>
      <c r="V3" s="541"/>
      <c r="W3" s="541"/>
      <c r="X3" s="541"/>
      <c r="Y3" s="541"/>
      <c r="Z3" s="541"/>
      <c r="AA3" s="541"/>
      <c r="AB3" s="541"/>
      <c r="AC3" s="541"/>
      <c r="AD3" s="541"/>
      <c r="AE3" s="542"/>
      <c r="AF3" s="540" t="s">
        <v>218</v>
      </c>
      <c r="AG3" s="541"/>
      <c r="AH3" s="541"/>
      <c r="AI3" s="541"/>
      <c r="AJ3" s="541"/>
      <c r="AK3" s="541"/>
      <c r="AL3" s="541"/>
      <c r="AM3" s="541"/>
      <c r="AN3" s="541"/>
      <c r="AO3" s="541"/>
      <c r="AP3" s="541"/>
      <c r="AQ3" s="541"/>
      <c r="AR3" s="541"/>
      <c r="AS3" s="541"/>
      <c r="AT3" s="553"/>
      <c r="AU3" s="552" t="s">
        <v>40</v>
      </c>
      <c r="AV3" s="541"/>
      <c r="AW3" s="541"/>
      <c r="AX3" s="541"/>
      <c r="AY3" s="541"/>
      <c r="AZ3" s="541"/>
      <c r="BA3" s="541"/>
      <c r="BB3" s="541"/>
      <c r="BC3" s="553"/>
      <c r="BD3" s="219"/>
      <c r="BE3" s="21"/>
      <c r="BF3" s="549"/>
      <c r="BG3" s="559"/>
      <c r="BH3" s="560"/>
      <c r="BI3" s="559"/>
      <c r="BJ3" s="560"/>
      <c r="BK3" s="559"/>
      <c r="BL3" s="560"/>
      <c r="BM3" s="559"/>
      <c r="BN3" s="560"/>
      <c r="BO3" s="559"/>
      <c r="BP3" s="560"/>
      <c r="BQ3" s="559"/>
      <c r="BR3" s="560"/>
      <c r="BS3" s="559"/>
      <c r="BT3" s="560"/>
      <c r="BU3" s="14"/>
      <c r="BV3" s="9"/>
      <c r="BW3" s="9"/>
      <c r="BX3" s="9"/>
    </row>
    <row r="4" spans="1:76" ht="32.25" customHeight="1" x14ac:dyDescent="0.4">
      <c r="A4" s="226">
        <v>1</v>
      </c>
      <c r="B4" s="206" t="s">
        <v>295</v>
      </c>
      <c r="C4" s="561"/>
      <c r="D4" s="562"/>
      <c r="E4" s="561"/>
      <c r="F4" s="562"/>
      <c r="G4" s="561"/>
      <c r="H4" s="562"/>
      <c r="I4" s="561"/>
      <c r="J4" s="562"/>
      <c r="K4" s="561"/>
      <c r="L4" s="562"/>
      <c r="M4" s="561"/>
      <c r="N4" s="562"/>
      <c r="O4" s="561"/>
      <c r="P4" s="562"/>
      <c r="Q4" s="224"/>
      <c r="R4" s="225"/>
      <c r="S4" s="206" t="s">
        <v>295</v>
      </c>
      <c r="T4" s="280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2"/>
      <c r="AF4" s="280"/>
      <c r="AG4" s="281"/>
      <c r="AH4" s="281"/>
      <c r="AI4" s="281"/>
      <c r="AJ4" s="281"/>
      <c r="AK4" s="281"/>
      <c r="AL4" s="281"/>
      <c r="AM4" s="281"/>
      <c r="AN4" s="281"/>
      <c r="AO4" s="281"/>
      <c r="AP4" s="281"/>
      <c r="AQ4" s="281"/>
      <c r="AR4" s="281"/>
      <c r="AS4" s="281"/>
      <c r="AT4" s="283"/>
      <c r="AU4" s="284"/>
      <c r="AV4" s="281"/>
      <c r="AW4" s="281"/>
      <c r="AX4" s="281"/>
      <c r="AY4" s="281"/>
      <c r="AZ4" s="281"/>
      <c r="BA4" s="281"/>
      <c r="BB4" s="281"/>
      <c r="BC4" s="283"/>
      <c r="BD4" s="8"/>
      <c r="BE4" s="9"/>
      <c r="BF4" s="206" t="s">
        <v>295</v>
      </c>
      <c r="BG4" s="563">
        <v>45713</v>
      </c>
      <c r="BH4" s="564"/>
      <c r="BI4" s="563">
        <v>45713</v>
      </c>
      <c r="BJ4" s="564"/>
      <c r="BK4" s="563">
        <v>45713</v>
      </c>
      <c r="BL4" s="564"/>
      <c r="BM4" s="563">
        <v>45713</v>
      </c>
      <c r="BN4" s="564"/>
      <c r="BO4" s="563"/>
      <c r="BP4" s="564"/>
      <c r="BQ4" s="563"/>
      <c r="BR4" s="564"/>
      <c r="BS4" s="563"/>
      <c r="BT4" s="564"/>
      <c r="BU4" s="14"/>
      <c r="BV4" s="9"/>
      <c r="BW4" s="9"/>
      <c r="BX4" s="9"/>
    </row>
    <row r="5" spans="1:76" ht="32.25" customHeight="1" x14ac:dyDescent="0.4">
      <c r="A5" s="226">
        <v>2</v>
      </c>
      <c r="B5" s="206" t="s">
        <v>296</v>
      </c>
      <c r="C5" s="561"/>
      <c r="D5" s="562"/>
      <c r="E5" s="561"/>
      <c r="F5" s="562"/>
      <c r="G5" s="561"/>
      <c r="H5" s="562"/>
      <c r="I5" s="561"/>
      <c r="J5" s="562"/>
      <c r="K5" s="561"/>
      <c r="L5" s="562"/>
      <c r="M5" s="561"/>
      <c r="N5" s="562"/>
      <c r="O5" s="561"/>
      <c r="P5" s="562"/>
      <c r="Q5" s="224"/>
      <c r="R5" s="225"/>
      <c r="S5" s="206" t="s">
        <v>296</v>
      </c>
      <c r="T5" s="280"/>
      <c r="U5" s="281"/>
      <c r="V5" s="281"/>
      <c r="W5" s="281"/>
      <c r="X5" s="281"/>
      <c r="Y5" s="281"/>
      <c r="Z5" s="281"/>
      <c r="AA5" s="281"/>
      <c r="AB5" s="281"/>
      <c r="AC5" s="281"/>
      <c r="AD5" s="281"/>
      <c r="AE5" s="282"/>
      <c r="AF5" s="280"/>
      <c r="AG5" s="281"/>
      <c r="AH5" s="281"/>
      <c r="AI5" s="281"/>
      <c r="AJ5" s="281"/>
      <c r="AK5" s="281"/>
      <c r="AL5" s="281"/>
      <c r="AM5" s="281"/>
      <c r="AN5" s="281"/>
      <c r="AO5" s="281"/>
      <c r="AP5" s="281"/>
      <c r="AQ5" s="281"/>
      <c r="AR5" s="281"/>
      <c r="AS5" s="281"/>
      <c r="AT5" s="283"/>
      <c r="AU5" s="284"/>
      <c r="AV5" s="281"/>
      <c r="AW5" s="281"/>
      <c r="AX5" s="281"/>
      <c r="AY5" s="281"/>
      <c r="AZ5" s="281"/>
      <c r="BA5" s="281"/>
      <c r="BB5" s="281"/>
      <c r="BC5" s="283"/>
      <c r="BD5" s="8"/>
      <c r="BE5" s="9"/>
      <c r="BF5" s="206" t="s">
        <v>296</v>
      </c>
      <c r="BG5" s="563">
        <v>45713</v>
      </c>
      <c r="BH5" s="564"/>
      <c r="BI5" s="563">
        <v>45713</v>
      </c>
      <c r="BJ5" s="564"/>
      <c r="BK5" s="563">
        <v>45713</v>
      </c>
      <c r="BL5" s="564"/>
      <c r="BM5" s="563">
        <v>45713</v>
      </c>
      <c r="BN5" s="564"/>
      <c r="BO5" s="563"/>
      <c r="BP5" s="564"/>
      <c r="BQ5" s="563"/>
      <c r="BR5" s="564"/>
      <c r="BS5" s="563"/>
      <c r="BT5" s="564"/>
      <c r="BU5" s="14"/>
      <c r="BV5" s="9"/>
      <c r="BW5" s="9"/>
      <c r="BX5" s="9"/>
    </row>
    <row r="6" spans="1:76" ht="32.25" customHeight="1" x14ac:dyDescent="0.4">
      <c r="A6" s="226">
        <v>3</v>
      </c>
      <c r="B6" s="206" t="s">
        <v>297</v>
      </c>
      <c r="C6" s="561"/>
      <c r="D6" s="562"/>
      <c r="E6" s="561"/>
      <c r="F6" s="562"/>
      <c r="G6" s="561"/>
      <c r="H6" s="562"/>
      <c r="I6" s="561"/>
      <c r="J6" s="562"/>
      <c r="K6" s="561"/>
      <c r="L6" s="562"/>
      <c r="M6" s="561"/>
      <c r="N6" s="562"/>
      <c r="O6" s="561"/>
      <c r="P6" s="562"/>
      <c r="Q6" s="224"/>
      <c r="R6" s="225"/>
      <c r="S6" s="206" t="s">
        <v>297</v>
      </c>
      <c r="T6" s="280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2"/>
      <c r="AF6" s="280"/>
      <c r="AG6" s="281"/>
      <c r="AH6" s="281"/>
      <c r="AI6" s="281"/>
      <c r="AJ6" s="281"/>
      <c r="AK6" s="281"/>
      <c r="AL6" s="281"/>
      <c r="AM6" s="281"/>
      <c r="AN6" s="281"/>
      <c r="AO6" s="281"/>
      <c r="AP6" s="281"/>
      <c r="AQ6" s="281"/>
      <c r="AR6" s="281"/>
      <c r="AS6" s="281"/>
      <c r="AT6" s="283"/>
      <c r="AU6" s="284"/>
      <c r="AV6" s="281"/>
      <c r="AW6" s="281"/>
      <c r="AX6" s="281"/>
      <c r="AY6" s="281"/>
      <c r="AZ6" s="281"/>
      <c r="BA6" s="281"/>
      <c r="BB6" s="281"/>
      <c r="BC6" s="283"/>
      <c r="BD6" s="8"/>
      <c r="BE6" s="9"/>
      <c r="BF6" s="206" t="s">
        <v>297</v>
      </c>
      <c r="BG6" s="563">
        <v>45713</v>
      </c>
      <c r="BH6" s="564"/>
      <c r="BI6" s="563">
        <v>45713</v>
      </c>
      <c r="BJ6" s="564"/>
      <c r="BK6" s="563">
        <v>45713</v>
      </c>
      <c r="BL6" s="564"/>
      <c r="BM6" s="563">
        <v>45713</v>
      </c>
      <c r="BN6" s="564"/>
      <c r="BO6" s="563"/>
      <c r="BP6" s="564"/>
      <c r="BQ6" s="563"/>
      <c r="BR6" s="564"/>
      <c r="BS6" s="563"/>
      <c r="BT6" s="564"/>
      <c r="BU6" s="14"/>
      <c r="BV6" s="9"/>
      <c r="BW6" s="9"/>
      <c r="BX6" s="9"/>
    </row>
    <row r="7" spans="1:76" ht="32.25" customHeight="1" x14ac:dyDescent="0.4">
      <c r="A7" s="226">
        <v>4</v>
      </c>
      <c r="B7" s="206" t="s">
        <v>298</v>
      </c>
      <c r="C7" s="561"/>
      <c r="D7" s="562"/>
      <c r="E7" s="561"/>
      <c r="F7" s="562"/>
      <c r="G7" s="561"/>
      <c r="H7" s="562"/>
      <c r="I7" s="561"/>
      <c r="J7" s="562"/>
      <c r="K7" s="561"/>
      <c r="L7" s="562"/>
      <c r="M7" s="561"/>
      <c r="N7" s="562"/>
      <c r="O7" s="561"/>
      <c r="P7" s="562"/>
      <c r="Q7" s="224"/>
      <c r="R7" s="225"/>
      <c r="S7" s="206" t="s">
        <v>298</v>
      </c>
      <c r="T7" s="280"/>
      <c r="U7" s="281"/>
      <c r="V7" s="281"/>
      <c r="W7" s="281"/>
      <c r="X7" s="281"/>
      <c r="Y7" s="281"/>
      <c r="Z7" s="281"/>
      <c r="AA7" s="281"/>
      <c r="AB7" s="281"/>
      <c r="AC7" s="281"/>
      <c r="AD7" s="281"/>
      <c r="AE7" s="282"/>
      <c r="AF7" s="280"/>
      <c r="AG7" s="281"/>
      <c r="AH7" s="281"/>
      <c r="AI7" s="281"/>
      <c r="AJ7" s="281"/>
      <c r="AK7" s="281"/>
      <c r="AL7" s="281"/>
      <c r="AM7" s="281"/>
      <c r="AN7" s="281"/>
      <c r="AO7" s="281"/>
      <c r="AP7" s="281"/>
      <c r="AQ7" s="281"/>
      <c r="AR7" s="281"/>
      <c r="AS7" s="281"/>
      <c r="AT7" s="283"/>
      <c r="AU7" s="284"/>
      <c r="AV7" s="281"/>
      <c r="AW7" s="281"/>
      <c r="AX7" s="281"/>
      <c r="AY7" s="281"/>
      <c r="AZ7" s="281"/>
      <c r="BA7" s="281"/>
      <c r="BB7" s="281"/>
      <c r="BC7" s="283"/>
      <c r="BD7" s="8"/>
      <c r="BE7" s="9"/>
      <c r="BF7" s="206" t="s">
        <v>298</v>
      </c>
      <c r="BG7" s="563">
        <v>45713</v>
      </c>
      <c r="BH7" s="564"/>
      <c r="BI7" s="563">
        <v>45713</v>
      </c>
      <c r="BJ7" s="564"/>
      <c r="BK7" s="563">
        <v>45713</v>
      </c>
      <c r="BL7" s="564"/>
      <c r="BM7" s="563">
        <v>45713</v>
      </c>
      <c r="BN7" s="564"/>
      <c r="BO7" s="563"/>
      <c r="BP7" s="564"/>
      <c r="BQ7" s="563"/>
      <c r="BR7" s="564"/>
      <c r="BS7" s="563"/>
      <c r="BT7" s="564"/>
      <c r="BU7" s="14"/>
      <c r="BV7" s="9"/>
      <c r="BW7" s="9"/>
      <c r="BX7" s="9"/>
    </row>
    <row r="8" spans="1:76" x14ac:dyDescent="0.25">
      <c r="A8" s="18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14" t="s">
        <v>246</v>
      </c>
      <c r="R8" s="9"/>
      <c r="S8" s="9"/>
      <c r="T8" s="12"/>
      <c r="U8" s="9"/>
      <c r="V8" s="12"/>
      <c r="W8" s="9"/>
      <c r="X8" s="12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7"/>
      <c r="BG8" s="9"/>
      <c r="BH8" s="9"/>
      <c r="BI8" s="9"/>
      <c r="BJ8" s="12"/>
      <c r="BK8" s="7"/>
      <c r="BL8" s="7"/>
      <c r="BM8" s="9"/>
      <c r="BN8" s="9"/>
      <c r="BO8" s="9"/>
      <c r="BP8" s="9"/>
      <c r="BQ8" s="9"/>
      <c r="BR8" s="9"/>
      <c r="BS8" s="9"/>
      <c r="BT8" s="9"/>
      <c r="BU8" s="14"/>
      <c r="BV8" s="9"/>
      <c r="BW8" s="9"/>
      <c r="BX8" s="9"/>
    </row>
    <row r="9" spans="1:76" x14ac:dyDescent="0.25">
      <c r="A9" s="18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14"/>
      <c r="R9" s="9"/>
      <c r="S9" s="9"/>
      <c r="T9" s="12"/>
      <c r="U9" s="9"/>
      <c r="V9" s="12"/>
      <c r="W9" s="9"/>
      <c r="X9" s="12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12"/>
      <c r="BK9" s="9"/>
      <c r="BL9" s="9"/>
      <c r="BM9" s="9"/>
      <c r="BN9" s="9"/>
      <c r="BO9" s="9"/>
      <c r="BP9" s="9"/>
      <c r="BQ9" s="9"/>
      <c r="BR9" s="9"/>
      <c r="BS9" s="9"/>
      <c r="BT9" s="9"/>
      <c r="BU9" s="14"/>
      <c r="BV9" s="9"/>
      <c r="BW9" s="9"/>
      <c r="BX9" s="9"/>
    </row>
    <row r="10" spans="1:76" x14ac:dyDescent="0.25">
      <c r="A10" s="18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14"/>
      <c r="R10" s="9"/>
      <c r="S10" s="9"/>
      <c r="T10" s="12"/>
      <c r="U10" s="9"/>
      <c r="V10" s="12"/>
      <c r="W10" s="9"/>
      <c r="X10" s="12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12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14"/>
      <c r="BV10" s="9"/>
      <c r="BW10" s="9"/>
      <c r="BX10" s="9"/>
    </row>
    <row r="11" spans="1:76" x14ac:dyDescent="0.25">
      <c r="A11" s="18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14"/>
      <c r="R11" s="9"/>
      <c r="S11" s="9"/>
      <c r="T11" s="12"/>
      <c r="U11" s="9"/>
      <c r="V11" s="12"/>
      <c r="W11" s="9"/>
      <c r="X11" s="12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12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14"/>
      <c r="BV11" s="9"/>
      <c r="BW11" s="9"/>
      <c r="BX11" s="9"/>
    </row>
    <row r="12" spans="1:76" x14ac:dyDescent="0.25">
      <c r="A12" s="18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14"/>
      <c r="R12" s="9"/>
      <c r="S12" s="9"/>
      <c r="T12" s="12"/>
      <c r="U12" s="9"/>
      <c r="V12" s="12"/>
      <c r="W12" s="9"/>
      <c r="X12" s="12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12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14"/>
      <c r="BV12" s="9"/>
      <c r="BW12" s="9"/>
      <c r="BX12" s="9"/>
    </row>
    <row r="13" spans="1:76" x14ac:dyDescent="0.25">
      <c r="A13" s="18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14"/>
      <c r="R13" s="9"/>
      <c r="S13" s="9"/>
      <c r="T13" s="12"/>
      <c r="U13" s="9"/>
      <c r="V13" s="12"/>
      <c r="W13" s="9"/>
      <c r="X13" s="12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12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14"/>
      <c r="BV13" s="9"/>
      <c r="BW13" s="9"/>
      <c r="BX13" s="9"/>
    </row>
    <row r="14" spans="1:76" x14ac:dyDescent="0.25">
      <c r="A14" s="18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14"/>
      <c r="R14" s="9"/>
      <c r="S14" s="9"/>
      <c r="T14" s="12"/>
      <c r="U14" s="9"/>
      <c r="V14" s="12"/>
      <c r="W14" s="9"/>
      <c r="X14" s="12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12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14"/>
      <c r="BV14" s="9"/>
      <c r="BW14" s="9"/>
      <c r="BX14" s="9"/>
    </row>
    <row r="15" spans="1:76" x14ac:dyDescent="0.25">
      <c r="A15" s="18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14"/>
      <c r="R15" s="9"/>
      <c r="S15" s="9"/>
      <c r="T15" s="12"/>
      <c r="U15" s="9"/>
      <c r="V15" s="12"/>
      <c r="W15" s="9"/>
      <c r="X15" s="12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12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14"/>
      <c r="BV15" s="9"/>
      <c r="BW15" s="9"/>
      <c r="BX15" s="9"/>
    </row>
    <row r="16" spans="1:76" x14ac:dyDescent="0.25">
      <c r="A16" s="18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14"/>
      <c r="R16" s="9"/>
      <c r="S16" s="9"/>
      <c r="T16" s="12"/>
      <c r="U16" s="9"/>
      <c r="V16" s="12"/>
      <c r="W16" s="9"/>
      <c r="X16" s="12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12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14"/>
      <c r="BV16" s="9"/>
      <c r="BW16" s="9"/>
      <c r="BX16" s="9"/>
    </row>
    <row r="17" spans="1:76" x14ac:dyDescent="0.25">
      <c r="A17" s="18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14"/>
      <c r="R17" s="9"/>
      <c r="S17" s="9"/>
      <c r="T17" s="12"/>
      <c r="U17" s="9"/>
      <c r="V17" s="12"/>
      <c r="W17" s="9"/>
      <c r="X17" s="12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12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14"/>
      <c r="BV17" s="9"/>
      <c r="BW17" s="9"/>
      <c r="BX17" s="9"/>
    </row>
    <row r="18" spans="1:76" x14ac:dyDescent="0.25">
      <c r="A18" s="1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14"/>
      <c r="R18" s="9"/>
      <c r="S18" s="9"/>
      <c r="T18" s="12"/>
      <c r="U18" s="9"/>
      <c r="V18" s="12"/>
      <c r="W18" s="9"/>
      <c r="X18" s="12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12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14"/>
      <c r="BV18" s="9"/>
      <c r="BW18" s="9"/>
      <c r="BX18" s="9"/>
    </row>
    <row r="19" spans="1:76" x14ac:dyDescent="0.25">
      <c r="A19" s="18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14"/>
      <c r="R19" s="9"/>
      <c r="S19" s="9"/>
      <c r="T19" s="12"/>
      <c r="U19" s="9"/>
      <c r="V19" s="12"/>
      <c r="W19" s="9"/>
      <c r="X19" s="12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12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14"/>
      <c r="BV19" s="9"/>
      <c r="BW19" s="9"/>
      <c r="BX19" s="9"/>
    </row>
    <row r="20" spans="1:76" x14ac:dyDescent="0.25">
      <c r="A20" s="18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14"/>
      <c r="R20" s="9"/>
      <c r="S20" s="9"/>
      <c r="T20" s="12"/>
      <c r="U20" s="9"/>
      <c r="V20" s="12"/>
      <c r="W20" s="9"/>
      <c r="X20" s="12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12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14"/>
      <c r="BV20" s="9"/>
      <c r="BW20" s="9"/>
      <c r="BX20" s="9"/>
    </row>
    <row r="21" spans="1:76" x14ac:dyDescent="0.25">
      <c r="A21" s="18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14"/>
      <c r="R21" s="9"/>
      <c r="S21" s="9"/>
      <c r="T21" s="12"/>
      <c r="U21" s="9"/>
      <c r="V21" s="12"/>
      <c r="W21" s="9"/>
      <c r="X21" s="12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12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14"/>
      <c r="BV21" s="9"/>
      <c r="BW21" s="9"/>
      <c r="BX21" s="9"/>
    </row>
    <row r="22" spans="1:76" x14ac:dyDescent="0.25">
      <c r="A22" s="18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14"/>
      <c r="R22" s="9"/>
      <c r="S22" s="9"/>
      <c r="T22" s="12"/>
      <c r="U22" s="9"/>
      <c r="V22" s="12"/>
      <c r="W22" s="9"/>
      <c r="X22" s="12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12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14"/>
      <c r="BV22" s="9"/>
      <c r="BW22" s="9"/>
      <c r="BX22" s="9"/>
    </row>
    <row r="23" spans="1:76" x14ac:dyDescent="0.25">
      <c r="A23" s="18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14"/>
      <c r="R23" s="9"/>
      <c r="S23" s="9"/>
      <c r="T23" s="12"/>
      <c r="U23" s="9"/>
      <c r="V23" s="12"/>
      <c r="W23" s="9"/>
      <c r="X23" s="12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12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14"/>
      <c r="BV23" s="9"/>
      <c r="BW23" s="9"/>
      <c r="BX23" s="9"/>
    </row>
    <row r="24" spans="1:76" x14ac:dyDescent="0.25">
      <c r="A24" s="1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14"/>
      <c r="R24" s="9"/>
      <c r="S24" s="9"/>
      <c r="T24" s="12"/>
      <c r="U24" s="9"/>
      <c r="V24" s="12"/>
      <c r="W24" s="9"/>
      <c r="X24" s="12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12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14"/>
      <c r="BV24" s="9"/>
      <c r="BW24" s="9"/>
      <c r="BX24" s="9"/>
    </row>
    <row r="25" spans="1:76" x14ac:dyDescent="0.25">
      <c r="A25" s="18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14"/>
      <c r="R25" s="9"/>
      <c r="S25" s="9"/>
      <c r="T25" s="12"/>
      <c r="U25" s="9"/>
      <c r="V25" s="12"/>
      <c r="W25" s="9"/>
      <c r="X25" s="12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12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14"/>
      <c r="BV25" s="9"/>
      <c r="BW25" s="9"/>
      <c r="BX25" s="9"/>
    </row>
    <row r="26" spans="1:76" x14ac:dyDescent="0.25">
      <c r="A26" s="18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14"/>
      <c r="R26" s="9"/>
      <c r="S26" s="9"/>
      <c r="T26" s="12"/>
      <c r="U26" s="9"/>
      <c r="V26" s="12"/>
      <c r="W26" s="9"/>
      <c r="X26" s="12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12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14"/>
      <c r="BV26" s="9"/>
      <c r="BW26" s="9"/>
      <c r="BX26" s="9"/>
    </row>
    <row r="27" spans="1:76" x14ac:dyDescent="0.25">
      <c r="A27" s="18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4"/>
      <c r="R27" s="9"/>
      <c r="S27" s="9"/>
      <c r="T27" s="12"/>
      <c r="U27" s="9"/>
      <c r="V27" s="12"/>
      <c r="W27" s="9"/>
      <c r="X27" s="12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12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14"/>
      <c r="BV27" s="9"/>
      <c r="BW27" s="9"/>
      <c r="BX27" s="9"/>
    </row>
    <row r="28" spans="1:76" x14ac:dyDescent="0.25">
      <c r="A28" s="18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14"/>
      <c r="R28" s="9"/>
      <c r="S28" s="9"/>
      <c r="T28" s="12"/>
      <c r="U28" s="9"/>
      <c r="V28" s="12"/>
      <c r="W28" s="9"/>
      <c r="X28" s="1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12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14"/>
      <c r="BV28" s="9"/>
      <c r="BW28" s="9"/>
      <c r="BX28" s="9"/>
    </row>
    <row r="29" spans="1:76" x14ac:dyDescent="0.25">
      <c r="A29" s="18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14"/>
      <c r="R29" s="9"/>
      <c r="S29" s="9"/>
      <c r="T29" s="12"/>
      <c r="U29" s="9"/>
      <c r="V29" s="12"/>
      <c r="W29" s="9"/>
      <c r="X29" s="12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12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14"/>
      <c r="BV29" s="9"/>
      <c r="BW29" s="9"/>
      <c r="BX29" s="9"/>
    </row>
    <row r="30" spans="1:76" x14ac:dyDescent="0.25">
      <c r="A30" s="1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14"/>
      <c r="R30" s="9"/>
      <c r="S30" s="9"/>
      <c r="T30" s="12"/>
      <c r="U30" s="9"/>
      <c r="V30" s="12"/>
      <c r="W30" s="9"/>
      <c r="X30" s="12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12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14"/>
      <c r="BV30" s="9"/>
      <c r="BW30" s="9"/>
      <c r="BX30" s="9"/>
    </row>
    <row r="31" spans="1:76" x14ac:dyDescent="0.25">
      <c r="A31" s="18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14"/>
      <c r="R31" s="9"/>
      <c r="S31" s="9"/>
      <c r="T31" s="12"/>
      <c r="U31" s="9"/>
      <c r="V31" s="12"/>
      <c r="W31" s="9"/>
      <c r="X31" s="12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12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14"/>
      <c r="BV31" s="9"/>
      <c r="BW31" s="9"/>
      <c r="BX31" s="9"/>
    </row>
    <row r="32" spans="1:76" x14ac:dyDescent="0.25">
      <c r="A32" s="18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14"/>
      <c r="R32" s="9"/>
      <c r="S32" s="9"/>
      <c r="T32" s="12"/>
      <c r="U32" s="9"/>
      <c r="V32" s="12"/>
      <c r="W32" s="9"/>
      <c r="X32" s="12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12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14"/>
      <c r="BV32" s="9"/>
      <c r="BW32" s="9"/>
      <c r="BX32" s="9"/>
    </row>
    <row r="33" spans="1:76" x14ac:dyDescent="0.25">
      <c r="A33" s="1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14"/>
      <c r="R33" s="9"/>
      <c r="S33" s="9"/>
      <c r="T33" s="12"/>
      <c r="U33" s="9"/>
      <c r="V33" s="12"/>
      <c r="W33" s="9"/>
      <c r="X33" s="12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12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14"/>
      <c r="BV33" s="9"/>
      <c r="BW33" s="9"/>
      <c r="BX33" s="9"/>
    </row>
    <row r="34" spans="1:76" x14ac:dyDescent="0.25">
      <c r="A34" s="1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4"/>
      <c r="R34" s="9"/>
      <c r="S34" s="9"/>
      <c r="T34" s="12"/>
      <c r="U34" s="9"/>
      <c r="V34" s="12"/>
      <c r="W34" s="9"/>
      <c r="X34" s="12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12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14"/>
      <c r="BV34" s="9"/>
      <c r="BW34" s="9"/>
      <c r="BX34" s="9"/>
    </row>
    <row r="35" spans="1:76" x14ac:dyDescent="0.25">
      <c r="A35" s="18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14"/>
      <c r="R35" s="9"/>
      <c r="S35" s="9"/>
      <c r="T35" s="12"/>
      <c r="U35" s="9"/>
      <c r="V35" s="12"/>
      <c r="W35" s="9"/>
      <c r="X35" s="12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12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14"/>
      <c r="BV35" s="9"/>
      <c r="BW35" s="9"/>
      <c r="BX35" s="9"/>
    </row>
  </sheetData>
  <sheetProtection algorithmName="SHA-512" hashValue="XQBxUHDl3pyQpUj7xLyLxmoMQI6eyYT/FfrO80QECdnwTY/LcGzGMSz5QTiCrjE5WELb22ZDN8U37Q6e140bAQ==" saltValue="z1TMDuJkEFSVu9rFzkVIYg==" spinCount="100000" sheet="1" objects="1" scenarios="1"/>
  <mergeCells count="122">
    <mergeCell ref="BK7:BL7"/>
    <mergeCell ref="BM7:BN7"/>
    <mergeCell ref="BO7:BP7"/>
    <mergeCell ref="BQ7:BR7"/>
    <mergeCell ref="BS7:BT7"/>
    <mergeCell ref="C6:D6"/>
    <mergeCell ref="E6:F6"/>
    <mergeCell ref="G6:H6"/>
    <mergeCell ref="I6:J6"/>
    <mergeCell ref="K6:L6"/>
    <mergeCell ref="C7:D7"/>
    <mergeCell ref="E7:F7"/>
    <mergeCell ref="G7:H7"/>
    <mergeCell ref="I7:J7"/>
    <mergeCell ref="K7:L7"/>
    <mergeCell ref="M7:N7"/>
    <mergeCell ref="O7:P7"/>
    <mergeCell ref="BG7:BH7"/>
    <mergeCell ref="BI7:BJ7"/>
    <mergeCell ref="M6:N6"/>
    <mergeCell ref="O6:P6"/>
    <mergeCell ref="BG6:BH6"/>
    <mergeCell ref="BI6:BJ6"/>
    <mergeCell ref="BK6:BL6"/>
    <mergeCell ref="BK4:BL4"/>
    <mergeCell ref="BM4:BN4"/>
    <mergeCell ref="BO4:BP4"/>
    <mergeCell ref="BQ4:BR4"/>
    <mergeCell ref="BS4:BT4"/>
    <mergeCell ref="BK5:BL5"/>
    <mergeCell ref="BM5:BN5"/>
    <mergeCell ref="BO5:BP5"/>
    <mergeCell ref="BQ5:BR5"/>
    <mergeCell ref="BS5:BT5"/>
    <mergeCell ref="BM6:BN6"/>
    <mergeCell ref="BO6:BP6"/>
    <mergeCell ref="BQ6:BR6"/>
    <mergeCell ref="BS6:BT6"/>
    <mergeCell ref="C5:D5"/>
    <mergeCell ref="E5:F5"/>
    <mergeCell ref="G5:H5"/>
    <mergeCell ref="I5:J5"/>
    <mergeCell ref="K5:L5"/>
    <mergeCell ref="M5:N5"/>
    <mergeCell ref="O5:P5"/>
    <mergeCell ref="BG5:BH5"/>
    <mergeCell ref="BI5:BJ5"/>
    <mergeCell ref="C4:D4"/>
    <mergeCell ref="E4:F4"/>
    <mergeCell ref="G4:H4"/>
    <mergeCell ref="I4:J4"/>
    <mergeCell ref="K4:L4"/>
    <mergeCell ref="M4:N4"/>
    <mergeCell ref="O4:P4"/>
    <mergeCell ref="BG4:BH4"/>
    <mergeCell ref="BI4:BJ4"/>
    <mergeCell ref="BG1:BJ1"/>
    <mergeCell ref="BK1:BN1"/>
    <mergeCell ref="BO1:BT1"/>
    <mergeCell ref="BG2:BH3"/>
    <mergeCell ref="BI2:BJ3"/>
    <mergeCell ref="BK2:BL3"/>
    <mergeCell ref="BM2:BN3"/>
    <mergeCell ref="BO2:BP3"/>
    <mergeCell ref="BQ2:BR3"/>
    <mergeCell ref="BS2:BT3"/>
    <mergeCell ref="BF2:BF3"/>
    <mergeCell ref="BB1:BB2"/>
    <mergeCell ref="BC1:BC2"/>
    <mergeCell ref="AU3:BC3"/>
    <mergeCell ref="AS1:AS2"/>
    <mergeCell ref="AT1:AT2"/>
    <mergeCell ref="AF3:AT3"/>
    <mergeCell ref="AH1:AH2"/>
    <mergeCell ref="AI1:AI2"/>
    <mergeCell ref="AJ1:AJ2"/>
    <mergeCell ref="AK1:AK2"/>
    <mergeCell ref="AL1:AL2"/>
    <mergeCell ref="AM1:AM2"/>
    <mergeCell ref="AP1:AP2"/>
    <mergeCell ref="AQ1:AQ2"/>
    <mergeCell ref="AR1:AR2"/>
    <mergeCell ref="AN1:AN2"/>
    <mergeCell ref="AU1:AU2"/>
    <mergeCell ref="AV1:AV2"/>
    <mergeCell ref="AW1:AW2"/>
    <mergeCell ref="AG1:AG2"/>
    <mergeCell ref="AX1:AX2"/>
    <mergeCell ref="U1:U2"/>
    <mergeCell ref="T3:AE3"/>
    <mergeCell ref="AC1:AC2"/>
    <mergeCell ref="AD1:AD2"/>
    <mergeCell ref="AE1:AE2"/>
    <mergeCell ref="M1:N1"/>
    <mergeCell ref="O2:P3"/>
    <mergeCell ref="BA1:BA2"/>
    <mergeCell ref="O1:P1"/>
    <mergeCell ref="S2:S3"/>
    <mergeCell ref="AA1:AA2"/>
    <mergeCell ref="AO1:AO2"/>
    <mergeCell ref="T1:T2"/>
    <mergeCell ref="AB1:AB2"/>
    <mergeCell ref="Y1:Y2"/>
    <mergeCell ref="Z1:Z2"/>
    <mergeCell ref="V1:V2"/>
    <mergeCell ref="W1:W2"/>
    <mergeCell ref="X1:X2"/>
    <mergeCell ref="M2:N3"/>
    <mergeCell ref="AY1:AY2"/>
    <mergeCell ref="AZ1:AZ2"/>
    <mergeCell ref="AF1:AF2"/>
    <mergeCell ref="B2:B3"/>
    <mergeCell ref="C2:D3"/>
    <mergeCell ref="E2:F3"/>
    <mergeCell ref="G2:H3"/>
    <mergeCell ref="I2:J3"/>
    <mergeCell ref="K2:L3"/>
    <mergeCell ref="C1:D1"/>
    <mergeCell ref="E1:F1"/>
    <mergeCell ref="G1:H1"/>
    <mergeCell ref="I1:J1"/>
    <mergeCell ref="K1:L1"/>
  </mergeCells>
  <phoneticPr fontId="6" type="noConversion"/>
  <conditionalFormatting sqref="BI4:BJ4 BG4">
    <cfRule type="expression" dxfId="93" priority="15">
      <formula>TODAY() - BG4 &gt; 165</formula>
    </cfRule>
    <cfRule type="expression" dxfId="92" priority="16">
      <formula>AND(TODAY() - BG4 &gt; 150, TODAY() - BG4 &lt;= 165)</formula>
    </cfRule>
  </conditionalFormatting>
  <conditionalFormatting sqref="BK4:BN4">
    <cfRule type="expression" dxfId="91" priority="13">
      <formula>TODAY() - BK4 &gt; 345</formula>
    </cfRule>
    <cfRule type="expression" dxfId="90" priority="14">
      <formula>AND(TODAY() - BK4 &gt; 315, TODAY() - BK4 &lt;= 345)</formula>
    </cfRule>
  </conditionalFormatting>
  <conditionalFormatting sqref="BI5:BJ5 BG5">
    <cfRule type="expression" dxfId="89" priority="11">
      <formula>TODAY() - BG5 &gt; 165</formula>
    </cfRule>
    <cfRule type="expression" dxfId="88" priority="12">
      <formula>AND(TODAY() - BG5 &gt; 150, TODAY() - BG5 &lt;= 165)</formula>
    </cfRule>
  </conditionalFormatting>
  <conditionalFormatting sqref="BK5:BN5">
    <cfRule type="expression" dxfId="87" priority="9">
      <formula>TODAY() - BK5 &gt; 345</formula>
    </cfRule>
    <cfRule type="expression" dxfId="86" priority="10">
      <formula>AND(TODAY() - BK5 &gt; 315, TODAY() - BK5 &lt;= 345)</formula>
    </cfRule>
  </conditionalFormatting>
  <conditionalFormatting sqref="BI6:BJ6 BG6">
    <cfRule type="expression" dxfId="85" priority="7">
      <formula>TODAY() - BG6 &gt; 165</formula>
    </cfRule>
    <cfRule type="expression" dxfId="84" priority="8">
      <formula>AND(TODAY() - BG6 &gt; 150, TODAY() - BG6 &lt;= 165)</formula>
    </cfRule>
  </conditionalFormatting>
  <conditionalFormatting sqref="BK6:BN6">
    <cfRule type="expression" dxfId="83" priority="5">
      <formula>TODAY() - BK6 &gt; 345</formula>
    </cfRule>
    <cfRule type="expression" dxfId="82" priority="6">
      <formula>AND(TODAY() - BK6 &gt; 315, TODAY() - BK6 &lt;= 345)</formula>
    </cfRule>
  </conditionalFormatting>
  <conditionalFormatting sqref="BI7:BJ7 BG7">
    <cfRule type="expression" dxfId="81" priority="3">
      <formula>TODAY() - BG7 &gt; 165</formula>
    </cfRule>
    <cfRule type="expression" dxfId="80" priority="4">
      <formula>AND(TODAY() - BG7 &gt; 150, TODAY() - BG7 &lt;= 165)</formula>
    </cfRule>
  </conditionalFormatting>
  <conditionalFormatting sqref="BK7:BN7">
    <cfRule type="expression" dxfId="79" priority="1">
      <formula>TODAY() - BK7 &gt; 345</formula>
    </cfRule>
    <cfRule type="expression" dxfId="78" priority="2">
      <formula>AND(TODAY() - BK7 &gt; 315, TODAY() - BK7 &lt;= 345)</formula>
    </cfRule>
  </conditionalFormatting>
  <printOptions horizontalCentered="1" verticalCentered="1"/>
  <pageMargins left="3.937007874015748E-2" right="3.937007874015748E-2" top="0.74803149606299213" bottom="0.74803149606299213" header="0.31496062992125984" footer="0.31496062992125984"/>
  <pageSetup paperSize="9" scale="14" orientation="landscape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Add_Manager">
                <anchor moveWithCells="1" sizeWithCells="1">
                  <from>
                    <xdr:col>59</xdr:col>
                    <xdr:colOff>723900</xdr:colOff>
                    <xdr:row>7</xdr:row>
                    <xdr:rowOff>0</xdr:rowOff>
                  </from>
                  <to>
                    <xdr:col>62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EF875-E09C-496E-8006-C403A2309418}">
  <sheetPr codeName="DatabaseWorkers">
    <tabColor rgb="FFFFC000"/>
  </sheetPr>
  <dimension ref="A1:AP221"/>
  <sheetViews>
    <sheetView zoomScaleNormal="100" workbookViewId="0">
      <selection activeCell="B5" sqref="B5"/>
    </sheetView>
  </sheetViews>
  <sheetFormatPr defaultRowHeight="15" x14ac:dyDescent="0.25"/>
  <cols>
    <col min="2" max="2" width="12.7109375" customWidth="1"/>
    <col min="3" max="3" width="26.7109375" customWidth="1"/>
    <col min="4" max="4" width="26.85546875" customWidth="1"/>
    <col min="5" max="5" width="19.28515625" customWidth="1"/>
    <col min="6" max="8" width="11.85546875" customWidth="1"/>
    <col min="10" max="16" width="5.140625" customWidth="1"/>
    <col min="18" max="24" width="5.140625" customWidth="1"/>
    <col min="26" max="32" width="5.140625" customWidth="1"/>
    <col min="34" max="35" width="9.140625" hidden="1" customWidth="1"/>
  </cols>
  <sheetData>
    <row r="1" spans="1:42" ht="40.5" customHeight="1" x14ac:dyDescent="0.25">
      <c r="A1" s="565" t="s">
        <v>270</v>
      </c>
      <c r="B1" s="565"/>
      <c r="C1" s="565"/>
      <c r="D1" s="565"/>
      <c r="E1" s="565"/>
      <c r="F1" s="565"/>
      <c r="G1" s="565"/>
      <c r="H1" s="565"/>
      <c r="J1" s="566" t="s">
        <v>264</v>
      </c>
      <c r="K1" s="567"/>
      <c r="L1" s="567"/>
      <c r="M1" s="567"/>
      <c r="N1" s="567"/>
      <c r="O1" s="567"/>
      <c r="P1" s="568"/>
      <c r="R1" s="565" t="s">
        <v>265</v>
      </c>
      <c r="S1" s="565"/>
      <c r="T1" s="565"/>
      <c r="U1" s="565"/>
      <c r="V1" s="565"/>
      <c r="W1" s="565"/>
      <c r="X1" s="565"/>
      <c r="Z1" s="566" t="s">
        <v>256</v>
      </c>
      <c r="AA1" s="567"/>
      <c r="AB1" s="567"/>
      <c r="AC1" s="567"/>
      <c r="AD1" s="567"/>
      <c r="AE1" s="567"/>
      <c r="AF1" s="568"/>
    </row>
    <row r="2" spans="1:42" ht="15" customHeight="1" x14ac:dyDescent="0.25">
      <c r="A2" s="205" t="s">
        <v>262</v>
      </c>
      <c r="B2" s="205" t="s">
        <v>263</v>
      </c>
      <c r="C2" s="205" t="s">
        <v>214</v>
      </c>
      <c r="D2" s="205" t="s">
        <v>215</v>
      </c>
      <c r="E2" s="205" t="s">
        <v>208</v>
      </c>
      <c r="F2" s="205" t="s">
        <v>264</v>
      </c>
      <c r="G2" s="205" t="s">
        <v>265</v>
      </c>
      <c r="H2" s="205" t="s">
        <v>256</v>
      </c>
      <c r="J2" s="205" t="s">
        <v>186</v>
      </c>
      <c r="K2" s="205" t="s">
        <v>185</v>
      </c>
      <c r="L2" s="205" t="s">
        <v>187</v>
      </c>
      <c r="M2" s="205" t="s">
        <v>188</v>
      </c>
      <c r="N2" s="205" t="s">
        <v>189</v>
      </c>
      <c r="O2" s="205" t="s">
        <v>190</v>
      </c>
      <c r="P2" s="205" t="s">
        <v>191</v>
      </c>
      <c r="R2" s="205" t="s">
        <v>186</v>
      </c>
      <c r="S2" s="205" t="s">
        <v>185</v>
      </c>
      <c r="T2" s="205" t="s">
        <v>187</v>
      </c>
      <c r="U2" s="205" t="s">
        <v>188</v>
      </c>
      <c r="V2" s="205" t="s">
        <v>189</v>
      </c>
      <c r="W2" s="205" t="s">
        <v>190</v>
      </c>
      <c r="X2" s="205" t="s">
        <v>191</v>
      </c>
      <c r="Z2" s="205" t="s">
        <v>186</v>
      </c>
      <c r="AA2" s="205" t="s">
        <v>185</v>
      </c>
      <c r="AB2" s="205" t="s">
        <v>187</v>
      </c>
      <c r="AC2" s="205" t="s">
        <v>188</v>
      </c>
      <c r="AD2" s="205" t="s">
        <v>189</v>
      </c>
      <c r="AE2" s="205" t="s">
        <v>190</v>
      </c>
      <c r="AF2" s="205" t="s">
        <v>191</v>
      </c>
    </row>
    <row r="3" spans="1:42" x14ac:dyDescent="0.25">
      <c r="A3" s="279" t="s">
        <v>266</v>
      </c>
      <c r="B3" s="279" t="s">
        <v>267</v>
      </c>
      <c r="C3" s="279" t="s">
        <v>295</v>
      </c>
      <c r="D3" s="279" t="s">
        <v>295</v>
      </c>
      <c r="E3" s="279">
        <v>24</v>
      </c>
      <c r="F3" s="203" t="s">
        <v>266</v>
      </c>
      <c r="G3" s="203" t="s">
        <v>266</v>
      </c>
      <c r="H3" s="203" t="s">
        <v>266</v>
      </c>
      <c r="J3" s="203" t="s">
        <v>266</v>
      </c>
      <c r="K3" s="203" t="s">
        <v>266</v>
      </c>
      <c r="L3" s="203" t="s">
        <v>266</v>
      </c>
      <c r="M3" s="203" t="s">
        <v>266</v>
      </c>
      <c r="N3" s="203" t="s">
        <v>266</v>
      </c>
      <c r="O3" s="203" t="s">
        <v>266</v>
      </c>
      <c r="P3" s="203" t="s">
        <v>266</v>
      </c>
      <c r="R3" s="203" t="s">
        <v>266</v>
      </c>
      <c r="S3" s="203" t="s">
        <v>266</v>
      </c>
      <c r="T3" s="203" t="s">
        <v>266</v>
      </c>
      <c r="U3" s="203" t="s">
        <v>266</v>
      </c>
      <c r="V3" s="203" t="s">
        <v>266</v>
      </c>
      <c r="W3" s="203" t="s">
        <v>266</v>
      </c>
      <c r="X3" s="203" t="s">
        <v>266</v>
      </c>
      <c r="Z3" s="203" t="s">
        <v>266</v>
      </c>
      <c r="AA3" s="203" t="s">
        <v>266</v>
      </c>
      <c r="AB3" s="203" t="s">
        <v>266</v>
      </c>
      <c r="AC3" s="203" t="s">
        <v>266</v>
      </c>
      <c r="AD3" s="203" t="s">
        <v>266</v>
      </c>
      <c r="AE3" s="203" t="s">
        <v>266</v>
      </c>
      <c r="AF3" s="203" t="s">
        <v>266</v>
      </c>
      <c r="AH3">
        <v>0</v>
      </c>
      <c r="AI3">
        <v>1</v>
      </c>
    </row>
    <row r="4" spans="1:42" x14ac:dyDescent="0.25">
      <c r="A4" s="279" t="s">
        <v>266</v>
      </c>
      <c r="B4" s="279" t="s">
        <v>267</v>
      </c>
      <c r="C4" s="279" t="s">
        <v>296</v>
      </c>
      <c r="D4" s="279" t="s">
        <v>296</v>
      </c>
      <c r="E4" s="279">
        <v>36</v>
      </c>
      <c r="F4" s="203" t="s">
        <v>266</v>
      </c>
      <c r="G4" s="203" t="s">
        <v>266</v>
      </c>
      <c r="H4" s="203" t="s">
        <v>266</v>
      </c>
      <c r="J4" s="203" t="s">
        <v>266</v>
      </c>
      <c r="K4" s="203" t="s">
        <v>266</v>
      </c>
      <c r="L4" s="203" t="s">
        <v>266</v>
      </c>
      <c r="M4" s="203" t="s">
        <v>266</v>
      </c>
      <c r="N4" s="203" t="s">
        <v>266</v>
      </c>
      <c r="O4" s="203" t="s">
        <v>266</v>
      </c>
      <c r="P4" s="203" t="s">
        <v>266</v>
      </c>
      <c r="R4" s="203" t="s">
        <v>266</v>
      </c>
      <c r="S4" s="203" t="s">
        <v>266</v>
      </c>
      <c r="T4" s="203" t="s">
        <v>266</v>
      </c>
      <c r="U4" s="203" t="s">
        <v>266</v>
      </c>
      <c r="V4" s="203" t="s">
        <v>266</v>
      </c>
      <c r="W4" s="203" t="s">
        <v>266</v>
      </c>
      <c r="X4" s="203" t="s">
        <v>266</v>
      </c>
      <c r="Z4" s="203" t="s">
        <v>266</v>
      </c>
      <c r="AA4" s="203" t="s">
        <v>266</v>
      </c>
      <c r="AB4" s="203" t="s">
        <v>266</v>
      </c>
      <c r="AC4" s="203" t="s">
        <v>266</v>
      </c>
      <c r="AD4" s="203" t="s">
        <v>266</v>
      </c>
      <c r="AE4" s="203" t="s">
        <v>266</v>
      </c>
      <c r="AF4" s="203" t="s">
        <v>266</v>
      </c>
      <c r="AH4">
        <v>0</v>
      </c>
      <c r="AI4">
        <v>1</v>
      </c>
    </row>
    <row r="5" spans="1:42" x14ac:dyDescent="0.25">
      <c r="A5" s="279" t="s">
        <v>266</v>
      </c>
      <c r="B5" s="279" t="s">
        <v>267</v>
      </c>
      <c r="C5" s="279" t="s">
        <v>297</v>
      </c>
      <c r="D5" s="279" t="s">
        <v>297</v>
      </c>
      <c r="E5" s="279">
        <v>30</v>
      </c>
      <c r="F5" s="203" t="s">
        <v>266</v>
      </c>
      <c r="G5" s="203" t="s">
        <v>266</v>
      </c>
      <c r="H5" s="203" t="s">
        <v>266</v>
      </c>
      <c r="J5" s="203" t="s">
        <v>266</v>
      </c>
      <c r="K5" s="203" t="s">
        <v>266</v>
      </c>
      <c r="L5" s="203" t="s">
        <v>266</v>
      </c>
      <c r="M5" s="203" t="s">
        <v>266</v>
      </c>
      <c r="N5" s="203" t="s">
        <v>266</v>
      </c>
      <c r="O5" s="203" t="s">
        <v>266</v>
      </c>
      <c r="P5" s="203" t="s">
        <v>266</v>
      </c>
      <c r="R5" s="203" t="s">
        <v>266</v>
      </c>
      <c r="S5" s="203" t="s">
        <v>266</v>
      </c>
      <c r="T5" s="203" t="s">
        <v>266</v>
      </c>
      <c r="U5" s="203" t="s">
        <v>266</v>
      </c>
      <c r="V5" s="203" t="s">
        <v>266</v>
      </c>
      <c r="W5" s="203" t="s">
        <v>266</v>
      </c>
      <c r="X5" s="203" t="s">
        <v>266</v>
      </c>
      <c r="Z5" s="203" t="s">
        <v>266</v>
      </c>
      <c r="AA5" s="203" t="s">
        <v>266</v>
      </c>
      <c r="AB5" s="203" t="s">
        <v>266</v>
      </c>
      <c r="AC5" s="203" t="s">
        <v>266</v>
      </c>
      <c r="AD5" s="203" t="s">
        <v>266</v>
      </c>
      <c r="AE5" s="203" t="s">
        <v>266</v>
      </c>
      <c r="AF5" s="203" t="s">
        <v>266</v>
      </c>
      <c r="AH5">
        <v>0</v>
      </c>
      <c r="AI5">
        <v>1</v>
      </c>
    </row>
    <row r="6" spans="1:42" x14ac:dyDescent="0.25">
      <c r="A6" s="279" t="s">
        <v>266</v>
      </c>
      <c r="B6" s="279" t="s">
        <v>267</v>
      </c>
      <c r="C6" s="279" t="s">
        <v>298</v>
      </c>
      <c r="D6" s="279" t="s">
        <v>298</v>
      </c>
      <c r="E6" s="279">
        <v>36</v>
      </c>
      <c r="F6" s="203" t="s">
        <v>266</v>
      </c>
      <c r="G6" s="203" t="s">
        <v>266</v>
      </c>
      <c r="H6" s="203" t="s">
        <v>266</v>
      </c>
      <c r="J6" s="203" t="s">
        <v>266</v>
      </c>
      <c r="K6" s="203" t="s">
        <v>266</v>
      </c>
      <c r="L6" s="203" t="s">
        <v>266</v>
      </c>
      <c r="M6" s="203" t="s">
        <v>266</v>
      </c>
      <c r="N6" s="203" t="s">
        <v>266</v>
      </c>
      <c r="O6" s="203" t="s">
        <v>266</v>
      </c>
      <c r="P6" s="203" t="s">
        <v>266</v>
      </c>
      <c r="R6" s="203" t="s">
        <v>266</v>
      </c>
      <c r="S6" s="203" t="s">
        <v>266</v>
      </c>
      <c r="T6" s="203" t="s">
        <v>266</v>
      </c>
      <c r="U6" s="203" t="s">
        <v>266</v>
      </c>
      <c r="V6" s="203" t="s">
        <v>266</v>
      </c>
      <c r="W6" s="203" t="s">
        <v>266</v>
      </c>
      <c r="X6" s="203" t="s">
        <v>266</v>
      </c>
      <c r="Z6" s="203" t="s">
        <v>266</v>
      </c>
      <c r="AA6" s="203" t="s">
        <v>266</v>
      </c>
      <c r="AB6" s="203" t="s">
        <v>266</v>
      </c>
      <c r="AC6" s="203" t="s">
        <v>266</v>
      </c>
      <c r="AD6" s="203" t="s">
        <v>266</v>
      </c>
      <c r="AE6" s="203" t="s">
        <v>266</v>
      </c>
      <c r="AF6" s="203" t="s">
        <v>266</v>
      </c>
      <c r="AH6">
        <v>0</v>
      </c>
      <c r="AI6">
        <v>1</v>
      </c>
    </row>
    <row r="7" spans="1:42" x14ac:dyDescent="0.25">
      <c r="A7" s="279" t="s">
        <v>266</v>
      </c>
      <c r="B7" s="279" t="s">
        <v>280</v>
      </c>
      <c r="C7" s="279"/>
      <c r="D7" s="279"/>
      <c r="E7" s="279"/>
      <c r="F7" s="203" t="s">
        <v>266</v>
      </c>
      <c r="G7" s="203" t="s">
        <v>266</v>
      </c>
      <c r="H7" s="203" t="s">
        <v>266</v>
      </c>
      <c r="J7" s="203" t="s">
        <v>266</v>
      </c>
      <c r="K7" s="203" t="s">
        <v>266</v>
      </c>
      <c r="L7" s="203" t="s">
        <v>266</v>
      </c>
      <c r="M7" s="203" t="s">
        <v>266</v>
      </c>
      <c r="N7" s="203" t="s">
        <v>266</v>
      </c>
      <c r="O7" s="203" t="s">
        <v>266</v>
      </c>
      <c r="P7" s="203" t="s">
        <v>266</v>
      </c>
      <c r="R7" s="203" t="s">
        <v>266</v>
      </c>
      <c r="S7" s="203" t="s">
        <v>266</v>
      </c>
      <c r="T7" s="203" t="s">
        <v>266</v>
      </c>
      <c r="U7" s="203" t="s">
        <v>266</v>
      </c>
      <c r="V7" s="203" t="s">
        <v>266</v>
      </c>
      <c r="W7" s="203" t="s">
        <v>266</v>
      </c>
      <c r="X7" s="203" t="s">
        <v>266</v>
      </c>
      <c r="Z7" s="203" t="s">
        <v>266</v>
      </c>
      <c r="AA7" s="203" t="s">
        <v>266</v>
      </c>
      <c r="AB7" s="203" t="s">
        <v>266</v>
      </c>
      <c r="AC7" s="203" t="s">
        <v>266</v>
      </c>
      <c r="AD7" s="203" t="s">
        <v>266</v>
      </c>
      <c r="AE7" s="203" t="s">
        <v>266</v>
      </c>
      <c r="AF7" s="203" t="s">
        <v>266</v>
      </c>
      <c r="AH7">
        <v>1</v>
      </c>
      <c r="AI7">
        <v>5</v>
      </c>
    </row>
    <row r="8" spans="1:42" x14ac:dyDescent="0.25">
      <c r="A8" s="279" t="s">
        <v>266</v>
      </c>
      <c r="B8" s="279" t="s">
        <v>280</v>
      </c>
      <c r="C8" s="279"/>
      <c r="D8" s="279"/>
      <c r="E8" s="279"/>
      <c r="F8" s="203" t="s">
        <v>266</v>
      </c>
      <c r="G8" s="203" t="s">
        <v>266</v>
      </c>
      <c r="H8" s="203" t="s">
        <v>266</v>
      </c>
      <c r="J8" s="203" t="s">
        <v>266</v>
      </c>
      <c r="K8" s="203" t="s">
        <v>266</v>
      </c>
      <c r="L8" s="203" t="s">
        <v>266</v>
      </c>
      <c r="M8" s="203" t="s">
        <v>266</v>
      </c>
      <c r="N8" s="203" t="s">
        <v>266</v>
      </c>
      <c r="O8" s="203" t="s">
        <v>266</v>
      </c>
      <c r="P8" s="203" t="s">
        <v>266</v>
      </c>
      <c r="R8" s="203" t="s">
        <v>266</v>
      </c>
      <c r="S8" s="203" t="s">
        <v>266</v>
      </c>
      <c r="T8" s="203" t="s">
        <v>266</v>
      </c>
      <c r="U8" s="203" t="s">
        <v>266</v>
      </c>
      <c r="V8" s="203" t="s">
        <v>266</v>
      </c>
      <c r="W8" s="203" t="s">
        <v>266</v>
      </c>
      <c r="X8" s="203" t="s">
        <v>266</v>
      </c>
      <c r="Z8" s="203" t="s">
        <v>266</v>
      </c>
      <c r="AA8" s="203" t="s">
        <v>266</v>
      </c>
      <c r="AB8" s="203" t="s">
        <v>266</v>
      </c>
      <c r="AC8" s="203" t="s">
        <v>266</v>
      </c>
      <c r="AD8" s="203" t="s">
        <v>266</v>
      </c>
      <c r="AE8" s="203" t="s">
        <v>266</v>
      </c>
      <c r="AF8" s="203" t="s">
        <v>266</v>
      </c>
      <c r="AH8">
        <v>1</v>
      </c>
      <c r="AI8">
        <v>5</v>
      </c>
    </row>
    <row r="9" spans="1:42" x14ac:dyDescent="0.25">
      <c r="A9" s="279" t="s">
        <v>266</v>
      </c>
      <c r="B9" s="279" t="s">
        <v>280</v>
      </c>
      <c r="C9" s="279"/>
      <c r="D9" s="279"/>
      <c r="E9" s="279"/>
      <c r="F9" s="203" t="s">
        <v>266</v>
      </c>
      <c r="G9" s="203" t="s">
        <v>266</v>
      </c>
      <c r="H9" s="203" t="s">
        <v>266</v>
      </c>
      <c r="J9" s="203" t="s">
        <v>266</v>
      </c>
      <c r="K9" s="203" t="s">
        <v>266</v>
      </c>
      <c r="L9" s="203" t="s">
        <v>266</v>
      </c>
      <c r="M9" s="203" t="s">
        <v>266</v>
      </c>
      <c r="N9" s="203" t="s">
        <v>266</v>
      </c>
      <c r="O9" s="203" t="s">
        <v>266</v>
      </c>
      <c r="P9" s="203" t="s">
        <v>266</v>
      </c>
      <c r="R9" s="203" t="s">
        <v>266</v>
      </c>
      <c r="S9" s="203" t="s">
        <v>266</v>
      </c>
      <c r="T9" s="203" t="s">
        <v>266</v>
      </c>
      <c r="U9" s="203" t="s">
        <v>266</v>
      </c>
      <c r="V9" s="203" t="s">
        <v>266</v>
      </c>
      <c r="W9" s="203" t="s">
        <v>266</v>
      </c>
      <c r="X9" s="203" t="s">
        <v>266</v>
      </c>
      <c r="Z9" s="203" t="s">
        <v>266</v>
      </c>
      <c r="AA9" s="203" t="s">
        <v>266</v>
      </c>
      <c r="AB9" s="203" t="s">
        <v>266</v>
      </c>
      <c r="AC9" s="203" t="s">
        <v>266</v>
      </c>
      <c r="AD9" s="203" t="s">
        <v>266</v>
      </c>
      <c r="AE9" s="203" t="s">
        <v>266</v>
      </c>
      <c r="AF9" s="203" t="s">
        <v>266</v>
      </c>
      <c r="AH9">
        <v>1</v>
      </c>
      <c r="AI9">
        <v>5</v>
      </c>
      <c r="AN9" s="569" t="s">
        <v>271</v>
      </c>
      <c r="AO9" s="569"/>
      <c r="AP9" s="569"/>
    </row>
    <row r="10" spans="1:42" x14ac:dyDescent="0.25">
      <c r="A10" s="279" t="s">
        <v>266</v>
      </c>
      <c r="B10" s="279" t="s">
        <v>280</v>
      </c>
      <c r="C10" s="279"/>
      <c r="D10" s="279"/>
      <c r="E10" s="279"/>
      <c r="F10" s="203" t="s">
        <v>266</v>
      </c>
      <c r="G10" s="203" t="s">
        <v>266</v>
      </c>
      <c r="H10" s="203" t="s">
        <v>266</v>
      </c>
      <c r="J10" s="203" t="s">
        <v>266</v>
      </c>
      <c r="K10" s="203" t="s">
        <v>266</v>
      </c>
      <c r="L10" s="203" t="s">
        <v>266</v>
      </c>
      <c r="M10" s="203" t="s">
        <v>266</v>
      </c>
      <c r="N10" s="203" t="s">
        <v>266</v>
      </c>
      <c r="O10" s="203" t="s">
        <v>266</v>
      </c>
      <c r="P10" s="203" t="s">
        <v>266</v>
      </c>
      <c r="R10" s="203" t="s">
        <v>266</v>
      </c>
      <c r="S10" s="203" t="s">
        <v>266</v>
      </c>
      <c r="T10" s="203" t="s">
        <v>266</v>
      </c>
      <c r="U10" s="203" t="s">
        <v>266</v>
      </c>
      <c r="V10" s="203" t="s">
        <v>266</v>
      </c>
      <c r="W10" s="203" t="s">
        <v>266</v>
      </c>
      <c r="X10" s="203" t="s">
        <v>266</v>
      </c>
      <c r="Z10" s="203" t="s">
        <v>266</v>
      </c>
      <c r="AA10" s="203" t="s">
        <v>266</v>
      </c>
      <c r="AB10" s="203" t="s">
        <v>266</v>
      </c>
      <c r="AC10" s="203" t="s">
        <v>266</v>
      </c>
      <c r="AD10" s="203" t="s">
        <v>266</v>
      </c>
      <c r="AE10" s="203" t="s">
        <v>266</v>
      </c>
      <c r="AF10" s="203" t="s">
        <v>266</v>
      </c>
      <c r="AH10">
        <v>1</v>
      </c>
      <c r="AI10">
        <v>5</v>
      </c>
      <c r="AN10" s="569"/>
      <c r="AO10" s="569"/>
      <c r="AP10" s="569"/>
    </row>
    <row r="11" spans="1:42" x14ac:dyDescent="0.25">
      <c r="A11" s="279" t="s">
        <v>266</v>
      </c>
      <c r="B11" s="279" t="s">
        <v>280</v>
      </c>
      <c r="C11" s="279"/>
      <c r="D11" s="279"/>
      <c r="E11" s="279"/>
      <c r="F11" s="203" t="s">
        <v>266</v>
      </c>
      <c r="G11" s="203" t="s">
        <v>266</v>
      </c>
      <c r="H11" s="203" t="s">
        <v>266</v>
      </c>
      <c r="J11" s="203" t="s">
        <v>266</v>
      </c>
      <c r="K11" s="203" t="s">
        <v>266</v>
      </c>
      <c r="L11" s="203" t="s">
        <v>266</v>
      </c>
      <c r="M11" s="203" t="s">
        <v>266</v>
      </c>
      <c r="N11" s="203" t="s">
        <v>266</v>
      </c>
      <c r="O11" s="203" t="s">
        <v>266</v>
      </c>
      <c r="P11" s="203" t="s">
        <v>266</v>
      </c>
      <c r="R11" s="203" t="s">
        <v>266</v>
      </c>
      <c r="S11" s="203" t="s">
        <v>266</v>
      </c>
      <c r="T11" s="203" t="s">
        <v>266</v>
      </c>
      <c r="U11" s="203" t="s">
        <v>266</v>
      </c>
      <c r="V11" s="203" t="s">
        <v>266</v>
      </c>
      <c r="W11" s="203" t="s">
        <v>266</v>
      </c>
      <c r="X11" s="203" t="s">
        <v>266</v>
      </c>
      <c r="Z11" s="203" t="s">
        <v>266</v>
      </c>
      <c r="AA11" s="203" t="s">
        <v>266</v>
      </c>
      <c r="AB11" s="203" t="s">
        <v>266</v>
      </c>
      <c r="AC11" s="203" t="s">
        <v>266</v>
      </c>
      <c r="AD11" s="203" t="s">
        <v>266</v>
      </c>
      <c r="AE11" s="203" t="s">
        <v>266</v>
      </c>
      <c r="AF11" s="203" t="s">
        <v>266</v>
      </c>
      <c r="AH11">
        <v>1</v>
      </c>
      <c r="AI11">
        <v>5</v>
      </c>
    </row>
    <row r="12" spans="1:42" x14ac:dyDescent="0.25">
      <c r="A12" s="279" t="s">
        <v>266</v>
      </c>
      <c r="B12" s="279" t="s">
        <v>280</v>
      </c>
      <c r="C12" s="279"/>
      <c r="D12" s="279"/>
      <c r="E12" s="279"/>
      <c r="F12" s="203" t="s">
        <v>266</v>
      </c>
      <c r="G12" s="203" t="s">
        <v>266</v>
      </c>
      <c r="H12" s="203" t="s">
        <v>266</v>
      </c>
      <c r="J12" s="203" t="s">
        <v>266</v>
      </c>
      <c r="K12" s="203" t="s">
        <v>266</v>
      </c>
      <c r="L12" s="203" t="s">
        <v>266</v>
      </c>
      <c r="M12" s="203" t="s">
        <v>266</v>
      </c>
      <c r="N12" s="203" t="s">
        <v>266</v>
      </c>
      <c r="O12" s="203" t="s">
        <v>266</v>
      </c>
      <c r="P12" s="203" t="s">
        <v>266</v>
      </c>
      <c r="R12" s="203" t="s">
        <v>266</v>
      </c>
      <c r="S12" s="203" t="s">
        <v>266</v>
      </c>
      <c r="T12" s="203" t="s">
        <v>266</v>
      </c>
      <c r="U12" s="203" t="s">
        <v>266</v>
      </c>
      <c r="V12" s="203" t="s">
        <v>266</v>
      </c>
      <c r="W12" s="203" t="s">
        <v>266</v>
      </c>
      <c r="X12" s="203" t="s">
        <v>266</v>
      </c>
      <c r="Z12" s="203" t="s">
        <v>266</v>
      </c>
      <c r="AA12" s="203" t="s">
        <v>266</v>
      </c>
      <c r="AB12" s="203" t="s">
        <v>266</v>
      </c>
      <c r="AC12" s="203" t="s">
        <v>266</v>
      </c>
      <c r="AD12" s="203" t="s">
        <v>266</v>
      </c>
      <c r="AE12" s="203" t="s">
        <v>266</v>
      </c>
      <c r="AF12" s="203" t="s">
        <v>266</v>
      </c>
      <c r="AH12">
        <v>1</v>
      </c>
      <c r="AI12">
        <v>5</v>
      </c>
    </row>
    <row r="13" spans="1:42" x14ac:dyDescent="0.25">
      <c r="A13" s="279" t="s">
        <v>266</v>
      </c>
      <c r="B13" s="279" t="s">
        <v>280</v>
      </c>
      <c r="C13" s="279"/>
      <c r="D13" s="279"/>
      <c r="E13" s="279"/>
      <c r="F13" s="203" t="s">
        <v>266</v>
      </c>
      <c r="G13" s="203" t="s">
        <v>266</v>
      </c>
      <c r="H13" s="203" t="s">
        <v>266</v>
      </c>
      <c r="J13" s="203" t="s">
        <v>266</v>
      </c>
      <c r="K13" s="203" t="s">
        <v>266</v>
      </c>
      <c r="L13" s="203" t="s">
        <v>266</v>
      </c>
      <c r="M13" s="203" t="s">
        <v>266</v>
      </c>
      <c r="N13" s="203" t="s">
        <v>266</v>
      </c>
      <c r="O13" s="203" t="s">
        <v>266</v>
      </c>
      <c r="P13" s="203" t="s">
        <v>266</v>
      </c>
      <c r="R13" s="203" t="s">
        <v>266</v>
      </c>
      <c r="S13" s="203" t="s">
        <v>266</v>
      </c>
      <c r="T13" s="203" t="s">
        <v>266</v>
      </c>
      <c r="U13" s="203" t="s">
        <v>266</v>
      </c>
      <c r="V13" s="203" t="s">
        <v>266</v>
      </c>
      <c r="W13" s="203" t="s">
        <v>266</v>
      </c>
      <c r="X13" s="203" t="s">
        <v>266</v>
      </c>
      <c r="Z13" s="203" t="s">
        <v>266</v>
      </c>
      <c r="AA13" s="203" t="s">
        <v>266</v>
      </c>
      <c r="AB13" s="203" t="s">
        <v>266</v>
      </c>
      <c r="AC13" s="203" t="s">
        <v>266</v>
      </c>
      <c r="AD13" s="203" t="s">
        <v>266</v>
      </c>
      <c r="AE13" s="203" t="s">
        <v>266</v>
      </c>
      <c r="AF13" s="203" t="s">
        <v>266</v>
      </c>
      <c r="AH13">
        <v>1</v>
      </c>
      <c r="AI13">
        <v>5</v>
      </c>
    </row>
    <row r="14" spans="1:42" x14ac:dyDescent="0.25">
      <c r="A14" s="279" t="s">
        <v>266</v>
      </c>
      <c r="B14" s="279" t="s">
        <v>280</v>
      </c>
      <c r="C14" s="279"/>
      <c r="D14" s="279"/>
      <c r="E14" s="279"/>
      <c r="F14" s="203" t="s">
        <v>266</v>
      </c>
      <c r="G14" s="203" t="s">
        <v>266</v>
      </c>
      <c r="H14" s="203" t="s">
        <v>266</v>
      </c>
      <c r="J14" s="203" t="s">
        <v>266</v>
      </c>
      <c r="K14" s="203" t="s">
        <v>266</v>
      </c>
      <c r="L14" s="203" t="s">
        <v>266</v>
      </c>
      <c r="M14" s="203" t="s">
        <v>266</v>
      </c>
      <c r="N14" s="203" t="s">
        <v>266</v>
      </c>
      <c r="O14" s="203" t="s">
        <v>266</v>
      </c>
      <c r="P14" s="203" t="s">
        <v>266</v>
      </c>
      <c r="R14" s="203" t="s">
        <v>266</v>
      </c>
      <c r="S14" s="203" t="s">
        <v>266</v>
      </c>
      <c r="T14" s="203" t="s">
        <v>266</v>
      </c>
      <c r="U14" s="203" t="s">
        <v>266</v>
      </c>
      <c r="V14" s="203" t="s">
        <v>266</v>
      </c>
      <c r="W14" s="203" t="s">
        <v>266</v>
      </c>
      <c r="X14" s="203" t="s">
        <v>266</v>
      </c>
      <c r="Z14" s="203" t="s">
        <v>266</v>
      </c>
      <c r="AA14" s="203" t="s">
        <v>266</v>
      </c>
      <c r="AB14" s="203" t="s">
        <v>266</v>
      </c>
      <c r="AC14" s="203" t="s">
        <v>266</v>
      </c>
      <c r="AD14" s="203" t="s">
        <v>266</v>
      </c>
      <c r="AE14" s="203" t="s">
        <v>266</v>
      </c>
      <c r="AF14" s="203" t="s">
        <v>266</v>
      </c>
      <c r="AH14">
        <v>1</v>
      </c>
      <c r="AI14">
        <v>5</v>
      </c>
    </row>
    <row r="15" spans="1:42" x14ac:dyDescent="0.25">
      <c r="A15" s="279" t="s">
        <v>266</v>
      </c>
      <c r="B15" s="279" t="s">
        <v>280</v>
      </c>
      <c r="C15" s="279"/>
      <c r="D15" s="279"/>
      <c r="E15" s="279"/>
      <c r="F15" s="203" t="s">
        <v>266</v>
      </c>
      <c r="G15" s="203" t="s">
        <v>266</v>
      </c>
      <c r="H15" s="203" t="s">
        <v>266</v>
      </c>
      <c r="J15" s="203" t="s">
        <v>266</v>
      </c>
      <c r="K15" s="203" t="s">
        <v>266</v>
      </c>
      <c r="L15" s="203" t="s">
        <v>266</v>
      </c>
      <c r="M15" s="203" t="s">
        <v>266</v>
      </c>
      <c r="N15" s="203" t="s">
        <v>266</v>
      </c>
      <c r="O15" s="203" t="s">
        <v>266</v>
      </c>
      <c r="P15" s="203" t="s">
        <v>266</v>
      </c>
      <c r="R15" s="203" t="s">
        <v>266</v>
      </c>
      <c r="S15" s="203" t="s">
        <v>266</v>
      </c>
      <c r="T15" s="203" t="s">
        <v>266</v>
      </c>
      <c r="U15" s="203" t="s">
        <v>266</v>
      </c>
      <c r="V15" s="203" t="s">
        <v>266</v>
      </c>
      <c r="W15" s="203" t="s">
        <v>266</v>
      </c>
      <c r="X15" s="203" t="s">
        <v>266</v>
      </c>
      <c r="Z15" s="203" t="s">
        <v>266</v>
      </c>
      <c r="AA15" s="203" t="s">
        <v>266</v>
      </c>
      <c r="AB15" s="203" t="s">
        <v>266</v>
      </c>
      <c r="AC15" s="203" t="s">
        <v>266</v>
      </c>
      <c r="AD15" s="203" t="s">
        <v>266</v>
      </c>
      <c r="AE15" s="203" t="s">
        <v>266</v>
      </c>
      <c r="AF15" s="203" t="s">
        <v>266</v>
      </c>
      <c r="AH15">
        <v>1</v>
      </c>
      <c r="AI15">
        <v>5</v>
      </c>
    </row>
    <row r="16" spans="1:42" x14ac:dyDescent="0.25">
      <c r="A16" s="279" t="s">
        <v>266</v>
      </c>
      <c r="B16" s="279" t="s">
        <v>280</v>
      </c>
      <c r="C16" s="279"/>
      <c r="D16" s="279"/>
      <c r="E16" s="279"/>
      <c r="F16" s="203" t="s">
        <v>266</v>
      </c>
      <c r="G16" s="203" t="s">
        <v>266</v>
      </c>
      <c r="H16" s="203" t="s">
        <v>266</v>
      </c>
      <c r="J16" s="203" t="s">
        <v>266</v>
      </c>
      <c r="K16" s="203" t="s">
        <v>266</v>
      </c>
      <c r="L16" s="203" t="s">
        <v>266</v>
      </c>
      <c r="M16" s="203" t="s">
        <v>266</v>
      </c>
      <c r="N16" s="203" t="s">
        <v>266</v>
      </c>
      <c r="O16" s="203" t="s">
        <v>266</v>
      </c>
      <c r="P16" s="203" t="s">
        <v>266</v>
      </c>
      <c r="R16" s="203" t="s">
        <v>266</v>
      </c>
      <c r="S16" s="203" t="s">
        <v>266</v>
      </c>
      <c r="T16" s="203" t="s">
        <v>266</v>
      </c>
      <c r="U16" s="203" t="s">
        <v>266</v>
      </c>
      <c r="V16" s="203" t="s">
        <v>266</v>
      </c>
      <c r="W16" s="203" t="s">
        <v>266</v>
      </c>
      <c r="X16" s="203" t="s">
        <v>266</v>
      </c>
      <c r="Z16" s="203" t="s">
        <v>266</v>
      </c>
      <c r="AA16" s="203" t="s">
        <v>266</v>
      </c>
      <c r="AB16" s="203" t="s">
        <v>266</v>
      </c>
      <c r="AC16" s="203" t="s">
        <v>266</v>
      </c>
      <c r="AD16" s="203" t="s">
        <v>266</v>
      </c>
      <c r="AE16" s="203" t="s">
        <v>266</v>
      </c>
      <c r="AF16" s="203" t="s">
        <v>266</v>
      </c>
      <c r="AH16">
        <v>1</v>
      </c>
      <c r="AI16">
        <v>5</v>
      </c>
    </row>
    <row r="17" spans="1:35" x14ac:dyDescent="0.25">
      <c r="A17" s="279" t="s">
        <v>266</v>
      </c>
      <c r="B17" s="279" t="s">
        <v>280</v>
      </c>
      <c r="C17" s="279"/>
      <c r="D17" s="279"/>
      <c r="E17" s="279"/>
      <c r="F17" s="203" t="s">
        <v>266</v>
      </c>
      <c r="G17" s="203" t="s">
        <v>266</v>
      </c>
      <c r="H17" s="203" t="s">
        <v>266</v>
      </c>
      <c r="J17" s="203" t="s">
        <v>266</v>
      </c>
      <c r="K17" s="203" t="s">
        <v>266</v>
      </c>
      <c r="L17" s="203" t="s">
        <v>266</v>
      </c>
      <c r="M17" s="203" t="s">
        <v>266</v>
      </c>
      <c r="N17" s="203" t="s">
        <v>266</v>
      </c>
      <c r="O17" s="203" t="s">
        <v>266</v>
      </c>
      <c r="P17" s="203" t="s">
        <v>266</v>
      </c>
      <c r="R17" s="203" t="s">
        <v>266</v>
      </c>
      <c r="S17" s="203" t="s">
        <v>266</v>
      </c>
      <c r="T17" s="203" t="s">
        <v>266</v>
      </c>
      <c r="U17" s="203" t="s">
        <v>266</v>
      </c>
      <c r="V17" s="203" t="s">
        <v>266</v>
      </c>
      <c r="W17" s="203" t="s">
        <v>266</v>
      </c>
      <c r="X17" s="203" t="s">
        <v>266</v>
      </c>
      <c r="Z17" s="203" t="s">
        <v>266</v>
      </c>
      <c r="AA17" s="203" t="s">
        <v>266</v>
      </c>
      <c r="AB17" s="203" t="s">
        <v>266</v>
      </c>
      <c r="AC17" s="203" t="s">
        <v>266</v>
      </c>
      <c r="AD17" s="203" t="s">
        <v>266</v>
      </c>
      <c r="AE17" s="203" t="s">
        <v>266</v>
      </c>
      <c r="AF17" s="203" t="s">
        <v>266</v>
      </c>
      <c r="AH17">
        <v>1</v>
      </c>
      <c r="AI17">
        <v>5</v>
      </c>
    </row>
    <row r="18" spans="1:35" x14ac:dyDescent="0.25">
      <c r="A18" s="279" t="s">
        <v>266</v>
      </c>
      <c r="B18" s="279" t="s">
        <v>280</v>
      </c>
      <c r="C18" s="279"/>
      <c r="D18" s="279"/>
      <c r="E18" s="279"/>
      <c r="F18" s="203" t="s">
        <v>266</v>
      </c>
      <c r="G18" s="203" t="s">
        <v>266</v>
      </c>
      <c r="H18" s="203" t="s">
        <v>266</v>
      </c>
      <c r="J18" s="203" t="s">
        <v>266</v>
      </c>
      <c r="K18" s="203" t="s">
        <v>266</v>
      </c>
      <c r="L18" s="203" t="s">
        <v>266</v>
      </c>
      <c r="M18" s="203" t="s">
        <v>266</v>
      </c>
      <c r="N18" s="203" t="s">
        <v>266</v>
      </c>
      <c r="O18" s="203" t="s">
        <v>266</v>
      </c>
      <c r="P18" s="203" t="s">
        <v>266</v>
      </c>
      <c r="R18" s="203" t="s">
        <v>266</v>
      </c>
      <c r="S18" s="203" t="s">
        <v>266</v>
      </c>
      <c r="T18" s="203" t="s">
        <v>266</v>
      </c>
      <c r="U18" s="203" t="s">
        <v>266</v>
      </c>
      <c r="V18" s="203" t="s">
        <v>266</v>
      </c>
      <c r="W18" s="203" t="s">
        <v>266</v>
      </c>
      <c r="X18" s="203" t="s">
        <v>266</v>
      </c>
      <c r="Z18" s="203" t="s">
        <v>266</v>
      </c>
      <c r="AA18" s="203" t="s">
        <v>266</v>
      </c>
      <c r="AB18" s="203" t="s">
        <v>266</v>
      </c>
      <c r="AC18" s="203" t="s">
        <v>266</v>
      </c>
      <c r="AD18" s="203" t="s">
        <v>266</v>
      </c>
      <c r="AE18" s="203" t="s">
        <v>266</v>
      </c>
      <c r="AF18" s="203" t="s">
        <v>266</v>
      </c>
      <c r="AH18">
        <v>1</v>
      </c>
      <c r="AI18">
        <v>5</v>
      </c>
    </row>
    <row r="19" spans="1:35" x14ac:dyDescent="0.25">
      <c r="A19" s="279" t="s">
        <v>266</v>
      </c>
      <c r="B19" s="279" t="s">
        <v>280</v>
      </c>
      <c r="C19" s="279"/>
      <c r="D19" s="279"/>
      <c r="E19" s="279"/>
      <c r="F19" s="203" t="s">
        <v>266</v>
      </c>
      <c r="G19" s="203" t="s">
        <v>266</v>
      </c>
      <c r="H19" s="203" t="s">
        <v>266</v>
      </c>
      <c r="J19" s="203" t="s">
        <v>266</v>
      </c>
      <c r="K19" s="203" t="s">
        <v>266</v>
      </c>
      <c r="L19" s="203" t="s">
        <v>266</v>
      </c>
      <c r="M19" s="203" t="s">
        <v>266</v>
      </c>
      <c r="N19" s="203" t="s">
        <v>266</v>
      </c>
      <c r="O19" s="203" t="s">
        <v>266</v>
      </c>
      <c r="P19" s="203" t="s">
        <v>266</v>
      </c>
      <c r="R19" s="203" t="s">
        <v>266</v>
      </c>
      <c r="S19" s="203" t="s">
        <v>266</v>
      </c>
      <c r="T19" s="203" t="s">
        <v>266</v>
      </c>
      <c r="U19" s="203" t="s">
        <v>266</v>
      </c>
      <c r="V19" s="203" t="s">
        <v>266</v>
      </c>
      <c r="W19" s="203" t="s">
        <v>266</v>
      </c>
      <c r="X19" s="203" t="s">
        <v>266</v>
      </c>
      <c r="Z19" s="203" t="s">
        <v>266</v>
      </c>
      <c r="AA19" s="203" t="s">
        <v>266</v>
      </c>
      <c r="AB19" s="203" t="s">
        <v>266</v>
      </c>
      <c r="AC19" s="203" t="s">
        <v>266</v>
      </c>
      <c r="AD19" s="203" t="s">
        <v>266</v>
      </c>
      <c r="AE19" s="203" t="s">
        <v>266</v>
      </c>
      <c r="AF19" s="203" t="s">
        <v>266</v>
      </c>
      <c r="AH19">
        <v>1</v>
      </c>
      <c r="AI19">
        <v>5</v>
      </c>
    </row>
    <row r="20" spans="1:35" x14ac:dyDescent="0.25">
      <c r="A20" s="279" t="s">
        <v>266</v>
      </c>
      <c r="B20" s="279" t="s">
        <v>280</v>
      </c>
      <c r="C20" s="279"/>
      <c r="D20" s="279"/>
      <c r="E20" s="279"/>
      <c r="F20" s="203" t="s">
        <v>266</v>
      </c>
      <c r="G20" s="203" t="s">
        <v>266</v>
      </c>
      <c r="H20" s="203" t="s">
        <v>266</v>
      </c>
      <c r="J20" s="203" t="s">
        <v>266</v>
      </c>
      <c r="K20" s="203" t="s">
        <v>266</v>
      </c>
      <c r="L20" s="203" t="s">
        <v>266</v>
      </c>
      <c r="M20" s="203" t="s">
        <v>266</v>
      </c>
      <c r="N20" s="203" t="s">
        <v>266</v>
      </c>
      <c r="O20" s="203" t="s">
        <v>266</v>
      </c>
      <c r="P20" s="203" t="s">
        <v>266</v>
      </c>
      <c r="R20" s="203" t="s">
        <v>266</v>
      </c>
      <c r="S20" s="203" t="s">
        <v>266</v>
      </c>
      <c r="T20" s="203" t="s">
        <v>266</v>
      </c>
      <c r="U20" s="203" t="s">
        <v>266</v>
      </c>
      <c r="V20" s="203" t="s">
        <v>266</v>
      </c>
      <c r="W20" s="203" t="s">
        <v>266</v>
      </c>
      <c r="X20" s="203" t="s">
        <v>266</v>
      </c>
      <c r="Z20" s="203" t="s">
        <v>266</v>
      </c>
      <c r="AA20" s="203" t="s">
        <v>266</v>
      </c>
      <c r="AB20" s="203" t="s">
        <v>266</v>
      </c>
      <c r="AC20" s="203" t="s">
        <v>266</v>
      </c>
      <c r="AD20" s="203" t="s">
        <v>266</v>
      </c>
      <c r="AE20" s="203" t="s">
        <v>266</v>
      </c>
      <c r="AF20" s="203" t="s">
        <v>266</v>
      </c>
      <c r="AH20">
        <v>1</v>
      </c>
      <c r="AI20">
        <v>5</v>
      </c>
    </row>
    <row r="21" spans="1:35" x14ac:dyDescent="0.25">
      <c r="A21" s="279" t="s">
        <v>266</v>
      </c>
      <c r="B21" s="279" t="s">
        <v>280</v>
      </c>
      <c r="C21" s="279"/>
      <c r="D21" s="279"/>
      <c r="E21" s="279"/>
      <c r="F21" s="203" t="s">
        <v>266</v>
      </c>
      <c r="G21" s="203" t="s">
        <v>266</v>
      </c>
      <c r="H21" s="203" t="s">
        <v>266</v>
      </c>
      <c r="J21" s="203" t="s">
        <v>266</v>
      </c>
      <c r="K21" s="203" t="s">
        <v>266</v>
      </c>
      <c r="L21" s="203" t="s">
        <v>266</v>
      </c>
      <c r="M21" s="203" t="s">
        <v>266</v>
      </c>
      <c r="N21" s="203" t="s">
        <v>266</v>
      </c>
      <c r="O21" s="203" t="s">
        <v>266</v>
      </c>
      <c r="P21" s="203" t="s">
        <v>266</v>
      </c>
      <c r="R21" s="203" t="s">
        <v>266</v>
      </c>
      <c r="S21" s="203" t="s">
        <v>266</v>
      </c>
      <c r="T21" s="203" t="s">
        <v>266</v>
      </c>
      <c r="U21" s="203" t="s">
        <v>266</v>
      </c>
      <c r="V21" s="203" t="s">
        <v>266</v>
      </c>
      <c r="W21" s="203" t="s">
        <v>266</v>
      </c>
      <c r="X21" s="203" t="s">
        <v>266</v>
      </c>
      <c r="Z21" s="203" t="s">
        <v>266</v>
      </c>
      <c r="AA21" s="203" t="s">
        <v>266</v>
      </c>
      <c r="AB21" s="203" t="s">
        <v>266</v>
      </c>
      <c r="AC21" s="203" t="s">
        <v>266</v>
      </c>
      <c r="AD21" s="203" t="s">
        <v>266</v>
      </c>
      <c r="AE21" s="203" t="s">
        <v>266</v>
      </c>
      <c r="AF21" s="203" t="s">
        <v>266</v>
      </c>
      <c r="AH21">
        <v>1</v>
      </c>
      <c r="AI21">
        <v>5</v>
      </c>
    </row>
    <row r="22" spans="1:35" x14ac:dyDescent="0.25">
      <c r="A22" s="279" t="s">
        <v>266</v>
      </c>
      <c r="B22" s="279" t="s">
        <v>280</v>
      </c>
      <c r="C22" s="279"/>
      <c r="D22" s="279"/>
      <c r="E22" s="279"/>
      <c r="F22" s="203" t="s">
        <v>266</v>
      </c>
      <c r="G22" s="203" t="s">
        <v>266</v>
      </c>
      <c r="H22" s="203" t="s">
        <v>266</v>
      </c>
      <c r="J22" s="203" t="s">
        <v>266</v>
      </c>
      <c r="K22" s="203" t="s">
        <v>266</v>
      </c>
      <c r="L22" s="203" t="s">
        <v>266</v>
      </c>
      <c r="M22" s="203" t="s">
        <v>266</v>
      </c>
      <c r="N22" s="203" t="s">
        <v>266</v>
      </c>
      <c r="O22" s="203" t="s">
        <v>266</v>
      </c>
      <c r="P22" s="203" t="s">
        <v>266</v>
      </c>
      <c r="R22" s="203" t="s">
        <v>266</v>
      </c>
      <c r="S22" s="203" t="s">
        <v>266</v>
      </c>
      <c r="T22" s="203" t="s">
        <v>266</v>
      </c>
      <c r="U22" s="203" t="s">
        <v>266</v>
      </c>
      <c r="V22" s="203" t="s">
        <v>266</v>
      </c>
      <c r="W22" s="203" t="s">
        <v>266</v>
      </c>
      <c r="X22" s="203" t="s">
        <v>266</v>
      </c>
      <c r="Z22" s="203" t="s">
        <v>266</v>
      </c>
      <c r="AA22" s="203" t="s">
        <v>266</v>
      </c>
      <c r="AB22" s="203" t="s">
        <v>266</v>
      </c>
      <c r="AC22" s="203" t="s">
        <v>266</v>
      </c>
      <c r="AD22" s="203" t="s">
        <v>266</v>
      </c>
      <c r="AE22" s="203" t="s">
        <v>266</v>
      </c>
      <c r="AF22" s="203" t="s">
        <v>266</v>
      </c>
      <c r="AH22">
        <v>1</v>
      </c>
      <c r="AI22">
        <v>5</v>
      </c>
    </row>
    <row r="23" spans="1:35" x14ac:dyDescent="0.25">
      <c r="A23" s="279" t="s">
        <v>266</v>
      </c>
      <c r="B23" s="279" t="s">
        <v>280</v>
      </c>
      <c r="C23" s="279"/>
      <c r="D23" s="279"/>
      <c r="E23" s="279"/>
      <c r="F23" s="203" t="s">
        <v>266</v>
      </c>
      <c r="G23" s="203" t="s">
        <v>266</v>
      </c>
      <c r="H23" s="203" t="s">
        <v>266</v>
      </c>
      <c r="J23" s="203" t="s">
        <v>266</v>
      </c>
      <c r="K23" s="203" t="s">
        <v>266</v>
      </c>
      <c r="L23" s="203" t="s">
        <v>266</v>
      </c>
      <c r="M23" s="203" t="s">
        <v>266</v>
      </c>
      <c r="N23" s="203" t="s">
        <v>266</v>
      </c>
      <c r="O23" s="203" t="s">
        <v>266</v>
      </c>
      <c r="P23" s="203" t="s">
        <v>266</v>
      </c>
      <c r="R23" s="203" t="s">
        <v>266</v>
      </c>
      <c r="S23" s="203" t="s">
        <v>266</v>
      </c>
      <c r="T23" s="203" t="s">
        <v>266</v>
      </c>
      <c r="U23" s="203" t="s">
        <v>266</v>
      </c>
      <c r="V23" s="203" t="s">
        <v>266</v>
      </c>
      <c r="W23" s="203" t="s">
        <v>266</v>
      </c>
      <c r="X23" s="203" t="s">
        <v>266</v>
      </c>
      <c r="Z23" s="203" t="s">
        <v>266</v>
      </c>
      <c r="AA23" s="203" t="s">
        <v>266</v>
      </c>
      <c r="AB23" s="203" t="s">
        <v>266</v>
      </c>
      <c r="AC23" s="203" t="s">
        <v>266</v>
      </c>
      <c r="AD23" s="203" t="s">
        <v>266</v>
      </c>
      <c r="AE23" s="203" t="s">
        <v>266</v>
      </c>
      <c r="AF23" s="203" t="s">
        <v>266</v>
      </c>
      <c r="AH23">
        <v>1</v>
      </c>
      <c r="AI23">
        <v>5</v>
      </c>
    </row>
    <row r="24" spans="1:35" x14ac:dyDescent="0.25">
      <c r="A24" s="279" t="s">
        <v>266</v>
      </c>
      <c r="B24" s="279" t="s">
        <v>280</v>
      </c>
      <c r="C24" s="279"/>
      <c r="D24" s="279"/>
      <c r="E24" s="279"/>
      <c r="F24" s="203" t="s">
        <v>266</v>
      </c>
      <c r="G24" s="203" t="s">
        <v>266</v>
      </c>
      <c r="H24" s="203" t="s">
        <v>266</v>
      </c>
      <c r="J24" s="203" t="s">
        <v>266</v>
      </c>
      <c r="K24" s="203" t="s">
        <v>266</v>
      </c>
      <c r="L24" s="203" t="s">
        <v>266</v>
      </c>
      <c r="M24" s="203" t="s">
        <v>266</v>
      </c>
      <c r="N24" s="203" t="s">
        <v>266</v>
      </c>
      <c r="O24" s="203" t="s">
        <v>266</v>
      </c>
      <c r="P24" s="203" t="s">
        <v>266</v>
      </c>
      <c r="R24" s="203" t="s">
        <v>266</v>
      </c>
      <c r="S24" s="203" t="s">
        <v>266</v>
      </c>
      <c r="T24" s="203" t="s">
        <v>266</v>
      </c>
      <c r="U24" s="203" t="s">
        <v>266</v>
      </c>
      <c r="V24" s="203" t="s">
        <v>266</v>
      </c>
      <c r="W24" s="203" t="s">
        <v>266</v>
      </c>
      <c r="X24" s="203" t="s">
        <v>266</v>
      </c>
      <c r="Z24" s="203" t="s">
        <v>266</v>
      </c>
      <c r="AA24" s="203" t="s">
        <v>266</v>
      </c>
      <c r="AB24" s="203" t="s">
        <v>266</v>
      </c>
      <c r="AC24" s="203" t="s">
        <v>266</v>
      </c>
      <c r="AD24" s="203" t="s">
        <v>266</v>
      </c>
      <c r="AE24" s="203" t="s">
        <v>266</v>
      </c>
      <c r="AF24" s="203" t="s">
        <v>266</v>
      </c>
      <c r="AH24">
        <v>1</v>
      </c>
      <c r="AI24">
        <v>5</v>
      </c>
    </row>
    <row r="25" spans="1:35" x14ac:dyDescent="0.25">
      <c r="A25" s="279" t="s">
        <v>266</v>
      </c>
      <c r="B25" s="279" t="s">
        <v>280</v>
      </c>
      <c r="C25" s="279"/>
      <c r="D25" s="279"/>
      <c r="E25" s="279"/>
      <c r="F25" s="203" t="s">
        <v>266</v>
      </c>
      <c r="G25" s="203" t="s">
        <v>266</v>
      </c>
      <c r="H25" s="203" t="s">
        <v>266</v>
      </c>
      <c r="J25" s="203" t="s">
        <v>266</v>
      </c>
      <c r="K25" s="203" t="s">
        <v>266</v>
      </c>
      <c r="L25" s="203" t="s">
        <v>266</v>
      </c>
      <c r="M25" s="203" t="s">
        <v>266</v>
      </c>
      <c r="N25" s="203" t="s">
        <v>266</v>
      </c>
      <c r="O25" s="203" t="s">
        <v>266</v>
      </c>
      <c r="P25" s="203" t="s">
        <v>266</v>
      </c>
      <c r="R25" s="203" t="s">
        <v>266</v>
      </c>
      <c r="S25" s="203" t="s">
        <v>266</v>
      </c>
      <c r="T25" s="203" t="s">
        <v>266</v>
      </c>
      <c r="U25" s="203" t="s">
        <v>266</v>
      </c>
      <c r="V25" s="203" t="s">
        <v>266</v>
      </c>
      <c r="W25" s="203" t="s">
        <v>266</v>
      </c>
      <c r="X25" s="203" t="s">
        <v>266</v>
      </c>
      <c r="Z25" s="203" t="s">
        <v>266</v>
      </c>
      <c r="AA25" s="203" t="s">
        <v>266</v>
      </c>
      <c r="AB25" s="203" t="s">
        <v>266</v>
      </c>
      <c r="AC25" s="203" t="s">
        <v>266</v>
      </c>
      <c r="AD25" s="203" t="s">
        <v>266</v>
      </c>
      <c r="AE25" s="203" t="s">
        <v>266</v>
      </c>
      <c r="AF25" s="203" t="s">
        <v>266</v>
      </c>
      <c r="AH25">
        <v>1</v>
      </c>
      <c r="AI25">
        <v>5</v>
      </c>
    </row>
    <row r="26" spans="1:35" x14ac:dyDescent="0.25">
      <c r="A26" s="279" t="s">
        <v>266</v>
      </c>
      <c r="B26" s="279" t="s">
        <v>280</v>
      </c>
      <c r="C26" s="279"/>
      <c r="D26" s="279"/>
      <c r="E26" s="279"/>
      <c r="F26" s="203" t="s">
        <v>266</v>
      </c>
      <c r="G26" s="203" t="s">
        <v>266</v>
      </c>
      <c r="H26" s="203" t="s">
        <v>266</v>
      </c>
      <c r="J26" s="203" t="s">
        <v>266</v>
      </c>
      <c r="K26" s="203" t="s">
        <v>266</v>
      </c>
      <c r="L26" s="203" t="s">
        <v>266</v>
      </c>
      <c r="M26" s="203" t="s">
        <v>266</v>
      </c>
      <c r="N26" s="203" t="s">
        <v>266</v>
      </c>
      <c r="O26" s="203" t="s">
        <v>266</v>
      </c>
      <c r="P26" s="203" t="s">
        <v>266</v>
      </c>
      <c r="R26" s="203" t="s">
        <v>266</v>
      </c>
      <c r="S26" s="203" t="s">
        <v>266</v>
      </c>
      <c r="T26" s="203" t="s">
        <v>266</v>
      </c>
      <c r="U26" s="203" t="s">
        <v>266</v>
      </c>
      <c r="V26" s="203" t="s">
        <v>266</v>
      </c>
      <c r="W26" s="203" t="s">
        <v>266</v>
      </c>
      <c r="X26" s="203" t="s">
        <v>266</v>
      </c>
      <c r="Z26" s="203" t="s">
        <v>266</v>
      </c>
      <c r="AA26" s="203" t="s">
        <v>266</v>
      </c>
      <c r="AB26" s="203" t="s">
        <v>266</v>
      </c>
      <c r="AC26" s="203" t="s">
        <v>266</v>
      </c>
      <c r="AD26" s="203" t="s">
        <v>266</v>
      </c>
      <c r="AE26" s="203" t="s">
        <v>266</v>
      </c>
      <c r="AF26" s="203" t="s">
        <v>266</v>
      </c>
      <c r="AH26">
        <v>1</v>
      </c>
      <c r="AI26">
        <v>5</v>
      </c>
    </row>
    <row r="27" spans="1:35" x14ac:dyDescent="0.25">
      <c r="A27" s="279" t="s">
        <v>266</v>
      </c>
      <c r="B27" s="279" t="s">
        <v>280</v>
      </c>
      <c r="C27" s="279"/>
      <c r="D27" s="279"/>
      <c r="E27" s="279"/>
      <c r="F27" s="203" t="s">
        <v>266</v>
      </c>
      <c r="G27" s="203" t="s">
        <v>266</v>
      </c>
      <c r="H27" s="203" t="s">
        <v>266</v>
      </c>
      <c r="J27" s="203" t="s">
        <v>266</v>
      </c>
      <c r="K27" s="203" t="s">
        <v>266</v>
      </c>
      <c r="L27" s="203" t="s">
        <v>266</v>
      </c>
      <c r="M27" s="203" t="s">
        <v>266</v>
      </c>
      <c r="N27" s="203" t="s">
        <v>266</v>
      </c>
      <c r="O27" s="203" t="s">
        <v>266</v>
      </c>
      <c r="P27" s="203" t="s">
        <v>266</v>
      </c>
      <c r="R27" s="203" t="s">
        <v>266</v>
      </c>
      <c r="S27" s="203" t="s">
        <v>266</v>
      </c>
      <c r="T27" s="203" t="s">
        <v>266</v>
      </c>
      <c r="U27" s="203" t="s">
        <v>266</v>
      </c>
      <c r="V27" s="203" t="s">
        <v>266</v>
      </c>
      <c r="W27" s="203" t="s">
        <v>266</v>
      </c>
      <c r="X27" s="203" t="s">
        <v>266</v>
      </c>
      <c r="Z27" s="203" t="s">
        <v>266</v>
      </c>
      <c r="AA27" s="203" t="s">
        <v>266</v>
      </c>
      <c r="AB27" s="203" t="s">
        <v>266</v>
      </c>
      <c r="AC27" s="203" t="s">
        <v>266</v>
      </c>
      <c r="AD27" s="203" t="s">
        <v>266</v>
      </c>
      <c r="AE27" s="203" t="s">
        <v>266</v>
      </c>
      <c r="AF27" s="203" t="s">
        <v>266</v>
      </c>
      <c r="AH27">
        <v>1</v>
      </c>
      <c r="AI27">
        <v>5</v>
      </c>
    </row>
    <row r="28" spans="1:35" x14ac:dyDescent="0.25">
      <c r="A28" s="279" t="s">
        <v>266</v>
      </c>
      <c r="B28" s="279" t="s">
        <v>280</v>
      </c>
      <c r="C28" s="279"/>
      <c r="D28" s="279"/>
      <c r="E28" s="279"/>
      <c r="F28" s="203" t="s">
        <v>266</v>
      </c>
      <c r="G28" s="203" t="s">
        <v>266</v>
      </c>
      <c r="H28" s="203" t="s">
        <v>266</v>
      </c>
      <c r="J28" s="203" t="s">
        <v>266</v>
      </c>
      <c r="K28" s="203" t="s">
        <v>266</v>
      </c>
      <c r="L28" s="203" t="s">
        <v>266</v>
      </c>
      <c r="M28" s="203" t="s">
        <v>266</v>
      </c>
      <c r="N28" s="203" t="s">
        <v>266</v>
      </c>
      <c r="O28" s="203" t="s">
        <v>266</v>
      </c>
      <c r="P28" s="203" t="s">
        <v>266</v>
      </c>
      <c r="R28" s="203" t="s">
        <v>266</v>
      </c>
      <c r="S28" s="203" t="s">
        <v>266</v>
      </c>
      <c r="T28" s="203" t="s">
        <v>266</v>
      </c>
      <c r="U28" s="203" t="s">
        <v>266</v>
      </c>
      <c r="V28" s="203" t="s">
        <v>266</v>
      </c>
      <c r="W28" s="203" t="s">
        <v>266</v>
      </c>
      <c r="X28" s="203" t="s">
        <v>266</v>
      </c>
      <c r="Z28" s="203" t="s">
        <v>266</v>
      </c>
      <c r="AA28" s="203" t="s">
        <v>266</v>
      </c>
      <c r="AB28" s="203" t="s">
        <v>266</v>
      </c>
      <c r="AC28" s="203" t="s">
        <v>266</v>
      </c>
      <c r="AD28" s="203" t="s">
        <v>266</v>
      </c>
      <c r="AE28" s="203" t="s">
        <v>266</v>
      </c>
      <c r="AF28" s="203" t="s">
        <v>266</v>
      </c>
      <c r="AH28">
        <v>1</v>
      </c>
      <c r="AI28">
        <v>5</v>
      </c>
    </row>
    <row r="29" spans="1:35" x14ac:dyDescent="0.25">
      <c r="A29" s="279" t="s">
        <v>266</v>
      </c>
      <c r="B29" s="279" t="s">
        <v>280</v>
      </c>
      <c r="C29" s="279"/>
      <c r="D29" s="279"/>
      <c r="E29" s="279"/>
      <c r="F29" s="203" t="s">
        <v>266</v>
      </c>
      <c r="G29" s="203" t="s">
        <v>266</v>
      </c>
      <c r="H29" s="203" t="s">
        <v>266</v>
      </c>
      <c r="J29" s="203" t="s">
        <v>266</v>
      </c>
      <c r="K29" s="203" t="s">
        <v>266</v>
      </c>
      <c r="L29" s="203" t="s">
        <v>266</v>
      </c>
      <c r="M29" s="203" t="s">
        <v>266</v>
      </c>
      <c r="N29" s="203" t="s">
        <v>266</v>
      </c>
      <c r="O29" s="203" t="s">
        <v>266</v>
      </c>
      <c r="P29" s="203" t="s">
        <v>266</v>
      </c>
      <c r="R29" s="203" t="s">
        <v>266</v>
      </c>
      <c r="S29" s="203" t="s">
        <v>266</v>
      </c>
      <c r="T29" s="203" t="s">
        <v>266</v>
      </c>
      <c r="U29" s="203" t="s">
        <v>266</v>
      </c>
      <c r="V29" s="203" t="s">
        <v>266</v>
      </c>
      <c r="W29" s="203" t="s">
        <v>266</v>
      </c>
      <c r="X29" s="203" t="s">
        <v>266</v>
      </c>
      <c r="Z29" s="203" t="s">
        <v>266</v>
      </c>
      <c r="AA29" s="203" t="s">
        <v>266</v>
      </c>
      <c r="AB29" s="203" t="s">
        <v>266</v>
      </c>
      <c r="AC29" s="203" t="s">
        <v>266</v>
      </c>
      <c r="AD29" s="203" t="s">
        <v>266</v>
      </c>
      <c r="AE29" s="203" t="s">
        <v>266</v>
      </c>
      <c r="AF29" s="203" t="s">
        <v>266</v>
      </c>
      <c r="AH29">
        <v>1</v>
      </c>
      <c r="AI29">
        <v>5</v>
      </c>
    </row>
    <row r="30" spans="1:35" x14ac:dyDescent="0.25">
      <c r="A30" s="279" t="s">
        <v>266</v>
      </c>
      <c r="B30" s="279" t="s">
        <v>280</v>
      </c>
      <c r="C30" s="279"/>
      <c r="D30" s="279"/>
      <c r="E30" s="279"/>
      <c r="F30" s="203" t="s">
        <v>266</v>
      </c>
      <c r="G30" s="203" t="s">
        <v>266</v>
      </c>
      <c r="H30" s="203" t="s">
        <v>266</v>
      </c>
      <c r="J30" s="203" t="s">
        <v>266</v>
      </c>
      <c r="K30" s="203" t="s">
        <v>266</v>
      </c>
      <c r="L30" s="203" t="s">
        <v>266</v>
      </c>
      <c r="M30" s="203" t="s">
        <v>266</v>
      </c>
      <c r="N30" s="203" t="s">
        <v>266</v>
      </c>
      <c r="O30" s="203" t="s">
        <v>266</v>
      </c>
      <c r="P30" s="203" t="s">
        <v>266</v>
      </c>
      <c r="R30" s="203" t="s">
        <v>266</v>
      </c>
      <c r="S30" s="203" t="s">
        <v>266</v>
      </c>
      <c r="T30" s="203" t="s">
        <v>266</v>
      </c>
      <c r="U30" s="203" t="s">
        <v>266</v>
      </c>
      <c r="V30" s="203" t="s">
        <v>266</v>
      </c>
      <c r="W30" s="203" t="s">
        <v>266</v>
      </c>
      <c r="X30" s="203" t="s">
        <v>266</v>
      </c>
      <c r="Z30" s="203" t="s">
        <v>266</v>
      </c>
      <c r="AA30" s="203" t="s">
        <v>266</v>
      </c>
      <c r="AB30" s="203" t="s">
        <v>266</v>
      </c>
      <c r="AC30" s="203" t="s">
        <v>266</v>
      </c>
      <c r="AD30" s="203" t="s">
        <v>266</v>
      </c>
      <c r="AE30" s="203" t="s">
        <v>266</v>
      </c>
      <c r="AF30" s="203" t="s">
        <v>266</v>
      </c>
      <c r="AH30">
        <v>1</v>
      </c>
      <c r="AI30">
        <v>5</v>
      </c>
    </row>
    <row r="31" spans="1:35" x14ac:dyDescent="0.25">
      <c r="A31" s="279" t="s">
        <v>266</v>
      </c>
      <c r="B31" s="279" t="s">
        <v>280</v>
      </c>
      <c r="C31" s="279"/>
      <c r="D31" s="279"/>
      <c r="E31" s="279"/>
      <c r="F31" s="203" t="s">
        <v>266</v>
      </c>
      <c r="G31" s="203" t="s">
        <v>266</v>
      </c>
      <c r="H31" s="203" t="s">
        <v>266</v>
      </c>
      <c r="J31" s="203" t="s">
        <v>266</v>
      </c>
      <c r="K31" s="203" t="s">
        <v>266</v>
      </c>
      <c r="L31" s="203" t="s">
        <v>266</v>
      </c>
      <c r="M31" s="203" t="s">
        <v>266</v>
      </c>
      <c r="N31" s="203" t="s">
        <v>266</v>
      </c>
      <c r="O31" s="203" t="s">
        <v>266</v>
      </c>
      <c r="P31" s="203" t="s">
        <v>266</v>
      </c>
      <c r="R31" s="203" t="s">
        <v>266</v>
      </c>
      <c r="S31" s="203" t="s">
        <v>266</v>
      </c>
      <c r="T31" s="203" t="s">
        <v>266</v>
      </c>
      <c r="U31" s="203" t="s">
        <v>266</v>
      </c>
      <c r="V31" s="203" t="s">
        <v>266</v>
      </c>
      <c r="W31" s="203" t="s">
        <v>266</v>
      </c>
      <c r="X31" s="203" t="s">
        <v>266</v>
      </c>
      <c r="Z31" s="203" t="s">
        <v>266</v>
      </c>
      <c r="AA31" s="203" t="s">
        <v>266</v>
      </c>
      <c r="AB31" s="203" t="s">
        <v>266</v>
      </c>
      <c r="AC31" s="203" t="s">
        <v>266</v>
      </c>
      <c r="AD31" s="203" t="s">
        <v>266</v>
      </c>
      <c r="AE31" s="203" t="s">
        <v>266</v>
      </c>
      <c r="AF31" s="203" t="s">
        <v>266</v>
      </c>
      <c r="AH31">
        <v>1</v>
      </c>
      <c r="AI31">
        <v>5</v>
      </c>
    </row>
    <row r="32" spans="1:35" x14ac:dyDescent="0.25">
      <c r="A32" s="279" t="s">
        <v>266</v>
      </c>
      <c r="B32" s="279" t="s">
        <v>280</v>
      </c>
      <c r="C32" s="279"/>
      <c r="D32" s="279"/>
      <c r="E32" s="279"/>
      <c r="F32" s="203" t="s">
        <v>266</v>
      </c>
      <c r="G32" s="203" t="s">
        <v>266</v>
      </c>
      <c r="H32" s="203" t="s">
        <v>266</v>
      </c>
      <c r="J32" s="203" t="s">
        <v>266</v>
      </c>
      <c r="K32" s="203" t="s">
        <v>266</v>
      </c>
      <c r="L32" s="203" t="s">
        <v>266</v>
      </c>
      <c r="M32" s="203" t="s">
        <v>266</v>
      </c>
      <c r="N32" s="203" t="s">
        <v>266</v>
      </c>
      <c r="O32" s="203" t="s">
        <v>266</v>
      </c>
      <c r="P32" s="203" t="s">
        <v>266</v>
      </c>
      <c r="R32" s="203" t="s">
        <v>266</v>
      </c>
      <c r="S32" s="203" t="s">
        <v>266</v>
      </c>
      <c r="T32" s="203" t="s">
        <v>266</v>
      </c>
      <c r="U32" s="203" t="s">
        <v>266</v>
      </c>
      <c r="V32" s="203" t="s">
        <v>266</v>
      </c>
      <c r="W32" s="203" t="s">
        <v>266</v>
      </c>
      <c r="X32" s="203" t="s">
        <v>266</v>
      </c>
      <c r="Z32" s="203" t="s">
        <v>266</v>
      </c>
      <c r="AA32" s="203" t="s">
        <v>266</v>
      </c>
      <c r="AB32" s="203" t="s">
        <v>266</v>
      </c>
      <c r="AC32" s="203" t="s">
        <v>266</v>
      </c>
      <c r="AD32" s="203" t="s">
        <v>266</v>
      </c>
      <c r="AE32" s="203" t="s">
        <v>266</v>
      </c>
      <c r="AF32" s="203" t="s">
        <v>266</v>
      </c>
      <c r="AH32">
        <v>1</v>
      </c>
      <c r="AI32">
        <v>5</v>
      </c>
    </row>
    <row r="33" spans="1:35" x14ac:dyDescent="0.25">
      <c r="A33" s="279" t="s">
        <v>266</v>
      </c>
      <c r="B33" s="279" t="s">
        <v>280</v>
      </c>
      <c r="C33" s="279"/>
      <c r="D33" s="279"/>
      <c r="E33" s="279"/>
      <c r="F33" s="203" t="s">
        <v>266</v>
      </c>
      <c r="G33" s="203" t="s">
        <v>266</v>
      </c>
      <c r="H33" s="203" t="s">
        <v>266</v>
      </c>
      <c r="J33" s="203" t="s">
        <v>266</v>
      </c>
      <c r="K33" s="203" t="s">
        <v>266</v>
      </c>
      <c r="L33" s="203" t="s">
        <v>266</v>
      </c>
      <c r="M33" s="203" t="s">
        <v>266</v>
      </c>
      <c r="N33" s="203" t="s">
        <v>266</v>
      </c>
      <c r="O33" s="203" t="s">
        <v>266</v>
      </c>
      <c r="P33" s="203" t="s">
        <v>266</v>
      </c>
      <c r="R33" s="203" t="s">
        <v>266</v>
      </c>
      <c r="S33" s="203" t="s">
        <v>266</v>
      </c>
      <c r="T33" s="203" t="s">
        <v>266</v>
      </c>
      <c r="U33" s="203" t="s">
        <v>266</v>
      </c>
      <c r="V33" s="203" t="s">
        <v>266</v>
      </c>
      <c r="W33" s="203" t="s">
        <v>266</v>
      </c>
      <c r="X33" s="203" t="s">
        <v>266</v>
      </c>
      <c r="Z33" s="203" t="s">
        <v>266</v>
      </c>
      <c r="AA33" s="203" t="s">
        <v>266</v>
      </c>
      <c r="AB33" s="203" t="s">
        <v>266</v>
      </c>
      <c r="AC33" s="203" t="s">
        <v>266</v>
      </c>
      <c r="AD33" s="203" t="s">
        <v>266</v>
      </c>
      <c r="AE33" s="203" t="s">
        <v>266</v>
      </c>
      <c r="AF33" s="203" t="s">
        <v>266</v>
      </c>
      <c r="AH33">
        <v>1</v>
      </c>
      <c r="AI33">
        <v>5</v>
      </c>
    </row>
    <row r="34" spans="1:35" x14ac:dyDescent="0.25">
      <c r="A34" s="279" t="s">
        <v>266</v>
      </c>
      <c r="B34" s="279" t="s">
        <v>280</v>
      </c>
      <c r="C34" s="279"/>
      <c r="D34" s="279"/>
      <c r="E34" s="279"/>
      <c r="F34" s="203" t="s">
        <v>266</v>
      </c>
      <c r="G34" s="203" t="s">
        <v>266</v>
      </c>
      <c r="H34" s="203" t="s">
        <v>266</v>
      </c>
      <c r="J34" s="203" t="s">
        <v>266</v>
      </c>
      <c r="K34" s="203" t="s">
        <v>266</v>
      </c>
      <c r="L34" s="203" t="s">
        <v>266</v>
      </c>
      <c r="M34" s="203" t="s">
        <v>266</v>
      </c>
      <c r="N34" s="203" t="s">
        <v>266</v>
      </c>
      <c r="O34" s="203" t="s">
        <v>266</v>
      </c>
      <c r="P34" s="203" t="s">
        <v>266</v>
      </c>
      <c r="R34" s="203" t="s">
        <v>266</v>
      </c>
      <c r="S34" s="203" t="s">
        <v>266</v>
      </c>
      <c r="T34" s="203" t="s">
        <v>266</v>
      </c>
      <c r="U34" s="203" t="s">
        <v>266</v>
      </c>
      <c r="V34" s="203" t="s">
        <v>266</v>
      </c>
      <c r="W34" s="203" t="s">
        <v>266</v>
      </c>
      <c r="X34" s="203" t="s">
        <v>266</v>
      </c>
      <c r="Z34" s="203" t="s">
        <v>266</v>
      </c>
      <c r="AA34" s="203" t="s">
        <v>266</v>
      </c>
      <c r="AB34" s="203" t="s">
        <v>266</v>
      </c>
      <c r="AC34" s="203" t="s">
        <v>266</v>
      </c>
      <c r="AD34" s="203" t="s">
        <v>266</v>
      </c>
      <c r="AE34" s="203" t="s">
        <v>266</v>
      </c>
      <c r="AF34" s="203" t="s">
        <v>266</v>
      </c>
      <c r="AH34">
        <v>1</v>
      </c>
      <c r="AI34">
        <v>5</v>
      </c>
    </row>
    <row r="35" spans="1:35" x14ac:dyDescent="0.25">
      <c r="A35" s="279" t="s">
        <v>266</v>
      </c>
      <c r="B35" s="279" t="s">
        <v>280</v>
      </c>
      <c r="C35" s="279"/>
      <c r="D35" s="279"/>
      <c r="E35" s="279"/>
      <c r="F35" s="203" t="s">
        <v>266</v>
      </c>
      <c r="G35" s="203" t="s">
        <v>266</v>
      </c>
      <c r="H35" s="203" t="s">
        <v>266</v>
      </c>
      <c r="J35" s="203" t="s">
        <v>266</v>
      </c>
      <c r="K35" s="203" t="s">
        <v>266</v>
      </c>
      <c r="L35" s="203" t="s">
        <v>266</v>
      </c>
      <c r="M35" s="203" t="s">
        <v>266</v>
      </c>
      <c r="N35" s="203" t="s">
        <v>266</v>
      </c>
      <c r="O35" s="203" t="s">
        <v>266</v>
      </c>
      <c r="P35" s="203" t="s">
        <v>266</v>
      </c>
      <c r="R35" s="203" t="s">
        <v>266</v>
      </c>
      <c r="S35" s="203" t="s">
        <v>266</v>
      </c>
      <c r="T35" s="203" t="s">
        <v>266</v>
      </c>
      <c r="U35" s="203" t="s">
        <v>266</v>
      </c>
      <c r="V35" s="203" t="s">
        <v>266</v>
      </c>
      <c r="W35" s="203" t="s">
        <v>266</v>
      </c>
      <c r="X35" s="203" t="s">
        <v>266</v>
      </c>
      <c r="Z35" s="203" t="s">
        <v>266</v>
      </c>
      <c r="AA35" s="203" t="s">
        <v>266</v>
      </c>
      <c r="AB35" s="203" t="s">
        <v>266</v>
      </c>
      <c r="AC35" s="203" t="s">
        <v>266</v>
      </c>
      <c r="AD35" s="203" t="s">
        <v>266</v>
      </c>
      <c r="AE35" s="203" t="s">
        <v>266</v>
      </c>
      <c r="AF35" s="203" t="s">
        <v>266</v>
      </c>
      <c r="AH35">
        <v>1</v>
      </c>
      <c r="AI35">
        <v>5</v>
      </c>
    </row>
    <row r="36" spans="1:35" x14ac:dyDescent="0.25">
      <c r="A36" s="279" t="s">
        <v>266</v>
      </c>
      <c r="B36" s="279" t="s">
        <v>280</v>
      </c>
      <c r="C36" s="279"/>
      <c r="D36" s="279"/>
      <c r="E36" s="279"/>
      <c r="F36" s="203" t="s">
        <v>266</v>
      </c>
      <c r="G36" s="203" t="s">
        <v>266</v>
      </c>
      <c r="H36" s="203" t="s">
        <v>266</v>
      </c>
      <c r="J36" s="203" t="s">
        <v>266</v>
      </c>
      <c r="K36" s="203" t="s">
        <v>266</v>
      </c>
      <c r="L36" s="203" t="s">
        <v>266</v>
      </c>
      <c r="M36" s="203" t="s">
        <v>266</v>
      </c>
      <c r="N36" s="203" t="s">
        <v>266</v>
      </c>
      <c r="O36" s="203" t="s">
        <v>266</v>
      </c>
      <c r="P36" s="203" t="s">
        <v>266</v>
      </c>
      <c r="R36" s="203" t="s">
        <v>266</v>
      </c>
      <c r="S36" s="203" t="s">
        <v>266</v>
      </c>
      <c r="T36" s="203" t="s">
        <v>266</v>
      </c>
      <c r="U36" s="203" t="s">
        <v>266</v>
      </c>
      <c r="V36" s="203" t="s">
        <v>266</v>
      </c>
      <c r="W36" s="203" t="s">
        <v>266</v>
      </c>
      <c r="X36" s="203" t="s">
        <v>266</v>
      </c>
      <c r="Z36" s="203" t="s">
        <v>266</v>
      </c>
      <c r="AA36" s="203" t="s">
        <v>266</v>
      </c>
      <c r="AB36" s="203" t="s">
        <v>266</v>
      </c>
      <c r="AC36" s="203" t="s">
        <v>266</v>
      </c>
      <c r="AD36" s="203" t="s">
        <v>266</v>
      </c>
      <c r="AE36" s="203" t="s">
        <v>266</v>
      </c>
      <c r="AF36" s="203" t="s">
        <v>266</v>
      </c>
      <c r="AH36">
        <v>1</v>
      </c>
      <c r="AI36">
        <v>5</v>
      </c>
    </row>
    <row r="37" spans="1:35" x14ac:dyDescent="0.25">
      <c r="A37" s="279" t="s">
        <v>266</v>
      </c>
      <c r="B37" s="279" t="s">
        <v>280</v>
      </c>
      <c r="C37" s="279"/>
      <c r="D37" s="279"/>
      <c r="E37" s="279"/>
      <c r="F37" s="203" t="s">
        <v>266</v>
      </c>
      <c r="G37" s="203" t="s">
        <v>266</v>
      </c>
      <c r="H37" s="203" t="s">
        <v>266</v>
      </c>
      <c r="J37" s="203" t="s">
        <v>266</v>
      </c>
      <c r="K37" s="203" t="s">
        <v>266</v>
      </c>
      <c r="L37" s="203" t="s">
        <v>266</v>
      </c>
      <c r="M37" s="203" t="s">
        <v>266</v>
      </c>
      <c r="N37" s="203" t="s">
        <v>266</v>
      </c>
      <c r="O37" s="203" t="s">
        <v>266</v>
      </c>
      <c r="P37" s="203" t="s">
        <v>266</v>
      </c>
      <c r="R37" s="203" t="s">
        <v>266</v>
      </c>
      <c r="S37" s="203" t="s">
        <v>266</v>
      </c>
      <c r="T37" s="203" t="s">
        <v>266</v>
      </c>
      <c r="U37" s="203" t="s">
        <v>266</v>
      </c>
      <c r="V37" s="203" t="s">
        <v>266</v>
      </c>
      <c r="W37" s="203" t="s">
        <v>266</v>
      </c>
      <c r="X37" s="203" t="s">
        <v>266</v>
      </c>
      <c r="Z37" s="203" t="s">
        <v>266</v>
      </c>
      <c r="AA37" s="203" t="s">
        <v>266</v>
      </c>
      <c r="AB37" s="203" t="s">
        <v>266</v>
      </c>
      <c r="AC37" s="203" t="s">
        <v>266</v>
      </c>
      <c r="AD37" s="203" t="s">
        <v>266</v>
      </c>
      <c r="AE37" s="203" t="s">
        <v>266</v>
      </c>
      <c r="AF37" s="203" t="s">
        <v>266</v>
      </c>
      <c r="AH37">
        <v>1</v>
      </c>
      <c r="AI37">
        <v>5</v>
      </c>
    </row>
    <row r="38" spans="1:35" x14ac:dyDescent="0.25">
      <c r="A38" s="279" t="s">
        <v>266</v>
      </c>
      <c r="B38" s="279" t="s">
        <v>280</v>
      </c>
      <c r="C38" s="279"/>
      <c r="D38" s="279"/>
      <c r="E38" s="279"/>
      <c r="F38" s="203" t="s">
        <v>266</v>
      </c>
      <c r="G38" s="203" t="s">
        <v>266</v>
      </c>
      <c r="H38" s="203" t="s">
        <v>266</v>
      </c>
      <c r="J38" s="203" t="s">
        <v>266</v>
      </c>
      <c r="K38" s="203" t="s">
        <v>266</v>
      </c>
      <c r="L38" s="203" t="s">
        <v>266</v>
      </c>
      <c r="M38" s="203" t="s">
        <v>266</v>
      </c>
      <c r="N38" s="203" t="s">
        <v>266</v>
      </c>
      <c r="O38" s="203" t="s">
        <v>266</v>
      </c>
      <c r="P38" s="203" t="s">
        <v>266</v>
      </c>
      <c r="R38" s="203" t="s">
        <v>266</v>
      </c>
      <c r="S38" s="203" t="s">
        <v>266</v>
      </c>
      <c r="T38" s="203" t="s">
        <v>266</v>
      </c>
      <c r="U38" s="203" t="s">
        <v>266</v>
      </c>
      <c r="V38" s="203" t="s">
        <v>266</v>
      </c>
      <c r="W38" s="203" t="s">
        <v>266</v>
      </c>
      <c r="X38" s="203" t="s">
        <v>266</v>
      </c>
      <c r="Z38" s="203" t="s">
        <v>266</v>
      </c>
      <c r="AA38" s="203" t="s">
        <v>266</v>
      </c>
      <c r="AB38" s="203" t="s">
        <v>266</v>
      </c>
      <c r="AC38" s="203" t="s">
        <v>266</v>
      </c>
      <c r="AD38" s="203" t="s">
        <v>266</v>
      </c>
      <c r="AE38" s="203" t="s">
        <v>266</v>
      </c>
      <c r="AF38" s="203" t="s">
        <v>266</v>
      </c>
      <c r="AH38">
        <v>1</v>
      </c>
      <c r="AI38">
        <v>5</v>
      </c>
    </row>
    <row r="39" spans="1:35" x14ac:dyDescent="0.25">
      <c r="A39" s="279" t="s">
        <v>266</v>
      </c>
      <c r="B39" s="279" t="s">
        <v>280</v>
      </c>
      <c r="C39" s="279"/>
      <c r="D39" s="279"/>
      <c r="E39" s="279"/>
      <c r="F39" s="203" t="s">
        <v>266</v>
      </c>
      <c r="G39" s="203" t="s">
        <v>266</v>
      </c>
      <c r="H39" s="203" t="s">
        <v>266</v>
      </c>
      <c r="J39" s="203" t="s">
        <v>266</v>
      </c>
      <c r="K39" s="203" t="s">
        <v>266</v>
      </c>
      <c r="L39" s="203" t="s">
        <v>266</v>
      </c>
      <c r="M39" s="203" t="s">
        <v>266</v>
      </c>
      <c r="N39" s="203" t="s">
        <v>266</v>
      </c>
      <c r="O39" s="203" t="s">
        <v>266</v>
      </c>
      <c r="P39" s="203" t="s">
        <v>266</v>
      </c>
      <c r="R39" s="203" t="s">
        <v>266</v>
      </c>
      <c r="S39" s="203" t="s">
        <v>266</v>
      </c>
      <c r="T39" s="203" t="s">
        <v>266</v>
      </c>
      <c r="U39" s="203" t="s">
        <v>266</v>
      </c>
      <c r="V39" s="203" t="s">
        <v>266</v>
      </c>
      <c r="W39" s="203" t="s">
        <v>266</v>
      </c>
      <c r="X39" s="203" t="s">
        <v>266</v>
      </c>
      <c r="Z39" s="203" t="s">
        <v>266</v>
      </c>
      <c r="AA39" s="203" t="s">
        <v>266</v>
      </c>
      <c r="AB39" s="203" t="s">
        <v>266</v>
      </c>
      <c r="AC39" s="203" t="s">
        <v>266</v>
      </c>
      <c r="AD39" s="203" t="s">
        <v>266</v>
      </c>
      <c r="AE39" s="203" t="s">
        <v>266</v>
      </c>
      <c r="AF39" s="203" t="s">
        <v>266</v>
      </c>
      <c r="AH39">
        <v>1</v>
      </c>
      <c r="AI39">
        <v>5</v>
      </c>
    </row>
    <row r="40" spans="1:35" x14ac:dyDescent="0.25">
      <c r="A40" s="279" t="s">
        <v>266</v>
      </c>
      <c r="B40" s="279" t="s">
        <v>280</v>
      </c>
      <c r="C40" s="279"/>
      <c r="D40" s="279"/>
      <c r="E40" s="279"/>
      <c r="F40" s="203" t="s">
        <v>266</v>
      </c>
      <c r="G40" s="203" t="s">
        <v>266</v>
      </c>
      <c r="H40" s="203" t="s">
        <v>266</v>
      </c>
      <c r="J40" s="203" t="s">
        <v>266</v>
      </c>
      <c r="K40" s="203" t="s">
        <v>266</v>
      </c>
      <c r="L40" s="203" t="s">
        <v>266</v>
      </c>
      <c r="M40" s="203" t="s">
        <v>266</v>
      </c>
      <c r="N40" s="203" t="s">
        <v>266</v>
      </c>
      <c r="O40" s="203" t="s">
        <v>266</v>
      </c>
      <c r="P40" s="203" t="s">
        <v>266</v>
      </c>
      <c r="R40" s="203" t="s">
        <v>266</v>
      </c>
      <c r="S40" s="203" t="s">
        <v>266</v>
      </c>
      <c r="T40" s="203" t="s">
        <v>266</v>
      </c>
      <c r="U40" s="203" t="s">
        <v>266</v>
      </c>
      <c r="V40" s="203" t="s">
        <v>266</v>
      </c>
      <c r="W40" s="203" t="s">
        <v>266</v>
      </c>
      <c r="X40" s="203" t="s">
        <v>266</v>
      </c>
      <c r="Z40" s="203" t="s">
        <v>266</v>
      </c>
      <c r="AA40" s="203" t="s">
        <v>266</v>
      </c>
      <c r="AB40" s="203" t="s">
        <v>266</v>
      </c>
      <c r="AC40" s="203" t="s">
        <v>266</v>
      </c>
      <c r="AD40" s="203" t="s">
        <v>266</v>
      </c>
      <c r="AE40" s="203" t="s">
        <v>266</v>
      </c>
      <c r="AF40" s="203" t="s">
        <v>266</v>
      </c>
      <c r="AH40">
        <v>1</v>
      </c>
      <c r="AI40">
        <v>5</v>
      </c>
    </row>
    <row r="41" spans="1:35" x14ac:dyDescent="0.25">
      <c r="A41" s="279" t="s">
        <v>266</v>
      </c>
      <c r="B41" s="279" t="s">
        <v>280</v>
      </c>
      <c r="C41" s="279"/>
      <c r="D41" s="279"/>
      <c r="E41" s="279"/>
      <c r="F41" s="203" t="s">
        <v>266</v>
      </c>
      <c r="G41" s="203" t="s">
        <v>266</v>
      </c>
      <c r="H41" s="203" t="s">
        <v>266</v>
      </c>
      <c r="J41" s="203" t="s">
        <v>266</v>
      </c>
      <c r="K41" s="203" t="s">
        <v>266</v>
      </c>
      <c r="L41" s="203" t="s">
        <v>266</v>
      </c>
      <c r="M41" s="203" t="s">
        <v>266</v>
      </c>
      <c r="N41" s="203" t="s">
        <v>266</v>
      </c>
      <c r="O41" s="203" t="s">
        <v>266</v>
      </c>
      <c r="P41" s="203" t="s">
        <v>266</v>
      </c>
      <c r="R41" s="203" t="s">
        <v>266</v>
      </c>
      <c r="S41" s="203" t="s">
        <v>266</v>
      </c>
      <c r="T41" s="203" t="s">
        <v>266</v>
      </c>
      <c r="U41" s="203" t="s">
        <v>266</v>
      </c>
      <c r="V41" s="203" t="s">
        <v>266</v>
      </c>
      <c r="W41" s="203" t="s">
        <v>266</v>
      </c>
      <c r="X41" s="203" t="s">
        <v>266</v>
      </c>
      <c r="Z41" s="203" t="s">
        <v>266</v>
      </c>
      <c r="AA41" s="203" t="s">
        <v>266</v>
      </c>
      <c r="AB41" s="203" t="s">
        <v>266</v>
      </c>
      <c r="AC41" s="203" t="s">
        <v>266</v>
      </c>
      <c r="AD41" s="203" t="s">
        <v>266</v>
      </c>
      <c r="AE41" s="203" t="s">
        <v>266</v>
      </c>
      <c r="AF41" s="203" t="s">
        <v>266</v>
      </c>
      <c r="AH41">
        <v>1</v>
      </c>
      <c r="AI41">
        <v>5</v>
      </c>
    </row>
    <row r="42" spans="1:35" x14ac:dyDescent="0.25">
      <c r="A42" s="279" t="s">
        <v>266</v>
      </c>
      <c r="B42" s="279" t="s">
        <v>280</v>
      </c>
      <c r="C42" s="279"/>
      <c r="D42" s="279"/>
      <c r="E42" s="279"/>
      <c r="F42" s="203" t="s">
        <v>266</v>
      </c>
      <c r="G42" s="203" t="s">
        <v>266</v>
      </c>
      <c r="H42" s="203" t="s">
        <v>266</v>
      </c>
      <c r="J42" s="203" t="s">
        <v>266</v>
      </c>
      <c r="K42" s="203" t="s">
        <v>266</v>
      </c>
      <c r="L42" s="203" t="s">
        <v>266</v>
      </c>
      <c r="M42" s="203" t="s">
        <v>266</v>
      </c>
      <c r="N42" s="203" t="s">
        <v>266</v>
      </c>
      <c r="O42" s="203" t="s">
        <v>266</v>
      </c>
      <c r="P42" s="203" t="s">
        <v>266</v>
      </c>
      <c r="R42" s="203" t="s">
        <v>266</v>
      </c>
      <c r="S42" s="203" t="s">
        <v>266</v>
      </c>
      <c r="T42" s="203" t="s">
        <v>266</v>
      </c>
      <c r="U42" s="203" t="s">
        <v>266</v>
      </c>
      <c r="V42" s="203" t="s">
        <v>266</v>
      </c>
      <c r="W42" s="203" t="s">
        <v>266</v>
      </c>
      <c r="X42" s="203" t="s">
        <v>266</v>
      </c>
      <c r="Z42" s="203" t="s">
        <v>266</v>
      </c>
      <c r="AA42" s="203" t="s">
        <v>266</v>
      </c>
      <c r="AB42" s="203" t="s">
        <v>266</v>
      </c>
      <c r="AC42" s="203" t="s">
        <v>266</v>
      </c>
      <c r="AD42" s="203" t="s">
        <v>266</v>
      </c>
      <c r="AE42" s="203" t="s">
        <v>266</v>
      </c>
      <c r="AF42" s="203" t="s">
        <v>266</v>
      </c>
      <c r="AH42">
        <v>1</v>
      </c>
      <c r="AI42">
        <v>5</v>
      </c>
    </row>
    <row r="43" spans="1:35" x14ac:dyDescent="0.25">
      <c r="A43" s="279" t="s">
        <v>266</v>
      </c>
      <c r="B43" s="279" t="s">
        <v>280</v>
      </c>
      <c r="C43" s="279"/>
      <c r="D43" s="279"/>
      <c r="E43" s="279"/>
      <c r="F43" s="203" t="s">
        <v>266</v>
      </c>
      <c r="G43" s="203" t="s">
        <v>266</v>
      </c>
      <c r="H43" s="203" t="s">
        <v>266</v>
      </c>
      <c r="J43" s="203" t="s">
        <v>266</v>
      </c>
      <c r="K43" s="203" t="s">
        <v>266</v>
      </c>
      <c r="L43" s="203" t="s">
        <v>266</v>
      </c>
      <c r="M43" s="203" t="s">
        <v>266</v>
      </c>
      <c r="N43" s="203" t="s">
        <v>266</v>
      </c>
      <c r="O43" s="203" t="s">
        <v>266</v>
      </c>
      <c r="P43" s="203" t="s">
        <v>266</v>
      </c>
      <c r="R43" s="203" t="s">
        <v>266</v>
      </c>
      <c r="S43" s="203" t="s">
        <v>266</v>
      </c>
      <c r="T43" s="203" t="s">
        <v>266</v>
      </c>
      <c r="U43" s="203" t="s">
        <v>266</v>
      </c>
      <c r="V43" s="203" t="s">
        <v>266</v>
      </c>
      <c r="W43" s="203" t="s">
        <v>266</v>
      </c>
      <c r="X43" s="203" t="s">
        <v>266</v>
      </c>
      <c r="Z43" s="203" t="s">
        <v>266</v>
      </c>
      <c r="AA43" s="203" t="s">
        <v>266</v>
      </c>
      <c r="AB43" s="203" t="s">
        <v>266</v>
      </c>
      <c r="AC43" s="203" t="s">
        <v>266</v>
      </c>
      <c r="AD43" s="203" t="s">
        <v>266</v>
      </c>
      <c r="AE43" s="203" t="s">
        <v>266</v>
      </c>
      <c r="AF43" s="203" t="s">
        <v>266</v>
      </c>
      <c r="AH43">
        <v>1</v>
      </c>
      <c r="AI43">
        <v>5</v>
      </c>
    </row>
    <row r="44" spans="1:35" x14ac:dyDescent="0.25">
      <c r="A44" s="279" t="s">
        <v>266</v>
      </c>
      <c r="B44" s="279" t="s">
        <v>280</v>
      </c>
      <c r="C44" s="279"/>
      <c r="D44" s="279"/>
      <c r="E44" s="279"/>
      <c r="F44" s="203" t="s">
        <v>266</v>
      </c>
      <c r="G44" s="203" t="s">
        <v>266</v>
      </c>
      <c r="H44" s="203" t="s">
        <v>266</v>
      </c>
      <c r="J44" s="203" t="s">
        <v>266</v>
      </c>
      <c r="K44" s="203" t="s">
        <v>266</v>
      </c>
      <c r="L44" s="203" t="s">
        <v>266</v>
      </c>
      <c r="M44" s="203" t="s">
        <v>266</v>
      </c>
      <c r="N44" s="203" t="s">
        <v>266</v>
      </c>
      <c r="O44" s="203" t="s">
        <v>266</v>
      </c>
      <c r="P44" s="203" t="s">
        <v>266</v>
      </c>
      <c r="R44" s="203" t="s">
        <v>266</v>
      </c>
      <c r="S44" s="203" t="s">
        <v>266</v>
      </c>
      <c r="T44" s="203" t="s">
        <v>266</v>
      </c>
      <c r="U44" s="203" t="s">
        <v>266</v>
      </c>
      <c r="V44" s="203" t="s">
        <v>266</v>
      </c>
      <c r="W44" s="203" t="s">
        <v>266</v>
      </c>
      <c r="X44" s="203" t="s">
        <v>266</v>
      </c>
      <c r="Z44" s="203" t="s">
        <v>266</v>
      </c>
      <c r="AA44" s="203" t="s">
        <v>266</v>
      </c>
      <c r="AB44" s="203" t="s">
        <v>266</v>
      </c>
      <c r="AC44" s="203" t="s">
        <v>266</v>
      </c>
      <c r="AD44" s="203" t="s">
        <v>266</v>
      </c>
      <c r="AE44" s="203" t="s">
        <v>266</v>
      </c>
      <c r="AF44" s="203" t="s">
        <v>266</v>
      </c>
      <c r="AH44">
        <v>1</v>
      </c>
      <c r="AI44">
        <v>5</v>
      </c>
    </row>
    <row r="45" spans="1:35" x14ac:dyDescent="0.25">
      <c r="A45" s="279" t="s">
        <v>266</v>
      </c>
      <c r="B45" s="279" t="s">
        <v>280</v>
      </c>
      <c r="C45" s="279"/>
      <c r="D45" s="279"/>
      <c r="E45" s="279"/>
      <c r="F45" s="203" t="s">
        <v>266</v>
      </c>
      <c r="G45" s="203" t="s">
        <v>266</v>
      </c>
      <c r="H45" s="203" t="s">
        <v>266</v>
      </c>
      <c r="J45" s="203" t="s">
        <v>266</v>
      </c>
      <c r="K45" s="203" t="s">
        <v>266</v>
      </c>
      <c r="L45" s="203" t="s">
        <v>266</v>
      </c>
      <c r="M45" s="203" t="s">
        <v>266</v>
      </c>
      <c r="N45" s="203" t="s">
        <v>266</v>
      </c>
      <c r="O45" s="203" t="s">
        <v>266</v>
      </c>
      <c r="P45" s="203" t="s">
        <v>266</v>
      </c>
      <c r="R45" s="203" t="s">
        <v>266</v>
      </c>
      <c r="S45" s="203" t="s">
        <v>266</v>
      </c>
      <c r="T45" s="203" t="s">
        <v>266</v>
      </c>
      <c r="U45" s="203" t="s">
        <v>266</v>
      </c>
      <c r="V45" s="203" t="s">
        <v>266</v>
      </c>
      <c r="W45" s="203" t="s">
        <v>266</v>
      </c>
      <c r="X45" s="203" t="s">
        <v>266</v>
      </c>
      <c r="Z45" s="203" t="s">
        <v>266</v>
      </c>
      <c r="AA45" s="203" t="s">
        <v>266</v>
      </c>
      <c r="AB45" s="203" t="s">
        <v>266</v>
      </c>
      <c r="AC45" s="203" t="s">
        <v>266</v>
      </c>
      <c r="AD45" s="203" t="s">
        <v>266</v>
      </c>
      <c r="AE45" s="203" t="s">
        <v>266</v>
      </c>
      <c r="AF45" s="203" t="s">
        <v>266</v>
      </c>
      <c r="AH45">
        <v>1</v>
      </c>
      <c r="AI45">
        <v>5</v>
      </c>
    </row>
    <row r="46" spans="1:35" x14ac:dyDescent="0.25">
      <c r="A46" s="279" t="s">
        <v>266</v>
      </c>
      <c r="B46" s="279" t="s">
        <v>280</v>
      </c>
      <c r="C46" s="279"/>
      <c r="D46" s="279"/>
      <c r="E46" s="279"/>
      <c r="F46" s="203" t="s">
        <v>266</v>
      </c>
      <c r="G46" s="203" t="s">
        <v>266</v>
      </c>
      <c r="H46" s="203" t="s">
        <v>266</v>
      </c>
      <c r="J46" s="203" t="s">
        <v>266</v>
      </c>
      <c r="K46" s="203" t="s">
        <v>266</v>
      </c>
      <c r="L46" s="203" t="s">
        <v>266</v>
      </c>
      <c r="M46" s="203" t="s">
        <v>266</v>
      </c>
      <c r="N46" s="203" t="s">
        <v>266</v>
      </c>
      <c r="O46" s="203" t="s">
        <v>266</v>
      </c>
      <c r="P46" s="203" t="s">
        <v>266</v>
      </c>
      <c r="R46" s="203" t="s">
        <v>266</v>
      </c>
      <c r="S46" s="203" t="s">
        <v>266</v>
      </c>
      <c r="T46" s="203" t="s">
        <v>266</v>
      </c>
      <c r="U46" s="203" t="s">
        <v>266</v>
      </c>
      <c r="V46" s="203" t="s">
        <v>266</v>
      </c>
      <c r="W46" s="203" t="s">
        <v>266</v>
      </c>
      <c r="X46" s="203" t="s">
        <v>266</v>
      </c>
      <c r="Z46" s="203" t="s">
        <v>266</v>
      </c>
      <c r="AA46" s="203" t="s">
        <v>266</v>
      </c>
      <c r="AB46" s="203" t="s">
        <v>266</v>
      </c>
      <c r="AC46" s="203" t="s">
        <v>266</v>
      </c>
      <c r="AD46" s="203" t="s">
        <v>266</v>
      </c>
      <c r="AE46" s="203" t="s">
        <v>266</v>
      </c>
      <c r="AF46" s="203" t="s">
        <v>266</v>
      </c>
      <c r="AH46">
        <v>1</v>
      </c>
      <c r="AI46">
        <v>5</v>
      </c>
    </row>
    <row r="47" spans="1:35" x14ac:dyDescent="0.25">
      <c r="A47" s="279" t="s">
        <v>266</v>
      </c>
      <c r="B47" s="279" t="s">
        <v>280</v>
      </c>
      <c r="C47" s="279"/>
      <c r="D47" s="279"/>
      <c r="E47" s="279"/>
      <c r="F47" s="203" t="s">
        <v>266</v>
      </c>
      <c r="G47" s="203" t="s">
        <v>266</v>
      </c>
      <c r="H47" s="203" t="s">
        <v>266</v>
      </c>
      <c r="J47" s="203" t="s">
        <v>266</v>
      </c>
      <c r="K47" s="203" t="s">
        <v>266</v>
      </c>
      <c r="L47" s="203" t="s">
        <v>266</v>
      </c>
      <c r="M47" s="203" t="s">
        <v>266</v>
      </c>
      <c r="N47" s="203" t="s">
        <v>266</v>
      </c>
      <c r="O47" s="203" t="s">
        <v>266</v>
      </c>
      <c r="P47" s="203" t="s">
        <v>266</v>
      </c>
      <c r="R47" s="203" t="s">
        <v>266</v>
      </c>
      <c r="S47" s="203" t="s">
        <v>266</v>
      </c>
      <c r="T47" s="203" t="s">
        <v>266</v>
      </c>
      <c r="U47" s="203" t="s">
        <v>266</v>
      </c>
      <c r="V47" s="203" t="s">
        <v>266</v>
      </c>
      <c r="W47" s="203" t="s">
        <v>266</v>
      </c>
      <c r="X47" s="203" t="s">
        <v>266</v>
      </c>
      <c r="Z47" s="203" t="s">
        <v>266</v>
      </c>
      <c r="AA47" s="203" t="s">
        <v>266</v>
      </c>
      <c r="AB47" s="203" t="s">
        <v>266</v>
      </c>
      <c r="AC47" s="203" t="s">
        <v>266</v>
      </c>
      <c r="AD47" s="203" t="s">
        <v>266</v>
      </c>
      <c r="AE47" s="203" t="s">
        <v>266</v>
      </c>
      <c r="AF47" s="203" t="s">
        <v>266</v>
      </c>
      <c r="AH47">
        <v>1</v>
      </c>
      <c r="AI47">
        <v>5</v>
      </c>
    </row>
    <row r="48" spans="1:35" x14ac:dyDescent="0.25">
      <c r="A48" s="279" t="s">
        <v>266</v>
      </c>
      <c r="B48" s="279" t="s">
        <v>280</v>
      </c>
      <c r="C48" s="279"/>
      <c r="D48" s="279"/>
      <c r="E48" s="279"/>
      <c r="F48" s="203" t="s">
        <v>266</v>
      </c>
      <c r="G48" s="203" t="s">
        <v>266</v>
      </c>
      <c r="H48" s="203" t="s">
        <v>266</v>
      </c>
      <c r="J48" s="203" t="s">
        <v>266</v>
      </c>
      <c r="K48" s="203" t="s">
        <v>266</v>
      </c>
      <c r="L48" s="203" t="s">
        <v>266</v>
      </c>
      <c r="M48" s="203" t="s">
        <v>266</v>
      </c>
      <c r="N48" s="203" t="s">
        <v>266</v>
      </c>
      <c r="O48" s="203" t="s">
        <v>266</v>
      </c>
      <c r="P48" s="203" t="s">
        <v>266</v>
      </c>
      <c r="R48" s="203" t="s">
        <v>266</v>
      </c>
      <c r="S48" s="203" t="s">
        <v>266</v>
      </c>
      <c r="T48" s="203" t="s">
        <v>266</v>
      </c>
      <c r="U48" s="203" t="s">
        <v>266</v>
      </c>
      <c r="V48" s="203" t="s">
        <v>266</v>
      </c>
      <c r="W48" s="203" t="s">
        <v>266</v>
      </c>
      <c r="X48" s="203" t="s">
        <v>266</v>
      </c>
      <c r="Z48" s="203" t="s">
        <v>266</v>
      </c>
      <c r="AA48" s="203" t="s">
        <v>266</v>
      </c>
      <c r="AB48" s="203" t="s">
        <v>266</v>
      </c>
      <c r="AC48" s="203" t="s">
        <v>266</v>
      </c>
      <c r="AD48" s="203" t="s">
        <v>266</v>
      </c>
      <c r="AE48" s="203" t="s">
        <v>266</v>
      </c>
      <c r="AF48" s="203" t="s">
        <v>266</v>
      </c>
      <c r="AH48">
        <v>1</v>
      </c>
      <c r="AI48">
        <v>5</v>
      </c>
    </row>
    <row r="49" spans="1:35" x14ac:dyDescent="0.25">
      <c r="A49" s="279" t="s">
        <v>266</v>
      </c>
      <c r="B49" s="279" t="s">
        <v>280</v>
      </c>
      <c r="C49" s="279"/>
      <c r="D49" s="279"/>
      <c r="E49" s="279"/>
      <c r="F49" s="203" t="s">
        <v>266</v>
      </c>
      <c r="G49" s="203" t="s">
        <v>266</v>
      </c>
      <c r="H49" s="203" t="s">
        <v>266</v>
      </c>
      <c r="J49" s="203" t="s">
        <v>266</v>
      </c>
      <c r="K49" s="203" t="s">
        <v>266</v>
      </c>
      <c r="L49" s="203" t="s">
        <v>266</v>
      </c>
      <c r="M49" s="203" t="s">
        <v>266</v>
      </c>
      <c r="N49" s="203" t="s">
        <v>266</v>
      </c>
      <c r="O49" s="203" t="s">
        <v>266</v>
      </c>
      <c r="P49" s="203" t="s">
        <v>266</v>
      </c>
      <c r="R49" s="203" t="s">
        <v>266</v>
      </c>
      <c r="S49" s="203" t="s">
        <v>266</v>
      </c>
      <c r="T49" s="203" t="s">
        <v>266</v>
      </c>
      <c r="U49" s="203" t="s">
        <v>266</v>
      </c>
      <c r="V49" s="203" t="s">
        <v>266</v>
      </c>
      <c r="W49" s="203" t="s">
        <v>266</v>
      </c>
      <c r="X49" s="203" t="s">
        <v>266</v>
      </c>
      <c r="Z49" s="203" t="s">
        <v>266</v>
      </c>
      <c r="AA49" s="203" t="s">
        <v>266</v>
      </c>
      <c r="AB49" s="203" t="s">
        <v>266</v>
      </c>
      <c r="AC49" s="203" t="s">
        <v>266</v>
      </c>
      <c r="AD49" s="203" t="s">
        <v>266</v>
      </c>
      <c r="AE49" s="203" t="s">
        <v>266</v>
      </c>
      <c r="AF49" s="203" t="s">
        <v>266</v>
      </c>
      <c r="AH49">
        <v>1</v>
      </c>
      <c r="AI49">
        <v>5</v>
      </c>
    </row>
    <row r="50" spans="1:35" x14ac:dyDescent="0.25">
      <c r="A50" s="279" t="s">
        <v>266</v>
      </c>
      <c r="B50" s="279" t="s">
        <v>280</v>
      </c>
      <c r="C50" s="279"/>
      <c r="D50" s="279"/>
      <c r="E50" s="279"/>
      <c r="F50" s="203" t="s">
        <v>266</v>
      </c>
      <c r="G50" s="203" t="s">
        <v>266</v>
      </c>
      <c r="H50" s="203" t="s">
        <v>266</v>
      </c>
      <c r="J50" s="203" t="s">
        <v>266</v>
      </c>
      <c r="K50" s="203" t="s">
        <v>266</v>
      </c>
      <c r="L50" s="203" t="s">
        <v>266</v>
      </c>
      <c r="M50" s="203" t="s">
        <v>266</v>
      </c>
      <c r="N50" s="203" t="s">
        <v>266</v>
      </c>
      <c r="O50" s="203" t="s">
        <v>266</v>
      </c>
      <c r="P50" s="203" t="s">
        <v>266</v>
      </c>
      <c r="R50" s="203" t="s">
        <v>266</v>
      </c>
      <c r="S50" s="203" t="s">
        <v>266</v>
      </c>
      <c r="T50" s="203" t="s">
        <v>266</v>
      </c>
      <c r="U50" s="203" t="s">
        <v>266</v>
      </c>
      <c r="V50" s="203" t="s">
        <v>266</v>
      </c>
      <c r="W50" s="203" t="s">
        <v>266</v>
      </c>
      <c r="X50" s="203" t="s">
        <v>266</v>
      </c>
      <c r="Z50" s="203" t="s">
        <v>266</v>
      </c>
      <c r="AA50" s="203" t="s">
        <v>266</v>
      </c>
      <c r="AB50" s="203" t="s">
        <v>266</v>
      </c>
      <c r="AC50" s="203" t="s">
        <v>266</v>
      </c>
      <c r="AD50" s="203" t="s">
        <v>266</v>
      </c>
      <c r="AE50" s="203" t="s">
        <v>266</v>
      </c>
      <c r="AF50" s="203" t="s">
        <v>266</v>
      </c>
      <c r="AH50">
        <v>1</v>
      </c>
      <c r="AI50">
        <v>5</v>
      </c>
    </row>
    <row r="51" spans="1:35" x14ac:dyDescent="0.25">
      <c r="A51" s="279" t="s">
        <v>266</v>
      </c>
      <c r="B51" s="279" t="s">
        <v>280</v>
      </c>
      <c r="C51" s="279"/>
      <c r="D51" s="279"/>
      <c r="E51" s="279"/>
      <c r="F51" s="203" t="s">
        <v>266</v>
      </c>
      <c r="G51" s="203" t="s">
        <v>266</v>
      </c>
      <c r="H51" s="203" t="s">
        <v>266</v>
      </c>
      <c r="J51" s="203" t="s">
        <v>266</v>
      </c>
      <c r="K51" s="203" t="s">
        <v>266</v>
      </c>
      <c r="L51" s="203" t="s">
        <v>266</v>
      </c>
      <c r="M51" s="203" t="s">
        <v>266</v>
      </c>
      <c r="N51" s="203" t="s">
        <v>266</v>
      </c>
      <c r="O51" s="203" t="s">
        <v>266</v>
      </c>
      <c r="P51" s="203" t="s">
        <v>266</v>
      </c>
      <c r="R51" s="203" t="s">
        <v>266</v>
      </c>
      <c r="S51" s="203" t="s">
        <v>266</v>
      </c>
      <c r="T51" s="203" t="s">
        <v>266</v>
      </c>
      <c r="U51" s="203" t="s">
        <v>266</v>
      </c>
      <c r="V51" s="203" t="s">
        <v>266</v>
      </c>
      <c r="W51" s="203" t="s">
        <v>266</v>
      </c>
      <c r="X51" s="203" t="s">
        <v>266</v>
      </c>
      <c r="Z51" s="203" t="s">
        <v>266</v>
      </c>
      <c r="AA51" s="203" t="s">
        <v>266</v>
      </c>
      <c r="AB51" s="203" t="s">
        <v>266</v>
      </c>
      <c r="AC51" s="203" t="s">
        <v>266</v>
      </c>
      <c r="AD51" s="203" t="s">
        <v>266</v>
      </c>
      <c r="AE51" s="203" t="s">
        <v>266</v>
      </c>
      <c r="AF51" s="203" t="s">
        <v>266</v>
      </c>
      <c r="AH51">
        <v>1</v>
      </c>
      <c r="AI51">
        <v>5</v>
      </c>
    </row>
    <row r="52" spans="1:35" x14ac:dyDescent="0.25">
      <c r="A52" s="279" t="s">
        <v>266</v>
      </c>
      <c r="B52" s="279" t="s">
        <v>280</v>
      </c>
      <c r="C52" s="279"/>
      <c r="D52" s="279"/>
      <c r="E52" s="279"/>
      <c r="F52" s="203" t="s">
        <v>266</v>
      </c>
      <c r="G52" s="203" t="s">
        <v>266</v>
      </c>
      <c r="H52" s="203" t="s">
        <v>266</v>
      </c>
      <c r="J52" s="203" t="s">
        <v>266</v>
      </c>
      <c r="K52" s="203" t="s">
        <v>266</v>
      </c>
      <c r="L52" s="203" t="s">
        <v>266</v>
      </c>
      <c r="M52" s="203" t="s">
        <v>266</v>
      </c>
      <c r="N52" s="203" t="s">
        <v>266</v>
      </c>
      <c r="O52" s="203" t="s">
        <v>266</v>
      </c>
      <c r="P52" s="203" t="s">
        <v>266</v>
      </c>
      <c r="R52" s="203" t="s">
        <v>266</v>
      </c>
      <c r="S52" s="203" t="s">
        <v>266</v>
      </c>
      <c r="T52" s="203" t="s">
        <v>266</v>
      </c>
      <c r="U52" s="203" t="s">
        <v>266</v>
      </c>
      <c r="V52" s="203" t="s">
        <v>266</v>
      </c>
      <c r="W52" s="203" t="s">
        <v>266</v>
      </c>
      <c r="X52" s="203" t="s">
        <v>266</v>
      </c>
      <c r="Z52" s="203" t="s">
        <v>266</v>
      </c>
      <c r="AA52" s="203" t="s">
        <v>266</v>
      </c>
      <c r="AB52" s="203" t="s">
        <v>266</v>
      </c>
      <c r="AC52" s="203" t="s">
        <v>266</v>
      </c>
      <c r="AD52" s="203" t="s">
        <v>266</v>
      </c>
      <c r="AE52" s="203" t="s">
        <v>266</v>
      </c>
      <c r="AF52" s="203" t="s">
        <v>266</v>
      </c>
      <c r="AH52">
        <v>1</v>
      </c>
      <c r="AI52">
        <v>5</v>
      </c>
    </row>
    <row r="53" spans="1:35" x14ac:dyDescent="0.25">
      <c r="A53" s="279" t="s">
        <v>266</v>
      </c>
      <c r="B53" s="279" t="s">
        <v>280</v>
      </c>
      <c r="C53" s="279"/>
      <c r="D53" s="33"/>
      <c r="E53" s="279"/>
      <c r="F53" s="203" t="s">
        <v>266</v>
      </c>
      <c r="G53" s="203" t="s">
        <v>266</v>
      </c>
      <c r="H53" s="203" t="s">
        <v>266</v>
      </c>
      <c r="J53" s="203" t="s">
        <v>266</v>
      </c>
      <c r="K53" s="203" t="s">
        <v>266</v>
      </c>
      <c r="L53" s="203" t="s">
        <v>266</v>
      </c>
      <c r="M53" s="203" t="s">
        <v>266</v>
      </c>
      <c r="N53" s="203" t="s">
        <v>266</v>
      </c>
      <c r="O53" s="203" t="s">
        <v>266</v>
      </c>
      <c r="P53" s="203" t="s">
        <v>266</v>
      </c>
      <c r="R53" s="203" t="s">
        <v>266</v>
      </c>
      <c r="S53" s="203" t="s">
        <v>266</v>
      </c>
      <c r="T53" s="203" t="s">
        <v>266</v>
      </c>
      <c r="U53" s="203" t="s">
        <v>266</v>
      </c>
      <c r="V53" s="203" t="s">
        <v>266</v>
      </c>
      <c r="W53" s="203" t="s">
        <v>266</v>
      </c>
      <c r="X53" s="203" t="s">
        <v>266</v>
      </c>
      <c r="Z53" s="203" t="s">
        <v>266</v>
      </c>
      <c r="AA53" s="203" t="s">
        <v>266</v>
      </c>
      <c r="AB53" s="203" t="s">
        <v>266</v>
      </c>
      <c r="AC53" s="203" t="s">
        <v>266</v>
      </c>
      <c r="AD53" s="203" t="s">
        <v>266</v>
      </c>
      <c r="AE53" s="203" t="s">
        <v>266</v>
      </c>
      <c r="AF53" s="203" t="s">
        <v>266</v>
      </c>
      <c r="AH53">
        <v>1</v>
      </c>
      <c r="AI53">
        <v>5</v>
      </c>
    </row>
    <row r="54" spans="1:35" x14ac:dyDescent="0.25">
      <c r="A54" s="279" t="s">
        <v>266</v>
      </c>
      <c r="B54" s="279" t="s">
        <v>280</v>
      </c>
      <c r="C54" s="279"/>
      <c r="D54" s="279"/>
      <c r="E54" s="279"/>
      <c r="F54" s="203" t="s">
        <v>266</v>
      </c>
      <c r="G54" s="203" t="s">
        <v>266</v>
      </c>
      <c r="H54" s="203" t="s">
        <v>266</v>
      </c>
      <c r="J54" s="203" t="s">
        <v>266</v>
      </c>
      <c r="K54" s="203" t="s">
        <v>266</v>
      </c>
      <c r="L54" s="203" t="s">
        <v>266</v>
      </c>
      <c r="M54" s="203" t="s">
        <v>266</v>
      </c>
      <c r="N54" s="203" t="s">
        <v>266</v>
      </c>
      <c r="O54" s="203" t="s">
        <v>266</v>
      </c>
      <c r="P54" s="203" t="s">
        <v>266</v>
      </c>
      <c r="R54" s="203" t="s">
        <v>266</v>
      </c>
      <c r="S54" s="203" t="s">
        <v>266</v>
      </c>
      <c r="T54" s="203" t="s">
        <v>266</v>
      </c>
      <c r="U54" s="203" t="s">
        <v>266</v>
      </c>
      <c r="V54" s="203" t="s">
        <v>266</v>
      </c>
      <c r="W54" s="203" t="s">
        <v>266</v>
      </c>
      <c r="X54" s="203" t="s">
        <v>266</v>
      </c>
      <c r="Z54" s="203" t="s">
        <v>266</v>
      </c>
      <c r="AA54" s="203" t="s">
        <v>266</v>
      </c>
      <c r="AB54" s="203" t="s">
        <v>266</v>
      </c>
      <c r="AC54" s="203" t="s">
        <v>266</v>
      </c>
      <c r="AD54" s="203" t="s">
        <v>266</v>
      </c>
      <c r="AE54" s="203" t="s">
        <v>266</v>
      </c>
      <c r="AF54" s="203" t="s">
        <v>266</v>
      </c>
      <c r="AH54">
        <v>1</v>
      </c>
      <c r="AI54">
        <v>5</v>
      </c>
    </row>
    <row r="55" spans="1:35" x14ac:dyDescent="0.25">
      <c r="A55" s="279" t="s">
        <v>266</v>
      </c>
      <c r="B55" s="279" t="s">
        <v>280</v>
      </c>
      <c r="C55" s="279"/>
      <c r="D55" s="279"/>
      <c r="E55" s="279"/>
      <c r="F55" s="203" t="s">
        <v>266</v>
      </c>
      <c r="G55" s="203" t="s">
        <v>266</v>
      </c>
      <c r="H55" s="203" t="s">
        <v>266</v>
      </c>
      <c r="J55" s="203" t="s">
        <v>266</v>
      </c>
      <c r="K55" s="203" t="s">
        <v>266</v>
      </c>
      <c r="L55" s="203" t="s">
        <v>266</v>
      </c>
      <c r="M55" s="203" t="s">
        <v>266</v>
      </c>
      <c r="N55" s="203" t="s">
        <v>266</v>
      </c>
      <c r="O55" s="203" t="s">
        <v>266</v>
      </c>
      <c r="P55" s="203" t="s">
        <v>266</v>
      </c>
      <c r="R55" s="203" t="s">
        <v>266</v>
      </c>
      <c r="S55" s="203" t="s">
        <v>266</v>
      </c>
      <c r="T55" s="203" t="s">
        <v>266</v>
      </c>
      <c r="U55" s="203" t="s">
        <v>266</v>
      </c>
      <c r="V55" s="203" t="s">
        <v>266</v>
      </c>
      <c r="W55" s="203" t="s">
        <v>266</v>
      </c>
      <c r="X55" s="203" t="s">
        <v>266</v>
      </c>
      <c r="Z55" s="203" t="s">
        <v>266</v>
      </c>
      <c r="AA55" s="203" t="s">
        <v>266</v>
      </c>
      <c r="AB55" s="203" t="s">
        <v>266</v>
      </c>
      <c r="AC55" s="203" t="s">
        <v>266</v>
      </c>
      <c r="AD55" s="203" t="s">
        <v>266</v>
      </c>
      <c r="AE55" s="203" t="s">
        <v>266</v>
      </c>
      <c r="AF55" s="203" t="s">
        <v>266</v>
      </c>
      <c r="AH55">
        <v>1</v>
      </c>
      <c r="AI55">
        <v>5</v>
      </c>
    </row>
    <row r="56" spans="1:35" x14ac:dyDescent="0.25">
      <c r="A56" s="279" t="s">
        <v>266</v>
      </c>
      <c r="B56" s="279" t="s">
        <v>280</v>
      </c>
      <c r="C56" s="279"/>
      <c r="D56" s="279"/>
      <c r="E56" s="279"/>
      <c r="F56" s="203" t="s">
        <v>266</v>
      </c>
      <c r="G56" s="203" t="s">
        <v>266</v>
      </c>
      <c r="H56" s="203" t="s">
        <v>266</v>
      </c>
      <c r="J56" s="203" t="s">
        <v>266</v>
      </c>
      <c r="K56" s="203" t="s">
        <v>266</v>
      </c>
      <c r="L56" s="203" t="s">
        <v>266</v>
      </c>
      <c r="M56" s="203" t="s">
        <v>266</v>
      </c>
      <c r="N56" s="203" t="s">
        <v>266</v>
      </c>
      <c r="O56" s="203" t="s">
        <v>266</v>
      </c>
      <c r="P56" s="203" t="s">
        <v>266</v>
      </c>
      <c r="R56" s="203" t="s">
        <v>266</v>
      </c>
      <c r="S56" s="203" t="s">
        <v>266</v>
      </c>
      <c r="T56" s="203" t="s">
        <v>266</v>
      </c>
      <c r="U56" s="203" t="s">
        <v>266</v>
      </c>
      <c r="V56" s="203" t="s">
        <v>266</v>
      </c>
      <c r="W56" s="203" t="s">
        <v>266</v>
      </c>
      <c r="X56" s="203" t="s">
        <v>266</v>
      </c>
      <c r="Z56" s="203" t="s">
        <v>266</v>
      </c>
      <c r="AA56" s="203" t="s">
        <v>266</v>
      </c>
      <c r="AB56" s="203" t="s">
        <v>266</v>
      </c>
      <c r="AC56" s="203" t="s">
        <v>266</v>
      </c>
      <c r="AD56" s="203" t="s">
        <v>266</v>
      </c>
      <c r="AE56" s="203" t="s">
        <v>266</v>
      </c>
      <c r="AF56" s="203" t="s">
        <v>266</v>
      </c>
      <c r="AH56">
        <v>1</v>
      </c>
      <c r="AI56">
        <v>5</v>
      </c>
    </row>
    <row r="57" spans="1:35" x14ac:dyDescent="0.25">
      <c r="A57" s="279" t="s">
        <v>266</v>
      </c>
      <c r="B57" s="279" t="s">
        <v>280</v>
      </c>
      <c r="C57" s="279"/>
      <c r="D57" s="279"/>
      <c r="E57" s="279"/>
      <c r="F57" s="203" t="s">
        <v>266</v>
      </c>
      <c r="G57" s="203" t="s">
        <v>266</v>
      </c>
      <c r="H57" s="203" t="s">
        <v>266</v>
      </c>
      <c r="J57" s="203" t="s">
        <v>266</v>
      </c>
      <c r="K57" s="203" t="s">
        <v>266</v>
      </c>
      <c r="L57" s="203" t="s">
        <v>266</v>
      </c>
      <c r="M57" s="203" t="s">
        <v>266</v>
      </c>
      <c r="N57" s="203" t="s">
        <v>266</v>
      </c>
      <c r="O57" s="203" t="s">
        <v>266</v>
      </c>
      <c r="P57" s="203" t="s">
        <v>266</v>
      </c>
      <c r="R57" s="203" t="s">
        <v>266</v>
      </c>
      <c r="S57" s="203" t="s">
        <v>266</v>
      </c>
      <c r="T57" s="203" t="s">
        <v>266</v>
      </c>
      <c r="U57" s="203" t="s">
        <v>266</v>
      </c>
      <c r="V57" s="203" t="s">
        <v>266</v>
      </c>
      <c r="W57" s="203" t="s">
        <v>266</v>
      </c>
      <c r="X57" s="203" t="s">
        <v>266</v>
      </c>
      <c r="Z57" s="203" t="s">
        <v>266</v>
      </c>
      <c r="AA57" s="203" t="s">
        <v>266</v>
      </c>
      <c r="AB57" s="203" t="s">
        <v>266</v>
      </c>
      <c r="AC57" s="203" t="s">
        <v>266</v>
      </c>
      <c r="AD57" s="203" t="s">
        <v>266</v>
      </c>
      <c r="AE57" s="203" t="s">
        <v>266</v>
      </c>
      <c r="AF57" s="203" t="s">
        <v>266</v>
      </c>
      <c r="AH57">
        <v>1</v>
      </c>
      <c r="AI57">
        <v>5</v>
      </c>
    </row>
    <row r="58" spans="1:35" x14ac:dyDescent="0.25">
      <c r="A58" s="279" t="s">
        <v>266</v>
      </c>
      <c r="B58" s="279" t="s">
        <v>280</v>
      </c>
      <c r="C58" s="279"/>
      <c r="D58" s="279"/>
      <c r="E58" s="279"/>
      <c r="F58" s="203" t="s">
        <v>266</v>
      </c>
      <c r="G58" s="203" t="s">
        <v>266</v>
      </c>
      <c r="H58" s="203" t="s">
        <v>266</v>
      </c>
      <c r="J58" s="203" t="s">
        <v>266</v>
      </c>
      <c r="K58" s="203" t="s">
        <v>266</v>
      </c>
      <c r="L58" s="203" t="s">
        <v>266</v>
      </c>
      <c r="M58" s="203" t="s">
        <v>266</v>
      </c>
      <c r="N58" s="203" t="s">
        <v>266</v>
      </c>
      <c r="O58" s="203" t="s">
        <v>266</v>
      </c>
      <c r="P58" s="203" t="s">
        <v>266</v>
      </c>
      <c r="R58" s="203" t="s">
        <v>266</v>
      </c>
      <c r="S58" s="203" t="s">
        <v>266</v>
      </c>
      <c r="T58" s="203" t="s">
        <v>266</v>
      </c>
      <c r="U58" s="203" t="s">
        <v>266</v>
      </c>
      <c r="V58" s="203" t="s">
        <v>266</v>
      </c>
      <c r="W58" s="203" t="s">
        <v>266</v>
      </c>
      <c r="X58" s="203" t="s">
        <v>266</v>
      </c>
      <c r="Z58" s="203" t="s">
        <v>266</v>
      </c>
      <c r="AA58" s="203" t="s">
        <v>266</v>
      </c>
      <c r="AB58" s="203" t="s">
        <v>266</v>
      </c>
      <c r="AC58" s="203" t="s">
        <v>266</v>
      </c>
      <c r="AD58" s="203" t="s">
        <v>266</v>
      </c>
      <c r="AE58" s="203" t="s">
        <v>266</v>
      </c>
      <c r="AF58" s="203" t="s">
        <v>266</v>
      </c>
      <c r="AH58">
        <v>1</v>
      </c>
      <c r="AI58">
        <v>5</v>
      </c>
    </row>
    <row r="59" spans="1:35" x14ac:dyDescent="0.25">
      <c r="A59" s="279" t="s">
        <v>266</v>
      </c>
      <c r="B59" s="279" t="s">
        <v>280</v>
      </c>
      <c r="C59" s="279"/>
      <c r="D59" s="279"/>
      <c r="E59" s="279"/>
      <c r="F59" s="203" t="s">
        <v>266</v>
      </c>
      <c r="G59" s="203" t="s">
        <v>266</v>
      </c>
      <c r="H59" s="203" t="s">
        <v>266</v>
      </c>
      <c r="J59" s="203" t="s">
        <v>266</v>
      </c>
      <c r="K59" s="203" t="s">
        <v>266</v>
      </c>
      <c r="L59" s="203" t="s">
        <v>266</v>
      </c>
      <c r="M59" s="203" t="s">
        <v>266</v>
      </c>
      <c r="N59" s="203" t="s">
        <v>266</v>
      </c>
      <c r="O59" s="203" t="s">
        <v>266</v>
      </c>
      <c r="P59" s="203" t="s">
        <v>266</v>
      </c>
      <c r="R59" s="203" t="s">
        <v>266</v>
      </c>
      <c r="S59" s="203" t="s">
        <v>266</v>
      </c>
      <c r="T59" s="203" t="s">
        <v>266</v>
      </c>
      <c r="U59" s="203" t="s">
        <v>266</v>
      </c>
      <c r="V59" s="203" t="s">
        <v>266</v>
      </c>
      <c r="W59" s="203" t="s">
        <v>266</v>
      </c>
      <c r="X59" s="203" t="s">
        <v>266</v>
      </c>
      <c r="Z59" s="203" t="s">
        <v>266</v>
      </c>
      <c r="AA59" s="203" t="s">
        <v>266</v>
      </c>
      <c r="AB59" s="203" t="s">
        <v>266</v>
      </c>
      <c r="AC59" s="203" t="s">
        <v>266</v>
      </c>
      <c r="AD59" s="203" t="s">
        <v>266</v>
      </c>
      <c r="AE59" s="203" t="s">
        <v>266</v>
      </c>
      <c r="AF59" s="203" t="s">
        <v>266</v>
      </c>
      <c r="AH59">
        <v>1</v>
      </c>
      <c r="AI59">
        <v>5</v>
      </c>
    </row>
    <row r="60" spans="1:35" x14ac:dyDescent="0.25">
      <c r="A60" s="279" t="s">
        <v>266</v>
      </c>
      <c r="B60" s="279" t="s">
        <v>280</v>
      </c>
      <c r="C60" s="279"/>
      <c r="D60" s="279"/>
      <c r="E60" s="279"/>
      <c r="F60" s="203" t="s">
        <v>266</v>
      </c>
      <c r="G60" s="203" t="s">
        <v>266</v>
      </c>
      <c r="H60" s="203" t="s">
        <v>266</v>
      </c>
      <c r="J60" s="203" t="s">
        <v>266</v>
      </c>
      <c r="K60" s="203" t="s">
        <v>266</v>
      </c>
      <c r="L60" s="203" t="s">
        <v>266</v>
      </c>
      <c r="M60" s="203" t="s">
        <v>266</v>
      </c>
      <c r="N60" s="203" t="s">
        <v>266</v>
      </c>
      <c r="O60" s="203" t="s">
        <v>266</v>
      </c>
      <c r="P60" s="203" t="s">
        <v>266</v>
      </c>
      <c r="R60" s="203" t="s">
        <v>266</v>
      </c>
      <c r="S60" s="203" t="s">
        <v>266</v>
      </c>
      <c r="T60" s="203" t="s">
        <v>266</v>
      </c>
      <c r="U60" s="203" t="s">
        <v>266</v>
      </c>
      <c r="V60" s="203" t="s">
        <v>266</v>
      </c>
      <c r="W60" s="203" t="s">
        <v>266</v>
      </c>
      <c r="X60" s="203" t="s">
        <v>266</v>
      </c>
      <c r="Z60" s="203" t="s">
        <v>266</v>
      </c>
      <c r="AA60" s="203" t="s">
        <v>266</v>
      </c>
      <c r="AB60" s="203" t="s">
        <v>266</v>
      </c>
      <c r="AC60" s="203" t="s">
        <v>266</v>
      </c>
      <c r="AD60" s="203" t="s">
        <v>266</v>
      </c>
      <c r="AE60" s="203" t="s">
        <v>266</v>
      </c>
      <c r="AF60" s="203" t="s">
        <v>266</v>
      </c>
      <c r="AH60">
        <v>1</v>
      </c>
      <c r="AI60">
        <v>5</v>
      </c>
    </row>
    <row r="61" spans="1:35" x14ac:dyDescent="0.25">
      <c r="A61" s="279" t="s">
        <v>266</v>
      </c>
      <c r="B61" s="279" t="s">
        <v>280</v>
      </c>
      <c r="C61" s="279"/>
      <c r="D61" s="279"/>
      <c r="E61" s="279"/>
      <c r="F61" s="203" t="s">
        <v>266</v>
      </c>
      <c r="G61" s="203" t="s">
        <v>266</v>
      </c>
      <c r="H61" s="203" t="s">
        <v>266</v>
      </c>
      <c r="J61" s="203" t="s">
        <v>266</v>
      </c>
      <c r="K61" s="203" t="s">
        <v>266</v>
      </c>
      <c r="L61" s="203" t="s">
        <v>266</v>
      </c>
      <c r="M61" s="203" t="s">
        <v>266</v>
      </c>
      <c r="N61" s="203" t="s">
        <v>266</v>
      </c>
      <c r="O61" s="203" t="s">
        <v>266</v>
      </c>
      <c r="P61" s="203" t="s">
        <v>266</v>
      </c>
      <c r="R61" s="203" t="s">
        <v>266</v>
      </c>
      <c r="S61" s="203" t="s">
        <v>266</v>
      </c>
      <c r="T61" s="203" t="s">
        <v>266</v>
      </c>
      <c r="U61" s="203" t="s">
        <v>266</v>
      </c>
      <c r="V61" s="203" t="s">
        <v>266</v>
      </c>
      <c r="W61" s="203" t="s">
        <v>266</v>
      </c>
      <c r="X61" s="203" t="s">
        <v>266</v>
      </c>
      <c r="Z61" s="203" t="s">
        <v>266</v>
      </c>
      <c r="AA61" s="203" t="s">
        <v>266</v>
      </c>
      <c r="AB61" s="203" t="s">
        <v>266</v>
      </c>
      <c r="AC61" s="203" t="s">
        <v>266</v>
      </c>
      <c r="AD61" s="203" t="s">
        <v>266</v>
      </c>
      <c r="AE61" s="203" t="s">
        <v>266</v>
      </c>
      <c r="AF61" s="203" t="s">
        <v>266</v>
      </c>
      <c r="AH61">
        <v>1</v>
      </c>
      <c r="AI61">
        <v>5</v>
      </c>
    </row>
    <row r="62" spans="1:35" x14ac:dyDescent="0.25">
      <c r="A62" s="203" t="s">
        <v>266</v>
      </c>
      <c r="B62" s="203" t="s">
        <v>280</v>
      </c>
      <c r="C62" s="203"/>
      <c r="D62" s="203"/>
      <c r="E62" s="203"/>
      <c r="F62" s="203" t="s">
        <v>266</v>
      </c>
      <c r="G62" s="203" t="s">
        <v>266</v>
      </c>
      <c r="H62" s="203" t="s">
        <v>266</v>
      </c>
      <c r="J62" s="203" t="s">
        <v>266</v>
      </c>
      <c r="K62" s="203" t="s">
        <v>266</v>
      </c>
      <c r="L62" s="203" t="s">
        <v>266</v>
      </c>
      <c r="M62" s="203" t="s">
        <v>266</v>
      </c>
      <c r="N62" s="203" t="s">
        <v>266</v>
      </c>
      <c r="O62" s="203" t="s">
        <v>266</v>
      </c>
      <c r="P62" s="203" t="s">
        <v>266</v>
      </c>
      <c r="R62" s="203" t="s">
        <v>266</v>
      </c>
      <c r="S62" s="203" t="s">
        <v>266</v>
      </c>
      <c r="T62" s="203" t="s">
        <v>266</v>
      </c>
      <c r="U62" s="203" t="s">
        <v>266</v>
      </c>
      <c r="V62" s="203" t="s">
        <v>266</v>
      </c>
      <c r="W62" s="203" t="s">
        <v>266</v>
      </c>
      <c r="X62" s="203" t="s">
        <v>266</v>
      </c>
      <c r="Z62" s="203" t="s">
        <v>266</v>
      </c>
      <c r="AA62" s="203" t="s">
        <v>266</v>
      </c>
      <c r="AB62" s="203" t="s">
        <v>266</v>
      </c>
      <c r="AC62" s="203" t="s">
        <v>266</v>
      </c>
      <c r="AD62" s="203" t="s">
        <v>266</v>
      </c>
      <c r="AE62" s="203" t="s">
        <v>266</v>
      </c>
      <c r="AF62" s="203" t="s">
        <v>266</v>
      </c>
      <c r="AH62">
        <v>1</v>
      </c>
      <c r="AI62">
        <v>5</v>
      </c>
    </row>
    <row r="63" spans="1:35" x14ac:dyDescent="0.25">
      <c r="A63" s="203" t="s">
        <v>266</v>
      </c>
      <c r="B63" s="203" t="s">
        <v>280</v>
      </c>
      <c r="C63" s="203"/>
      <c r="D63" s="203"/>
      <c r="E63" s="203"/>
      <c r="F63" s="203" t="s">
        <v>266</v>
      </c>
      <c r="G63" s="203" t="s">
        <v>266</v>
      </c>
      <c r="H63" s="203" t="s">
        <v>266</v>
      </c>
      <c r="J63" s="203" t="s">
        <v>266</v>
      </c>
      <c r="K63" s="203" t="s">
        <v>266</v>
      </c>
      <c r="L63" s="203" t="s">
        <v>266</v>
      </c>
      <c r="M63" s="203" t="s">
        <v>266</v>
      </c>
      <c r="N63" s="203" t="s">
        <v>266</v>
      </c>
      <c r="O63" s="203" t="s">
        <v>266</v>
      </c>
      <c r="P63" s="203" t="s">
        <v>266</v>
      </c>
      <c r="R63" s="203" t="s">
        <v>266</v>
      </c>
      <c r="S63" s="203" t="s">
        <v>266</v>
      </c>
      <c r="T63" s="203" t="s">
        <v>266</v>
      </c>
      <c r="U63" s="203" t="s">
        <v>266</v>
      </c>
      <c r="V63" s="203" t="s">
        <v>266</v>
      </c>
      <c r="W63" s="203" t="s">
        <v>266</v>
      </c>
      <c r="X63" s="203" t="s">
        <v>266</v>
      </c>
      <c r="Z63" s="203" t="s">
        <v>266</v>
      </c>
      <c r="AA63" s="203" t="s">
        <v>266</v>
      </c>
      <c r="AB63" s="203" t="s">
        <v>266</v>
      </c>
      <c r="AC63" s="203" t="s">
        <v>266</v>
      </c>
      <c r="AD63" s="203" t="s">
        <v>266</v>
      </c>
      <c r="AE63" s="203" t="s">
        <v>266</v>
      </c>
      <c r="AF63" s="203" t="s">
        <v>266</v>
      </c>
      <c r="AH63">
        <v>1</v>
      </c>
      <c r="AI63">
        <v>5</v>
      </c>
    </row>
    <row r="64" spans="1:35" x14ac:dyDescent="0.25">
      <c r="A64" s="203" t="s">
        <v>266</v>
      </c>
      <c r="B64" s="203" t="s">
        <v>280</v>
      </c>
      <c r="C64" s="203"/>
      <c r="D64" s="203"/>
      <c r="E64" s="203"/>
      <c r="F64" s="203" t="s">
        <v>266</v>
      </c>
      <c r="G64" s="203" t="s">
        <v>266</v>
      </c>
      <c r="H64" s="203" t="s">
        <v>266</v>
      </c>
      <c r="J64" s="203" t="s">
        <v>266</v>
      </c>
      <c r="K64" s="203" t="s">
        <v>266</v>
      </c>
      <c r="L64" s="203" t="s">
        <v>266</v>
      </c>
      <c r="M64" s="203" t="s">
        <v>266</v>
      </c>
      <c r="N64" s="203" t="s">
        <v>266</v>
      </c>
      <c r="O64" s="203" t="s">
        <v>266</v>
      </c>
      <c r="P64" s="203" t="s">
        <v>266</v>
      </c>
      <c r="R64" s="203" t="s">
        <v>266</v>
      </c>
      <c r="S64" s="203" t="s">
        <v>266</v>
      </c>
      <c r="T64" s="203" t="s">
        <v>266</v>
      </c>
      <c r="U64" s="203" t="s">
        <v>266</v>
      </c>
      <c r="V64" s="203" t="s">
        <v>266</v>
      </c>
      <c r="W64" s="203" t="s">
        <v>266</v>
      </c>
      <c r="X64" s="203" t="s">
        <v>266</v>
      </c>
      <c r="Z64" s="203" t="s">
        <v>266</v>
      </c>
      <c r="AA64" s="203" t="s">
        <v>266</v>
      </c>
      <c r="AB64" s="203" t="s">
        <v>266</v>
      </c>
      <c r="AC64" s="203" t="s">
        <v>266</v>
      </c>
      <c r="AD64" s="203" t="s">
        <v>266</v>
      </c>
      <c r="AE64" s="203" t="s">
        <v>266</v>
      </c>
      <c r="AF64" s="203" t="s">
        <v>266</v>
      </c>
      <c r="AH64">
        <v>1</v>
      </c>
      <c r="AI64">
        <v>5</v>
      </c>
    </row>
    <row r="65" spans="1:35" x14ac:dyDescent="0.25">
      <c r="A65" s="203" t="s">
        <v>266</v>
      </c>
      <c r="B65" s="203" t="s">
        <v>280</v>
      </c>
      <c r="C65" s="203"/>
      <c r="D65" s="203"/>
      <c r="E65" s="203"/>
      <c r="F65" s="203" t="s">
        <v>266</v>
      </c>
      <c r="G65" s="203" t="s">
        <v>266</v>
      </c>
      <c r="H65" s="203" t="s">
        <v>266</v>
      </c>
      <c r="J65" s="203" t="s">
        <v>266</v>
      </c>
      <c r="K65" s="203" t="s">
        <v>266</v>
      </c>
      <c r="L65" s="203" t="s">
        <v>266</v>
      </c>
      <c r="M65" s="203" t="s">
        <v>266</v>
      </c>
      <c r="N65" s="203" t="s">
        <v>266</v>
      </c>
      <c r="O65" s="203" t="s">
        <v>266</v>
      </c>
      <c r="P65" s="203" t="s">
        <v>266</v>
      </c>
      <c r="R65" s="203" t="s">
        <v>266</v>
      </c>
      <c r="S65" s="203" t="s">
        <v>266</v>
      </c>
      <c r="T65" s="203" t="s">
        <v>266</v>
      </c>
      <c r="U65" s="203" t="s">
        <v>266</v>
      </c>
      <c r="V65" s="203" t="s">
        <v>266</v>
      </c>
      <c r="W65" s="203" t="s">
        <v>266</v>
      </c>
      <c r="X65" s="203" t="s">
        <v>266</v>
      </c>
      <c r="Z65" s="203" t="s">
        <v>266</v>
      </c>
      <c r="AA65" s="203" t="s">
        <v>266</v>
      </c>
      <c r="AB65" s="203" t="s">
        <v>266</v>
      </c>
      <c r="AC65" s="203" t="s">
        <v>266</v>
      </c>
      <c r="AD65" s="203" t="s">
        <v>266</v>
      </c>
      <c r="AE65" s="203" t="s">
        <v>266</v>
      </c>
      <c r="AF65" s="203" t="s">
        <v>266</v>
      </c>
      <c r="AH65">
        <v>1</v>
      </c>
      <c r="AI65">
        <v>5</v>
      </c>
    </row>
    <row r="66" spans="1:35" x14ac:dyDescent="0.25">
      <c r="A66" s="203" t="s">
        <v>266</v>
      </c>
      <c r="B66" s="203" t="s">
        <v>280</v>
      </c>
      <c r="C66" s="203"/>
      <c r="D66" s="203"/>
      <c r="E66" s="203"/>
      <c r="F66" s="203" t="s">
        <v>266</v>
      </c>
      <c r="G66" s="203" t="s">
        <v>266</v>
      </c>
      <c r="H66" s="203" t="s">
        <v>266</v>
      </c>
      <c r="J66" s="203" t="s">
        <v>266</v>
      </c>
      <c r="K66" s="203" t="s">
        <v>266</v>
      </c>
      <c r="L66" s="203" t="s">
        <v>266</v>
      </c>
      <c r="M66" s="203" t="s">
        <v>266</v>
      </c>
      <c r="N66" s="203" t="s">
        <v>266</v>
      </c>
      <c r="O66" s="203" t="s">
        <v>266</v>
      </c>
      <c r="P66" s="203" t="s">
        <v>266</v>
      </c>
      <c r="R66" s="203" t="s">
        <v>266</v>
      </c>
      <c r="S66" s="203" t="s">
        <v>266</v>
      </c>
      <c r="T66" s="203" t="s">
        <v>266</v>
      </c>
      <c r="U66" s="203" t="s">
        <v>266</v>
      </c>
      <c r="V66" s="203" t="s">
        <v>266</v>
      </c>
      <c r="W66" s="203" t="s">
        <v>266</v>
      </c>
      <c r="X66" s="203" t="s">
        <v>266</v>
      </c>
      <c r="Z66" s="203" t="s">
        <v>266</v>
      </c>
      <c r="AA66" s="203" t="s">
        <v>266</v>
      </c>
      <c r="AB66" s="203" t="s">
        <v>266</v>
      </c>
      <c r="AC66" s="203" t="s">
        <v>266</v>
      </c>
      <c r="AD66" s="203" t="s">
        <v>266</v>
      </c>
      <c r="AE66" s="203" t="s">
        <v>266</v>
      </c>
      <c r="AF66" s="203" t="s">
        <v>266</v>
      </c>
      <c r="AH66">
        <v>1</v>
      </c>
      <c r="AI66">
        <v>5</v>
      </c>
    </row>
    <row r="67" spans="1:35" x14ac:dyDescent="0.25">
      <c r="A67" s="203" t="s">
        <v>266</v>
      </c>
      <c r="B67" s="203" t="s">
        <v>280</v>
      </c>
      <c r="C67" s="203"/>
      <c r="D67" s="203"/>
      <c r="E67" s="203"/>
      <c r="F67" s="203" t="s">
        <v>266</v>
      </c>
      <c r="G67" s="203" t="s">
        <v>266</v>
      </c>
      <c r="H67" s="203" t="s">
        <v>266</v>
      </c>
      <c r="J67" s="203" t="s">
        <v>266</v>
      </c>
      <c r="K67" s="203" t="s">
        <v>266</v>
      </c>
      <c r="L67" s="203" t="s">
        <v>266</v>
      </c>
      <c r="M67" s="203" t="s">
        <v>266</v>
      </c>
      <c r="N67" s="203" t="s">
        <v>266</v>
      </c>
      <c r="O67" s="203" t="s">
        <v>266</v>
      </c>
      <c r="P67" s="203" t="s">
        <v>266</v>
      </c>
      <c r="R67" s="203" t="s">
        <v>266</v>
      </c>
      <c r="S67" s="203" t="s">
        <v>266</v>
      </c>
      <c r="T67" s="203" t="s">
        <v>266</v>
      </c>
      <c r="U67" s="203" t="s">
        <v>266</v>
      </c>
      <c r="V67" s="203" t="s">
        <v>266</v>
      </c>
      <c r="W67" s="203" t="s">
        <v>266</v>
      </c>
      <c r="X67" s="203" t="s">
        <v>266</v>
      </c>
      <c r="Z67" s="203" t="s">
        <v>266</v>
      </c>
      <c r="AA67" s="203" t="s">
        <v>266</v>
      </c>
      <c r="AB67" s="203" t="s">
        <v>266</v>
      </c>
      <c r="AC67" s="203" t="s">
        <v>266</v>
      </c>
      <c r="AD67" s="203" t="s">
        <v>266</v>
      </c>
      <c r="AE67" s="203" t="s">
        <v>266</v>
      </c>
      <c r="AF67" s="203" t="s">
        <v>266</v>
      </c>
      <c r="AH67">
        <v>1</v>
      </c>
      <c r="AI67">
        <v>5</v>
      </c>
    </row>
    <row r="68" spans="1:35" x14ac:dyDescent="0.25">
      <c r="A68" s="203" t="s">
        <v>266</v>
      </c>
      <c r="B68" s="203" t="s">
        <v>280</v>
      </c>
      <c r="C68" s="203"/>
      <c r="D68" s="203"/>
      <c r="E68" s="203"/>
      <c r="F68" s="203" t="s">
        <v>266</v>
      </c>
      <c r="G68" s="203" t="s">
        <v>266</v>
      </c>
      <c r="H68" s="203" t="s">
        <v>266</v>
      </c>
      <c r="J68" s="203" t="s">
        <v>266</v>
      </c>
      <c r="K68" s="203" t="s">
        <v>266</v>
      </c>
      <c r="L68" s="203" t="s">
        <v>266</v>
      </c>
      <c r="M68" s="203" t="s">
        <v>266</v>
      </c>
      <c r="N68" s="203" t="s">
        <v>266</v>
      </c>
      <c r="O68" s="203" t="s">
        <v>266</v>
      </c>
      <c r="P68" s="203" t="s">
        <v>266</v>
      </c>
      <c r="R68" s="203" t="s">
        <v>266</v>
      </c>
      <c r="S68" s="203" t="s">
        <v>266</v>
      </c>
      <c r="T68" s="203" t="s">
        <v>266</v>
      </c>
      <c r="U68" s="203" t="s">
        <v>266</v>
      </c>
      <c r="V68" s="203" t="s">
        <v>266</v>
      </c>
      <c r="W68" s="203" t="s">
        <v>266</v>
      </c>
      <c r="X68" s="203" t="s">
        <v>266</v>
      </c>
      <c r="Z68" s="203" t="s">
        <v>266</v>
      </c>
      <c r="AA68" s="203" t="s">
        <v>266</v>
      </c>
      <c r="AB68" s="203" t="s">
        <v>266</v>
      </c>
      <c r="AC68" s="203" t="s">
        <v>266</v>
      </c>
      <c r="AD68" s="203" t="s">
        <v>266</v>
      </c>
      <c r="AE68" s="203" t="s">
        <v>266</v>
      </c>
      <c r="AF68" s="203" t="s">
        <v>266</v>
      </c>
      <c r="AH68">
        <v>1</v>
      </c>
      <c r="AI68">
        <v>5</v>
      </c>
    </row>
    <row r="69" spans="1:35" x14ac:dyDescent="0.25">
      <c r="A69" s="203" t="s">
        <v>266</v>
      </c>
      <c r="B69" s="203" t="s">
        <v>280</v>
      </c>
      <c r="C69" s="203"/>
      <c r="D69" s="203"/>
      <c r="E69" s="203"/>
      <c r="F69" s="203" t="s">
        <v>266</v>
      </c>
      <c r="G69" s="203" t="s">
        <v>266</v>
      </c>
      <c r="H69" s="203" t="s">
        <v>266</v>
      </c>
      <c r="J69" s="203" t="s">
        <v>266</v>
      </c>
      <c r="K69" s="203" t="s">
        <v>266</v>
      </c>
      <c r="L69" s="203" t="s">
        <v>266</v>
      </c>
      <c r="M69" s="203" t="s">
        <v>266</v>
      </c>
      <c r="N69" s="203" t="s">
        <v>266</v>
      </c>
      <c r="O69" s="203" t="s">
        <v>266</v>
      </c>
      <c r="P69" s="203" t="s">
        <v>266</v>
      </c>
      <c r="R69" s="203" t="s">
        <v>266</v>
      </c>
      <c r="S69" s="203" t="s">
        <v>266</v>
      </c>
      <c r="T69" s="203" t="s">
        <v>266</v>
      </c>
      <c r="U69" s="203" t="s">
        <v>266</v>
      </c>
      <c r="V69" s="203" t="s">
        <v>266</v>
      </c>
      <c r="W69" s="203" t="s">
        <v>266</v>
      </c>
      <c r="X69" s="203" t="s">
        <v>266</v>
      </c>
      <c r="Z69" s="203" t="s">
        <v>266</v>
      </c>
      <c r="AA69" s="203" t="s">
        <v>266</v>
      </c>
      <c r="AB69" s="203" t="s">
        <v>266</v>
      </c>
      <c r="AC69" s="203" t="s">
        <v>266</v>
      </c>
      <c r="AD69" s="203" t="s">
        <v>266</v>
      </c>
      <c r="AE69" s="203" t="s">
        <v>266</v>
      </c>
      <c r="AF69" s="203" t="s">
        <v>266</v>
      </c>
      <c r="AH69">
        <v>1</v>
      </c>
      <c r="AI69">
        <v>5</v>
      </c>
    </row>
    <row r="70" spans="1:35" x14ac:dyDescent="0.25">
      <c r="A70" s="203" t="s">
        <v>266</v>
      </c>
      <c r="B70" s="203" t="s">
        <v>280</v>
      </c>
      <c r="C70" s="203"/>
      <c r="D70" s="203"/>
      <c r="E70" s="203"/>
      <c r="F70" s="203" t="s">
        <v>266</v>
      </c>
      <c r="G70" s="203" t="s">
        <v>266</v>
      </c>
      <c r="H70" s="203" t="s">
        <v>266</v>
      </c>
      <c r="J70" s="203" t="s">
        <v>266</v>
      </c>
      <c r="K70" s="203" t="s">
        <v>266</v>
      </c>
      <c r="L70" s="203" t="s">
        <v>266</v>
      </c>
      <c r="M70" s="203" t="s">
        <v>266</v>
      </c>
      <c r="N70" s="203" t="s">
        <v>266</v>
      </c>
      <c r="O70" s="203" t="s">
        <v>266</v>
      </c>
      <c r="P70" s="203" t="s">
        <v>266</v>
      </c>
      <c r="R70" s="203" t="s">
        <v>266</v>
      </c>
      <c r="S70" s="203" t="s">
        <v>266</v>
      </c>
      <c r="T70" s="203" t="s">
        <v>266</v>
      </c>
      <c r="U70" s="203" t="s">
        <v>266</v>
      </c>
      <c r="V70" s="203" t="s">
        <v>266</v>
      </c>
      <c r="W70" s="203" t="s">
        <v>266</v>
      </c>
      <c r="X70" s="203" t="s">
        <v>266</v>
      </c>
      <c r="Z70" s="203" t="s">
        <v>266</v>
      </c>
      <c r="AA70" s="203" t="s">
        <v>266</v>
      </c>
      <c r="AB70" s="203" t="s">
        <v>266</v>
      </c>
      <c r="AC70" s="203" t="s">
        <v>266</v>
      </c>
      <c r="AD70" s="203" t="s">
        <v>266</v>
      </c>
      <c r="AE70" s="203" t="s">
        <v>266</v>
      </c>
      <c r="AF70" s="203" t="s">
        <v>266</v>
      </c>
      <c r="AH70">
        <v>1</v>
      </c>
      <c r="AI70">
        <v>5</v>
      </c>
    </row>
    <row r="71" spans="1:35" x14ac:dyDescent="0.25">
      <c r="A71" s="203" t="s">
        <v>266</v>
      </c>
      <c r="B71" s="203" t="s">
        <v>280</v>
      </c>
      <c r="C71" s="203"/>
      <c r="D71" s="203"/>
      <c r="E71" s="203"/>
      <c r="F71" s="203" t="s">
        <v>266</v>
      </c>
      <c r="G71" s="203" t="s">
        <v>266</v>
      </c>
      <c r="H71" s="203" t="s">
        <v>266</v>
      </c>
      <c r="J71" s="203" t="s">
        <v>266</v>
      </c>
      <c r="K71" s="203" t="s">
        <v>266</v>
      </c>
      <c r="L71" s="203" t="s">
        <v>266</v>
      </c>
      <c r="M71" s="203" t="s">
        <v>266</v>
      </c>
      <c r="N71" s="203" t="s">
        <v>266</v>
      </c>
      <c r="O71" s="203" t="s">
        <v>266</v>
      </c>
      <c r="P71" s="203" t="s">
        <v>266</v>
      </c>
      <c r="R71" s="203" t="s">
        <v>266</v>
      </c>
      <c r="S71" s="203" t="s">
        <v>266</v>
      </c>
      <c r="T71" s="203" t="s">
        <v>266</v>
      </c>
      <c r="U71" s="203" t="s">
        <v>266</v>
      </c>
      <c r="V71" s="203" t="s">
        <v>266</v>
      </c>
      <c r="W71" s="203" t="s">
        <v>266</v>
      </c>
      <c r="X71" s="203" t="s">
        <v>266</v>
      </c>
      <c r="Z71" s="203" t="s">
        <v>266</v>
      </c>
      <c r="AA71" s="203" t="s">
        <v>266</v>
      </c>
      <c r="AB71" s="203" t="s">
        <v>266</v>
      </c>
      <c r="AC71" s="203" t="s">
        <v>266</v>
      </c>
      <c r="AD71" s="203" t="s">
        <v>266</v>
      </c>
      <c r="AE71" s="203" t="s">
        <v>266</v>
      </c>
      <c r="AF71" s="203" t="s">
        <v>266</v>
      </c>
      <c r="AH71">
        <v>1</v>
      </c>
      <c r="AI71">
        <v>5</v>
      </c>
    </row>
    <row r="72" spans="1:35" x14ac:dyDescent="0.25">
      <c r="A72" s="203" t="s">
        <v>266</v>
      </c>
      <c r="B72" s="203" t="s">
        <v>280</v>
      </c>
      <c r="C72" s="203"/>
      <c r="D72" s="203"/>
      <c r="E72" s="203"/>
      <c r="F72" s="203" t="s">
        <v>266</v>
      </c>
      <c r="G72" s="203" t="s">
        <v>266</v>
      </c>
      <c r="H72" s="203" t="s">
        <v>266</v>
      </c>
      <c r="J72" s="203" t="s">
        <v>266</v>
      </c>
      <c r="K72" s="203" t="s">
        <v>266</v>
      </c>
      <c r="L72" s="203" t="s">
        <v>266</v>
      </c>
      <c r="M72" s="203" t="s">
        <v>266</v>
      </c>
      <c r="N72" s="203" t="s">
        <v>266</v>
      </c>
      <c r="O72" s="203" t="s">
        <v>266</v>
      </c>
      <c r="P72" s="203" t="s">
        <v>266</v>
      </c>
      <c r="R72" s="203" t="s">
        <v>266</v>
      </c>
      <c r="S72" s="203" t="s">
        <v>266</v>
      </c>
      <c r="T72" s="203" t="s">
        <v>266</v>
      </c>
      <c r="U72" s="203" t="s">
        <v>266</v>
      </c>
      <c r="V72" s="203" t="s">
        <v>266</v>
      </c>
      <c r="W72" s="203" t="s">
        <v>266</v>
      </c>
      <c r="X72" s="203" t="s">
        <v>266</v>
      </c>
      <c r="Z72" s="203" t="s">
        <v>266</v>
      </c>
      <c r="AA72" s="203" t="s">
        <v>266</v>
      </c>
      <c r="AB72" s="203" t="s">
        <v>266</v>
      </c>
      <c r="AC72" s="203" t="s">
        <v>266</v>
      </c>
      <c r="AD72" s="203" t="s">
        <v>266</v>
      </c>
      <c r="AE72" s="203" t="s">
        <v>266</v>
      </c>
      <c r="AF72" s="203" t="s">
        <v>266</v>
      </c>
      <c r="AH72">
        <v>1</v>
      </c>
      <c r="AI72">
        <v>5</v>
      </c>
    </row>
    <row r="73" spans="1:35" x14ac:dyDescent="0.25">
      <c r="A73" s="203" t="s">
        <v>266</v>
      </c>
      <c r="B73" s="203" t="s">
        <v>280</v>
      </c>
      <c r="C73" s="203"/>
      <c r="D73" s="203"/>
      <c r="E73" s="203"/>
      <c r="F73" s="203" t="s">
        <v>266</v>
      </c>
      <c r="G73" s="203" t="s">
        <v>266</v>
      </c>
      <c r="H73" s="203" t="s">
        <v>266</v>
      </c>
      <c r="J73" s="203" t="s">
        <v>266</v>
      </c>
      <c r="K73" s="203" t="s">
        <v>266</v>
      </c>
      <c r="L73" s="203" t="s">
        <v>266</v>
      </c>
      <c r="M73" s="203" t="s">
        <v>266</v>
      </c>
      <c r="N73" s="203" t="s">
        <v>266</v>
      </c>
      <c r="O73" s="203" t="s">
        <v>266</v>
      </c>
      <c r="P73" s="203" t="s">
        <v>266</v>
      </c>
      <c r="R73" s="203" t="s">
        <v>266</v>
      </c>
      <c r="S73" s="203" t="s">
        <v>266</v>
      </c>
      <c r="T73" s="203" t="s">
        <v>266</v>
      </c>
      <c r="U73" s="203" t="s">
        <v>266</v>
      </c>
      <c r="V73" s="203" t="s">
        <v>266</v>
      </c>
      <c r="W73" s="203" t="s">
        <v>266</v>
      </c>
      <c r="X73" s="203" t="s">
        <v>266</v>
      </c>
      <c r="Z73" s="203" t="s">
        <v>266</v>
      </c>
      <c r="AA73" s="203" t="s">
        <v>266</v>
      </c>
      <c r="AB73" s="203" t="s">
        <v>266</v>
      </c>
      <c r="AC73" s="203" t="s">
        <v>266</v>
      </c>
      <c r="AD73" s="203" t="s">
        <v>266</v>
      </c>
      <c r="AE73" s="203" t="s">
        <v>266</v>
      </c>
      <c r="AF73" s="203" t="s">
        <v>266</v>
      </c>
      <c r="AH73">
        <v>1</v>
      </c>
      <c r="AI73">
        <v>5</v>
      </c>
    </row>
    <row r="74" spans="1:35" x14ac:dyDescent="0.25">
      <c r="A74" s="203" t="s">
        <v>266</v>
      </c>
      <c r="B74" s="203" t="s">
        <v>280</v>
      </c>
      <c r="C74" s="203"/>
      <c r="D74" s="203"/>
      <c r="E74" s="203"/>
      <c r="F74" s="203" t="s">
        <v>266</v>
      </c>
      <c r="G74" s="203" t="s">
        <v>266</v>
      </c>
      <c r="H74" s="203" t="s">
        <v>266</v>
      </c>
      <c r="J74" s="203" t="s">
        <v>266</v>
      </c>
      <c r="K74" s="203" t="s">
        <v>266</v>
      </c>
      <c r="L74" s="203" t="s">
        <v>266</v>
      </c>
      <c r="M74" s="203" t="s">
        <v>266</v>
      </c>
      <c r="N74" s="203" t="s">
        <v>266</v>
      </c>
      <c r="O74" s="203" t="s">
        <v>266</v>
      </c>
      <c r="P74" s="203" t="s">
        <v>266</v>
      </c>
      <c r="R74" s="203" t="s">
        <v>266</v>
      </c>
      <c r="S74" s="203" t="s">
        <v>266</v>
      </c>
      <c r="T74" s="203" t="s">
        <v>266</v>
      </c>
      <c r="U74" s="203" t="s">
        <v>266</v>
      </c>
      <c r="V74" s="203" t="s">
        <v>266</v>
      </c>
      <c r="W74" s="203" t="s">
        <v>266</v>
      </c>
      <c r="X74" s="203" t="s">
        <v>266</v>
      </c>
      <c r="Z74" s="203" t="s">
        <v>266</v>
      </c>
      <c r="AA74" s="203" t="s">
        <v>266</v>
      </c>
      <c r="AB74" s="203" t="s">
        <v>266</v>
      </c>
      <c r="AC74" s="203" t="s">
        <v>266</v>
      </c>
      <c r="AD74" s="203" t="s">
        <v>266</v>
      </c>
      <c r="AE74" s="203" t="s">
        <v>266</v>
      </c>
      <c r="AF74" s="203" t="s">
        <v>266</v>
      </c>
      <c r="AH74">
        <v>1</v>
      </c>
      <c r="AI74">
        <v>5</v>
      </c>
    </row>
    <row r="75" spans="1:35" x14ac:dyDescent="0.25">
      <c r="A75" s="203" t="s">
        <v>266</v>
      </c>
      <c r="B75" s="203" t="s">
        <v>280</v>
      </c>
      <c r="C75" s="203"/>
      <c r="D75" s="203"/>
      <c r="E75" s="203"/>
      <c r="F75" s="203" t="s">
        <v>266</v>
      </c>
      <c r="G75" s="203" t="s">
        <v>266</v>
      </c>
      <c r="H75" s="203" t="s">
        <v>266</v>
      </c>
      <c r="J75" s="203" t="s">
        <v>266</v>
      </c>
      <c r="K75" s="203" t="s">
        <v>266</v>
      </c>
      <c r="L75" s="203" t="s">
        <v>266</v>
      </c>
      <c r="M75" s="203" t="s">
        <v>266</v>
      </c>
      <c r="N75" s="203" t="s">
        <v>266</v>
      </c>
      <c r="O75" s="203" t="s">
        <v>266</v>
      </c>
      <c r="P75" s="203" t="s">
        <v>266</v>
      </c>
      <c r="R75" s="203" t="s">
        <v>266</v>
      </c>
      <c r="S75" s="203" t="s">
        <v>266</v>
      </c>
      <c r="T75" s="203" t="s">
        <v>266</v>
      </c>
      <c r="U75" s="203" t="s">
        <v>266</v>
      </c>
      <c r="V75" s="203" t="s">
        <v>266</v>
      </c>
      <c r="W75" s="203" t="s">
        <v>266</v>
      </c>
      <c r="X75" s="203" t="s">
        <v>266</v>
      </c>
      <c r="Z75" s="203" t="s">
        <v>266</v>
      </c>
      <c r="AA75" s="203" t="s">
        <v>266</v>
      </c>
      <c r="AB75" s="203" t="s">
        <v>266</v>
      </c>
      <c r="AC75" s="203" t="s">
        <v>266</v>
      </c>
      <c r="AD75" s="203" t="s">
        <v>266</v>
      </c>
      <c r="AE75" s="203" t="s">
        <v>266</v>
      </c>
      <c r="AF75" s="203" t="s">
        <v>266</v>
      </c>
      <c r="AH75">
        <v>1</v>
      </c>
      <c r="AI75">
        <v>5</v>
      </c>
    </row>
    <row r="76" spans="1:35" x14ac:dyDescent="0.25">
      <c r="A76" s="203" t="s">
        <v>266</v>
      </c>
      <c r="B76" s="203" t="s">
        <v>280</v>
      </c>
      <c r="C76" s="203"/>
      <c r="D76" s="203"/>
      <c r="E76" s="203"/>
      <c r="F76" s="203" t="s">
        <v>266</v>
      </c>
      <c r="G76" s="203" t="s">
        <v>266</v>
      </c>
      <c r="H76" s="203" t="s">
        <v>266</v>
      </c>
      <c r="J76" s="203" t="s">
        <v>266</v>
      </c>
      <c r="K76" s="203" t="s">
        <v>266</v>
      </c>
      <c r="L76" s="203" t="s">
        <v>266</v>
      </c>
      <c r="M76" s="203" t="s">
        <v>266</v>
      </c>
      <c r="N76" s="203" t="s">
        <v>266</v>
      </c>
      <c r="O76" s="203" t="s">
        <v>266</v>
      </c>
      <c r="P76" s="203" t="s">
        <v>266</v>
      </c>
      <c r="R76" s="203" t="s">
        <v>266</v>
      </c>
      <c r="S76" s="203" t="s">
        <v>266</v>
      </c>
      <c r="T76" s="203" t="s">
        <v>266</v>
      </c>
      <c r="U76" s="203" t="s">
        <v>266</v>
      </c>
      <c r="V76" s="203" t="s">
        <v>266</v>
      </c>
      <c r="W76" s="203" t="s">
        <v>266</v>
      </c>
      <c r="X76" s="203" t="s">
        <v>266</v>
      </c>
      <c r="Z76" s="203" t="s">
        <v>266</v>
      </c>
      <c r="AA76" s="203" t="s">
        <v>266</v>
      </c>
      <c r="AB76" s="203" t="s">
        <v>266</v>
      </c>
      <c r="AC76" s="203" t="s">
        <v>266</v>
      </c>
      <c r="AD76" s="203" t="s">
        <v>266</v>
      </c>
      <c r="AE76" s="203" t="s">
        <v>266</v>
      </c>
      <c r="AF76" s="203" t="s">
        <v>266</v>
      </c>
      <c r="AH76">
        <v>1</v>
      </c>
      <c r="AI76">
        <v>5</v>
      </c>
    </row>
    <row r="77" spans="1:35" x14ac:dyDescent="0.25">
      <c r="A77" s="203" t="s">
        <v>266</v>
      </c>
      <c r="B77" s="203" t="s">
        <v>280</v>
      </c>
      <c r="C77" s="203"/>
      <c r="D77" s="203"/>
      <c r="E77" s="203"/>
      <c r="F77" s="203" t="s">
        <v>266</v>
      </c>
      <c r="G77" s="203" t="s">
        <v>266</v>
      </c>
      <c r="H77" s="203" t="s">
        <v>266</v>
      </c>
      <c r="J77" s="203" t="s">
        <v>266</v>
      </c>
      <c r="K77" s="203" t="s">
        <v>266</v>
      </c>
      <c r="L77" s="203" t="s">
        <v>266</v>
      </c>
      <c r="M77" s="203" t="s">
        <v>266</v>
      </c>
      <c r="N77" s="203" t="s">
        <v>266</v>
      </c>
      <c r="O77" s="203" t="s">
        <v>266</v>
      </c>
      <c r="P77" s="203" t="s">
        <v>266</v>
      </c>
      <c r="R77" s="203" t="s">
        <v>266</v>
      </c>
      <c r="S77" s="203" t="s">
        <v>266</v>
      </c>
      <c r="T77" s="203" t="s">
        <v>266</v>
      </c>
      <c r="U77" s="203" t="s">
        <v>266</v>
      </c>
      <c r="V77" s="203" t="s">
        <v>266</v>
      </c>
      <c r="W77" s="203" t="s">
        <v>266</v>
      </c>
      <c r="X77" s="203" t="s">
        <v>266</v>
      </c>
      <c r="Z77" s="203" t="s">
        <v>266</v>
      </c>
      <c r="AA77" s="203" t="s">
        <v>266</v>
      </c>
      <c r="AB77" s="203" t="s">
        <v>266</v>
      </c>
      <c r="AC77" s="203" t="s">
        <v>266</v>
      </c>
      <c r="AD77" s="203" t="s">
        <v>266</v>
      </c>
      <c r="AE77" s="203" t="s">
        <v>266</v>
      </c>
      <c r="AF77" s="203" t="s">
        <v>266</v>
      </c>
      <c r="AH77">
        <v>1</v>
      </c>
      <c r="AI77">
        <v>5</v>
      </c>
    </row>
    <row r="78" spans="1:35" x14ac:dyDescent="0.25">
      <c r="A78" s="203" t="s">
        <v>266</v>
      </c>
      <c r="B78" s="203" t="s">
        <v>280</v>
      </c>
      <c r="C78" s="203"/>
      <c r="D78" s="203"/>
      <c r="E78" s="203"/>
      <c r="F78" s="203" t="s">
        <v>266</v>
      </c>
      <c r="G78" s="203" t="s">
        <v>266</v>
      </c>
      <c r="H78" s="203" t="s">
        <v>266</v>
      </c>
      <c r="J78" s="203" t="s">
        <v>266</v>
      </c>
      <c r="K78" s="203" t="s">
        <v>266</v>
      </c>
      <c r="L78" s="203" t="s">
        <v>266</v>
      </c>
      <c r="M78" s="203" t="s">
        <v>266</v>
      </c>
      <c r="N78" s="203" t="s">
        <v>266</v>
      </c>
      <c r="O78" s="203" t="s">
        <v>266</v>
      </c>
      <c r="P78" s="203" t="s">
        <v>266</v>
      </c>
      <c r="R78" s="203" t="s">
        <v>266</v>
      </c>
      <c r="S78" s="203" t="s">
        <v>266</v>
      </c>
      <c r="T78" s="203" t="s">
        <v>266</v>
      </c>
      <c r="U78" s="203" t="s">
        <v>266</v>
      </c>
      <c r="V78" s="203" t="s">
        <v>266</v>
      </c>
      <c r="W78" s="203" t="s">
        <v>266</v>
      </c>
      <c r="X78" s="203" t="s">
        <v>266</v>
      </c>
      <c r="Z78" s="203" t="s">
        <v>266</v>
      </c>
      <c r="AA78" s="203" t="s">
        <v>266</v>
      </c>
      <c r="AB78" s="203" t="s">
        <v>266</v>
      </c>
      <c r="AC78" s="203" t="s">
        <v>266</v>
      </c>
      <c r="AD78" s="203" t="s">
        <v>266</v>
      </c>
      <c r="AE78" s="203" t="s">
        <v>266</v>
      </c>
      <c r="AF78" s="203" t="s">
        <v>266</v>
      </c>
      <c r="AH78">
        <v>1</v>
      </c>
      <c r="AI78">
        <v>5</v>
      </c>
    </row>
    <row r="79" spans="1:35" x14ac:dyDescent="0.25">
      <c r="A79" s="203" t="s">
        <v>266</v>
      </c>
      <c r="B79" s="203" t="s">
        <v>280</v>
      </c>
      <c r="C79" s="203"/>
      <c r="D79" s="203"/>
      <c r="E79" s="203"/>
      <c r="F79" s="203" t="s">
        <v>266</v>
      </c>
      <c r="G79" s="203" t="s">
        <v>266</v>
      </c>
      <c r="H79" s="203" t="s">
        <v>266</v>
      </c>
      <c r="J79" s="203" t="s">
        <v>266</v>
      </c>
      <c r="K79" s="203" t="s">
        <v>266</v>
      </c>
      <c r="L79" s="203" t="s">
        <v>266</v>
      </c>
      <c r="M79" s="203" t="s">
        <v>266</v>
      </c>
      <c r="N79" s="203" t="s">
        <v>266</v>
      </c>
      <c r="O79" s="203" t="s">
        <v>266</v>
      </c>
      <c r="P79" s="203" t="s">
        <v>266</v>
      </c>
      <c r="R79" s="203" t="s">
        <v>266</v>
      </c>
      <c r="S79" s="203" t="s">
        <v>266</v>
      </c>
      <c r="T79" s="203" t="s">
        <v>266</v>
      </c>
      <c r="U79" s="203" t="s">
        <v>266</v>
      </c>
      <c r="V79" s="203" t="s">
        <v>266</v>
      </c>
      <c r="W79" s="203" t="s">
        <v>266</v>
      </c>
      <c r="X79" s="203" t="s">
        <v>266</v>
      </c>
      <c r="Z79" s="203" t="s">
        <v>266</v>
      </c>
      <c r="AA79" s="203" t="s">
        <v>266</v>
      </c>
      <c r="AB79" s="203" t="s">
        <v>266</v>
      </c>
      <c r="AC79" s="203" t="s">
        <v>266</v>
      </c>
      <c r="AD79" s="203" t="s">
        <v>266</v>
      </c>
      <c r="AE79" s="203" t="s">
        <v>266</v>
      </c>
      <c r="AF79" s="203" t="s">
        <v>266</v>
      </c>
      <c r="AH79">
        <v>1</v>
      </c>
      <c r="AI79">
        <v>5</v>
      </c>
    </row>
    <row r="80" spans="1:35" x14ac:dyDescent="0.25">
      <c r="A80" s="203" t="s">
        <v>266</v>
      </c>
      <c r="B80" s="203" t="s">
        <v>280</v>
      </c>
      <c r="C80" s="203"/>
      <c r="D80" s="203"/>
      <c r="E80" s="203"/>
      <c r="F80" s="203" t="s">
        <v>266</v>
      </c>
      <c r="G80" s="203" t="s">
        <v>266</v>
      </c>
      <c r="H80" s="203" t="s">
        <v>266</v>
      </c>
      <c r="J80" s="203" t="s">
        <v>266</v>
      </c>
      <c r="K80" s="203" t="s">
        <v>266</v>
      </c>
      <c r="L80" s="203" t="s">
        <v>266</v>
      </c>
      <c r="M80" s="203" t="s">
        <v>266</v>
      </c>
      <c r="N80" s="203" t="s">
        <v>266</v>
      </c>
      <c r="O80" s="203" t="s">
        <v>266</v>
      </c>
      <c r="P80" s="203" t="s">
        <v>266</v>
      </c>
      <c r="R80" s="203" t="s">
        <v>266</v>
      </c>
      <c r="S80" s="203" t="s">
        <v>266</v>
      </c>
      <c r="T80" s="203" t="s">
        <v>266</v>
      </c>
      <c r="U80" s="203" t="s">
        <v>266</v>
      </c>
      <c r="V80" s="203" t="s">
        <v>266</v>
      </c>
      <c r="W80" s="203" t="s">
        <v>266</v>
      </c>
      <c r="X80" s="203" t="s">
        <v>266</v>
      </c>
      <c r="Z80" s="203" t="s">
        <v>266</v>
      </c>
      <c r="AA80" s="203" t="s">
        <v>266</v>
      </c>
      <c r="AB80" s="203" t="s">
        <v>266</v>
      </c>
      <c r="AC80" s="203" t="s">
        <v>266</v>
      </c>
      <c r="AD80" s="203" t="s">
        <v>266</v>
      </c>
      <c r="AE80" s="203" t="s">
        <v>266</v>
      </c>
      <c r="AF80" s="203" t="s">
        <v>266</v>
      </c>
      <c r="AH80">
        <v>1</v>
      </c>
      <c r="AI80">
        <v>5</v>
      </c>
    </row>
    <row r="81" spans="1:35" x14ac:dyDescent="0.25">
      <c r="A81" s="203" t="s">
        <v>266</v>
      </c>
      <c r="B81" s="203" t="s">
        <v>280</v>
      </c>
      <c r="C81" s="203"/>
      <c r="D81" s="203"/>
      <c r="E81" s="203"/>
      <c r="F81" s="203" t="s">
        <v>266</v>
      </c>
      <c r="G81" s="203" t="s">
        <v>266</v>
      </c>
      <c r="H81" s="203" t="s">
        <v>266</v>
      </c>
      <c r="J81" s="203" t="s">
        <v>266</v>
      </c>
      <c r="K81" s="203" t="s">
        <v>266</v>
      </c>
      <c r="L81" s="203" t="s">
        <v>266</v>
      </c>
      <c r="M81" s="203" t="s">
        <v>266</v>
      </c>
      <c r="N81" s="203" t="s">
        <v>266</v>
      </c>
      <c r="O81" s="203" t="s">
        <v>266</v>
      </c>
      <c r="P81" s="203" t="s">
        <v>266</v>
      </c>
      <c r="R81" s="203" t="s">
        <v>266</v>
      </c>
      <c r="S81" s="203" t="s">
        <v>266</v>
      </c>
      <c r="T81" s="203" t="s">
        <v>266</v>
      </c>
      <c r="U81" s="203" t="s">
        <v>266</v>
      </c>
      <c r="V81" s="203" t="s">
        <v>266</v>
      </c>
      <c r="W81" s="203" t="s">
        <v>266</v>
      </c>
      <c r="X81" s="203" t="s">
        <v>266</v>
      </c>
      <c r="Z81" s="203" t="s">
        <v>266</v>
      </c>
      <c r="AA81" s="203" t="s">
        <v>266</v>
      </c>
      <c r="AB81" s="203" t="s">
        <v>266</v>
      </c>
      <c r="AC81" s="203" t="s">
        <v>266</v>
      </c>
      <c r="AD81" s="203" t="s">
        <v>266</v>
      </c>
      <c r="AE81" s="203" t="s">
        <v>266</v>
      </c>
      <c r="AF81" s="203" t="s">
        <v>266</v>
      </c>
      <c r="AH81">
        <v>1</v>
      </c>
      <c r="AI81">
        <v>5</v>
      </c>
    </row>
    <row r="82" spans="1:35" x14ac:dyDescent="0.25">
      <c r="A82" s="203" t="s">
        <v>266</v>
      </c>
      <c r="B82" s="203" t="s">
        <v>280</v>
      </c>
      <c r="C82" s="203"/>
      <c r="D82" s="203"/>
      <c r="E82" s="203"/>
      <c r="F82" s="203" t="s">
        <v>266</v>
      </c>
      <c r="G82" s="203" t="s">
        <v>266</v>
      </c>
      <c r="H82" s="203" t="s">
        <v>266</v>
      </c>
      <c r="J82" s="203" t="s">
        <v>266</v>
      </c>
      <c r="K82" s="203" t="s">
        <v>266</v>
      </c>
      <c r="L82" s="203" t="s">
        <v>266</v>
      </c>
      <c r="M82" s="203" t="s">
        <v>266</v>
      </c>
      <c r="N82" s="203" t="s">
        <v>266</v>
      </c>
      <c r="O82" s="203" t="s">
        <v>266</v>
      </c>
      <c r="P82" s="203" t="s">
        <v>266</v>
      </c>
      <c r="R82" s="203" t="s">
        <v>266</v>
      </c>
      <c r="S82" s="203" t="s">
        <v>266</v>
      </c>
      <c r="T82" s="203" t="s">
        <v>266</v>
      </c>
      <c r="U82" s="203" t="s">
        <v>266</v>
      </c>
      <c r="V82" s="203" t="s">
        <v>266</v>
      </c>
      <c r="W82" s="203" t="s">
        <v>266</v>
      </c>
      <c r="X82" s="203" t="s">
        <v>266</v>
      </c>
      <c r="Z82" s="203" t="s">
        <v>266</v>
      </c>
      <c r="AA82" s="203" t="s">
        <v>266</v>
      </c>
      <c r="AB82" s="203" t="s">
        <v>266</v>
      </c>
      <c r="AC82" s="203" t="s">
        <v>266</v>
      </c>
      <c r="AD82" s="203" t="s">
        <v>266</v>
      </c>
      <c r="AE82" s="203" t="s">
        <v>266</v>
      </c>
      <c r="AF82" s="203" t="s">
        <v>266</v>
      </c>
      <c r="AH82">
        <v>1</v>
      </c>
      <c r="AI82">
        <v>5</v>
      </c>
    </row>
    <row r="83" spans="1:35" x14ac:dyDescent="0.25">
      <c r="A83" s="203" t="s">
        <v>266</v>
      </c>
      <c r="B83" s="203" t="s">
        <v>280</v>
      </c>
      <c r="C83" s="203"/>
      <c r="D83" s="203"/>
      <c r="E83" s="203"/>
      <c r="F83" s="203" t="s">
        <v>266</v>
      </c>
      <c r="G83" s="203" t="s">
        <v>266</v>
      </c>
      <c r="H83" s="203" t="s">
        <v>266</v>
      </c>
      <c r="J83" s="203" t="s">
        <v>266</v>
      </c>
      <c r="K83" s="203" t="s">
        <v>266</v>
      </c>
      <c r="L83" s="203" t="s">
        <v>266</v>
      </c>
      <c r="M83" s="203" t="s">
        <v>266</v>
      </c>
      <c r="N83" s="203" t="s">
        <v>266</v>
      </c>
      <c r="O83" s="203" t="s">
        <v>266</v>
      </c>
      <c r="P83" s="203" t="s">
        <v>266</v>
      </c>
      <c r="R83" s="203" t="s">
        <v>266</v>
      </c>
      <c r="S83" s="203" t="s">
        <v>266</v>
      </c>
      <c r="T83" s="203" t="s">
        <v>266</v>
      </c>
      <c r="U83" s="203" t="s">
        <v>266</v>
      </c>
      <c r="V83" s="203" t="s">
        <v>266</v>
      </c>
      <c r="W83" s="203" t="s">
        <v>266</v>
      </c>
      <c r="X83" s="203" t="s">
        <v>266</v>
      </c>
      <c r="Z83" s="203" t="s">
        <v>266</v>
      </c>
      <c r="AA83" s="203" t="s">
        <v>266</v>
      </c>
      <c r="AB83" s="203" t="s">
        <v>266</v>
      </c>
      <c r="AC83" s="203" t="s">
        <v>266</v>
      </c>
      <c r="AD83" s="203" t="s">
        <v>266</v>
      </c>
      <c r="AE83" s="203" t="s">
        <v>266</v>
      </c>
      <c r="AF83" s="203" t="s">
        <v>266</v>
      </c>
      <c r="AH83">
        <v>1</v>
      </c>
      <c r="AI83">
        <v>5</v>
      </c>
    </row>
    <row r="84" spans="1:35" x14ac:dyDescent="0.25">
      <c r="A84" s="203" t="s">
        <v>266</v>
      </c>
      <c r="B84" s="203" t="s">
        <v>280</v>
      </c>
      <c r="C84" s="203"/>
      <c r="D84" s="203"/>
      <c r="E84" s="203"/>
      <c r="F84" s="203" t="s">
        <v>266</v>
      </c>
      <c r="G84" s="203" t="s">
        <v>266</v>
      </c>
      <c r="H84" s="203" t="s">
        <v>266</v>
      </c>
      <c r="J84" s="203" t="s">
        <v>266</v>
      </c>
      <c r="K84" s="203" t="s">
        <v>266</v>
      </c>
      <c r="L84" s="203" t="s">
        <v>266</v>
      </c>
      <c r="M84" s="203" t="s">
        <v>266</v>
      </c>
      <c r="N84" s="203" t="s">
        <v>266</v>
      </c>
      <c r="O84" s="203" t="s">
        <v>266</v>
      </c>
      <c r="P84" s="203" t="s">
        <v>266</v>
      </c>
      <c r="R84" s="203" t="s">
        <v>266</v>
      </c>
      <c r="S84" s="203" t="s">
        <v>266</v>
      </c>
      <c r="T84" s="203" t="s">
        <v>266</v>
      </c>
      <c r="U84" s="203" t="s">
        <v>266</v>
      </c>
      <c r="V84" s="203" t="s">
        <v>266</v>
      </c>
      <c r="W84" s="203" t="s">
        <v>266</v>
      </c>
      <c r="X84" s="203" t="s">
        <v>266</v>
      </c>
      <c r="Z84" s="203" t="s">
        <v>266</v>
      </c>
      <c r="AA84" s="203" t="s">
        <v>266</v>
      </c>
      <c r="AB84" s="203" t="s">
        <v>266</v>
      </c>
      <c r="AC84" s="203" t="s">
        <v>266</v>
      </c>
      <c r="AD84" s="203" t="s">
        <v>266</v>
      </c>
      <c r="AE84" s="203" t="s">
        <v>266</v>
      </c>
      <c r="AF84" s="203" t="s">
        <v>266</v>
      </c>
      <c r="AH84">
        <v>1</v>
      </c>
      <c r="AI84">
        <v>5</v>
      </c>
    </row>
    <row r="85" spans="1:35" x14ac:dyDescent="0.25">
      <c r="A85" s="203" t="s">
        <v>266</v>
      </c>
      <c r="B85" s="203" t="s">
        <v>280</v>
      </c>
      <c r="C85" s="203"/>
      <c r="D85" s="203"/>
      <c r="E85" s="203"/>
      <c r="F85" s="203" t="s">
        <v>266</v>
      </c>
      <c r="G85" s="203" t="s">
        <v>266</v>
      </c>
      <c r="H85" s="203" t="s">
        <v>266</v>
      </c>
      <c r="J85" s="203" t="s">
        <v>266</v>
      </c>
      <c r="K85" s="203" t="s">
        <v>266</v>
      </c>
      <c r="L85" s="203" t="s">
        <v>266</v>
      </c>
      <c r="M85" s="203" t="s">
        <v>266</v>
      </c>
      <c r="N85" s="203" t="s">
        <v>266</v>
      </c>
      <c r="O85" s="203" t="s">
        <v>266</v>
      </c>
      <c r="P85" s="203" t="s">
        <v>266</v>
      </c>
      <c r="R85" s="203" t="s">
        <v>266</v>
      </c>
      <c r="S85" s="203" t="s">
        <v>266</v>
      </c>
      <c r="T85" s="203" t="s">
        <v>266</v>
      </c>
      <c r="U85" s="203" t="s">
        <v>266</v>
      </c>
      <c r="V85" s="203" t="s">
        <v>266</v>
      </c>
      <c r="W85" s="203" t="s">
        <v>266</v>
      </c>
      <c r="X85" s="203" t="s">
        <v>266</v>
      </c>
      <c r="Z85" s="203" t="s">
        <v>266</v>
      </c>
      <c r="AA85" s="203" t="s">
        <v>266</v>
      </c>
      <c r="AB85" s="203" t="s">
        <v>266</v>
      </c>
      <c r="AC85" s="203" t="s">
        <v>266</v>
      </c>
      <c r="AD85" s="203" t="s">
        <v>266</v>
      </c>
      <c r="AE85" s="203" t="s">
        <v>266</v>
      </c>
      <c r="AF85" s="203" t="s">
        <v>266</v>
      </c>
      <c r="AH85">
        <v>1</v>
      </c>
      <c r="AI85">
        <v>5</v>
      </c>
    </row>
    <row r="86" spans="1:35" x14ac:dyDescent="0.25">
      <c r="A86" s="203" t="s">
        <v>266</v>
      </c>
      <c r="B86" s="203" t="s">
        <v>280</v>
      </c>
      <c r="C86" s="203"/>
      <c r="D86" s="203"/>
      <c r="E86" s="203"/>
      <c r="F86" s="203" t="s">
        <v>266</v>
      </c>
      <c r="G86" s="203" t="s">
        <v>266</v>
      </c>
      <c r="H86" s="203" t="s">
        <v>266</v>
      </c>
      <c r="J86" s="203" t="s">
        <v>266</v>
      </c>
      <c r="K86" s="203" t="s">
        <v>266</v>
      </c>
      <c r="L86" s="203" t="s">
        <v>266</v>
      </c>
      <c r="M86" s="203" t="s">
        <v>266</v>
      </c>
      <c r="N86" s="203" t="s">
        <v>266</v>
      </c>
      <c r="O86" s="203" t="s">
        <v>266</v>
      </c>
      <c r="P86" s="203" t="s">
        <v>266</v>
      </c>
      <c r="R86" s="203" t="s">
        <v>266</v>
      </c>
      <c r="S86" s="203" t="s">
        <v>266</v>
      </c>
      <c r="T86" s="203" t="s">
        <v>266</v>
      </c>
      <c r="U86" s="203" t="s">
        <v>266</v>
      </c>
      <c r="V86" s="203" t="s">
        <v>266</v>
      </c>
      <c r="W86" s="203" t="s">
        <v>266</v>
      </c>
      <c r="X86" s="203" t="s">
        <v>266</v>
      </c>
      <c r="Z86" s="203" t="s">
        <v>266</v>
      </c>
      <c r="AA86" s="203" t="s">
        <v>266</v>
      </c>
      <c r="AB86" s="203" t="s">
        <v>266</v>
      </c>
      <c r="AC86" s="203" t="s">
        <v>266</v>
      </c>
      <c r="AD86" s="203" t="s">
        <v>266</v>
      </c>
      <c r="AE86" s="203" t="s">
        <v>266</v>
      </c>
      <c r="AF86" s="203" t="s">
        <v>266</v>
      </c>
      <c r="AH86">
        <v>1</v>
      </c>
      <c r="AI86">
        <v>5</v>
      </c>
    </row>
    <row r="87" spans="1:35" x14ac:dyDescent="0.25">
      <c r="A87" s="203" t="s">
        <v>266</v>
      </c>
      <c r="B87" s="203" t="s">
        <v>280</v>
      </c>
      <c r="C87" s="203"/>
      <c r="D87" s="203"/>
      <c r="E87" s="203"/>
      <c r="F87" s="203" t="s">
        <v>266</v>
      </c>
      <c r="G87" s="203" t="s">
        <v>266</v>
      </c>
      <c r="H87" s="203" t="s">
        <v>266</v>
      </c>
      <c r="J87" s="203" t="s">
        <v>266</v>
      </c>
      <c r="K87" s="203" t="s">
        <v>266</v>
      </c>
      <c r="L87" s="203" t="s">
        <v>266</v>
      </c>
      <c r="M87" s="203" t="s">
        <v>266</v>
      </c>
      <c r="N87" s="203" t="s">
        <v>266</v>
      </c>
      <c r="O87" s="203" t="s">
        <v>266</v>
      </c>
      <c r="P87" s="203" t="s">
        <v>266</v>
      </c>
      <c r="R87" s="203" t="s">
        <v>266</v>
      </c>
      <c r="S87" s="203" t="s">
        <v>266</v>
      </c>
      <c r="T87" s="203" t="s">
        <v>266</v>
      </c>
      <c r="U87" s="203" t="s">
        <v>266</v>
      </c>
      <c r="V87" s="203" t="s">
        <v>266</v>
      </c>
      <c r="W87" s="203" t="s">
        <v>266</v>
      </c>
      <c r="X87" s="203" t="s">
        <v>266</v>
      </c>
      <c r="Z87" s="203" t="s">
        <v>266</v>
      </c>
      <c r="AA87" s="203" t="s">
        <v>266</v>
      </c>
      <c r="AB87" s="203" t="s">
        <v>266</v>
      </c>
      <c r="AC87" s="203" t="s">
        <v>266</v>
      </c>
      <c r="AD87" s="203" t="s">
        <v>266</v>
      </c>
      <c r="AE87" s="203" t="s">
        <v>266</v>
      </c>
      <c r="AF87" s="203" t="s">
        <v>266</v>
      </c>
      <c r="AH87">
        <v>1</v>
      </c>
      <c r="AI87">
        <v>5</v>
      </c>
    </row>
    <row r="88" spans="1:35" x14ac:dyDescent="0.25">
      <c r="A88" s="203" t="s">
        <v>266</v>
      </c>
      <c r="B88" s="203" t="s">
        <v>280</v>
      </c>
      <c r="C88" s="203"/>
      <c r="D88" s="203"/>
      <c r="E88" s="203"/>
      <c r="F88" s="203" t="s">
        <v>266</v>
      </c>
      <c r="G88" s="203" t="s">
        <v>266</v>
      </c>
      <c r="H88" s="203" t="s">
        <v>266</v>
      </c>
      <c r="J88" s="203" t="s">
        <v>266</v>
      </c>
      <c r="K88" s="203" t="s">
        <v>266</v>
      </c>
      <c r="L88" s="203" t="s">
        <v>266</v>
      </c>
      <c r="M88" s="203" t="s">
        <v>266</v>
      </c>
      <c r="N88" s="203" t="s">
        <v>266</v>
      </c>
      <c r="O88" s="203" t="s">
        <v>266</v>
      </c>
      <c r="P88" s="203" t="s">
        <v>266</v>
      </c>
      <c r="R88" s="203" t="s">
        <v>266</v>
      </c>
      <c r="S88" s="203" t="s">
        <v>266</v>
      </c>
      <c r="T88" s="203" t="s">
        <v>266</v>
      </c>
      <c r="U88" s="203" t="s">
        <v>266</v>
      </c>
      <c r="V88" s="203" t="s">
        <v>266</v>
      </c>
      <c r="W88" s="203" t="s">
        <v>266</v>
      </c>
      <c r="X88" s="203" t="s">
        <v>266</v>
      </c>
      <c r="Z88" s="203" t="s">
        <v>266</v>
      </c>
      <c r="AA88" s="203" t="s">
        <v>266</v>
      </c>
      <c r="AB88" s="203" t="s">
        <v>266</v>
      </c>
      <c r="AC88" s="203" t="s">
        <v>266</v>
      </c>
      <c r="AD88" s="203" t="s">
        <v>266</v>
      </c>
      <c r="AE88" s="203" t="s">
        <v>266</v>
      </c>
      <c r="AF88" s="203" t="s">
        <v>266</v>
      </c>
      <c r="AH88">
        <v>1</v>
      </c>
      <c r="AI88">
        <v>5</v>
      </c>
    </row>
    <row r="89" spans="1:35" x14ac:dyDescent="0.25">
      <c r="A89" s="203" t="s">
        <v>266</v>
      </c>
      <c r="B89" s="203" t="s">
        <v>280</v>
      </c>
      <c r="C89" s="203"/>
      <c r="D89" s="203"/>
      <c r="E89" s="203"/>
      <c r="F89" s="203" t="s">
        <v>266</v>
      </c>
      <c r="G89" s="203" t="s">
        <v>266</v>
      </c>
      <c r="H89" s="203" t="s">
        <v>266</v>
      </c>
      <c r="J89" s="203" t="s">
        <v>266</v>
      </c>
      <c r="K89" s="203" t="s">
        <v>266</v>
      </c>
      <c r="L89" s="203" t="s">
        <v>266</v>
      </c>
      <c r="M89" s="203" t="s">
        <v>266</v>
      </c>
      <c r="N89" s="203" t="s">
        <v>266</v>
      </c>
      <c r="O89" s="203" t="s">
        <v>266</v>
      </c>
      <c r="P89" s="203" t="s">
        <v>266</v>
      </c>
      <c r="R89" s="203" t="s">
        <v>266</v>
      </c>
      <c r="S89" s="203" t="s">
        <v>266</v>
      </c>
      <c r="T89" s="203" t="s">
        <v>266</v>
      </c>
      <c r="U89" s="203" t="s">
        <v>266</v>
      </c>
      <c r="V89" s="203" t="s">
        <v>266</v>
      </c>
      <c r="W89" s="203" t="s">
        <v>266</v>
      </c>
      <c r="X89" s="203" t="s">
        <v>266</v>
      </c>
      <c r="Z89" s="203" t="s">
        <v>266</v>
      </c>
      <c r="AA89" s="203" t="s">
        <v>266</v>
      </c>
      <c r="AB89" s="203" t="s">
        <v>266</v>
      </c>
      <c r="AC89" s="203" t="s">
        <v>266</v>
      </c>
      <c r="AD89" s="203" t="s">
        <v>266</v>
      </c>
      <c r="AE89" s="203" t="s">
        <v>266</v>
      </c>
      <c r="AF89" s="203" t="s">
        <v>266</v>
      </c>
      <c r="AH89">
        <v>1</v>
      </c>
      <c r="AI89">
        <v>5</v>
      </c>
    </row>
    <row r="90" spans="1:35" x14ac:dyDescent="0.25">
      <c r="A90" s="203" t="s">
        <v>266</v>
      </c>
      <c r="B90" s="203" t="s">
        <v>280</v>
      </c>
      <c r="C90" s="203"/>
      <c r="D90" s="203"/>
      <c r="E90" s="203"/>
      <c r="F90" s="203" t="s">
        <v>266</v>
      </c>
      <c r="G90" s="203" t="s">
        <v>266</v>
      </c>
      <c r="H90" s="203" t="s">
        <v>266</v>
      </c>
      <c r="J90" s="203" t="s">
        <v>266</v>
      </c>
      <c r="K90" s="203" t="s">
        <v>266</v>
      </c>
      <c r="L90" s="203" t="s">
        <v>266</v>
      </c>
      <c r="M90" s="203" t="s">
        <v>266</v>
      </c>
      <c r="N90" s="203" t="s">
        <v>266</v>
      </c>
      <c r="O90" s="203" t="s">
        <v>266</v>
      </c>
      <c r="P90" s="203" t="s">
        <v>266</v>
      </c>
      <c r="R90" s="203" t="s">
        <v>266</v>
      </c>
      <c r="S90" s="203" t="s">
        <v>266</v>
      </c>
      <c r="T90" s="203" t="s">
        <v>266</v>
      </c>
      <c r="U90" s="203" t="s">
        <v>266</v>
      </c>
      <c r="V90" s="203" t="s">
        <v>266</v>
      </c>
      <c r="W90" s="203" t="s">
        <v>266</v>
      </c>
      <c r="X90" s="203" t="s">
        <v>266</v>
      </c>
      <c r="Z90" s="203" t="s">
        <v>266</v>
      </c>
      <c r="AA90" s="203" t="s">
        <v>266</v>
      </c>
      <c r="AB90" s="203" t="s">
        <v>266</v>
      </c>
      <c r="AC90" s="203" t="s">
        <v>266</v>
      </c>
      <c r="AD90" s="203" t="s">
        <v>266</v>
      </c>
      <c r="AE90" s="203" t="s">
        <v>266</v>
      </c>
      <c r="AF90" s="203" t="s">
        <v>266</v>
      </c>
      <c r="AH90">
        <v>1</v>
      </c>
      <c r="AI90">
        <v>5</v>
      </c>
    </row>
    <row r="91" spans="1:35" x14ac:dyDescent="0.25">
      <c r="A91" s="203" t="s">
        <v>266</v>
      </c>
      <c r="B91" s="203" t="s">
        <v>280</v>
      </c>
      <c r="C91" s="203"/>
      <c r="D91" s="203"/>
      <c r="E91" s="203"/>
      <c r="F91" s="203" t="s">
        <v>266</v>
      </c>
      <c r="G91" s="203" t="s">
        <v>266</v>
      </c>
      <c r="H91" s="203" t="s">
        <v>266</v>
      </c>
      <c r="J91" s="203" t="s">
        <v>266</v>
      </c>
      <c r="K91" s="203" t="s">
        <v>266</v>
      </c>
      <c r="L91" s="203" t="s">
        <v>266</v>
      </c>
      <c r="M91" s="203" t="s">
        <v>266</v>
      </c>
      <c r="N91" s="203" t="s">
        <v>266</v>
      </c>
      <c r="O91" s="203" t="s">
        <v>266</v>
      </c>
      <c r="P91" s="203" t="s">
        <v>266</v>
      </c>
      <c r="R91" s="203" t="s">
        <v>266</v>
      </c>
      <c r="S91" s="203" t="s">
        <v>266</v>
      </c>
      <c r="T91" s="203" t="s">
        <v>266</v>
      </c>
      <c r="U91" s="203" t="s">
        <v>266</v>
      </c>
      <c r="V91" s="203" t="s">
        <v>266</v>
      </c>
      <c r="W91" s="203" t="s">
        <v>266</v>
      </c>
      <c r="X91" s="203" t="s">
        <v>266</v>
      </c>
      <c r="Z91" s="203" t="s">
        <v>266</v>
      </c>
      <c r="AA91" s="203" t="s">
        <v>266</v>
      </c>
      <c r="AB91" s="203" t="s">
        <v>266</v>
      </c>
      <c r="AC91" s="203" t="s">
        <v>266</v>
      </c>
      <c r="AD91" s="203" t="s">
        <v>266</v>
      </c>
      <c r="AE91" s="203" t="s">
        <v>266</v>
      </c>
      <c r="AF91" s="203" t="s">
        <v>266</v>
      </c>
      <c r="AH91">
        <v>1</v>
      </c>
      <c r="AI91">
        <v>5</v>
      </c>
    </row>
    <row r="92" spans="1:35" x14ac:dyDescent="0.25">
      <c r="A92" s="203" t="s">
        <v>266</v>
      </c>
      <c r="B92" s="203" t="s">
        <v>280</v>
      </c>
      <c r="C92" s="203"/>
      <c r="D92" s="203"/>
      <c r="E92" s="203"/>
      <c r="F92" s="203" t="s">
        <v>266</v>
      </c>
      <c r="G92" s="203" t="s">
        <v>266</v>
      </c>
      <c r="H92" s="203" t="s">
        <v>266</v>
      </c>
      <c r="J92" s="203" t="s">
        <v>266</v>
      </c>
      <c r="K92" s="203" t="s">
        <v>266</v>
      </c>
      <c r="L92" s="203" t="s">
        <v>266</v>
      </c>
      <c r="M92" s="203" t="s">
        <v>266</v>
      </c>
      <c r="N92" s="203" t="s">
        <v>266</v>
      </c>
      <c r="O92" s="203" t="s">
        <v>266</v>
      </c>
      <c r="P92" s="203" t="s">
        <v>266</v>
      </c>
      <c r="R92" s="203" t="s">
        <v>266</v>
      </c>
      <c r="S92" s="203" t="s">
        <v>266</v>
      </c>
      <c r="T92" s="203" t="s">
        <v>266</v>
      </c>
      <c r="U92" s="203" t="s">
        <v>266</v>
      </c>
      <c r="V92" s="203" t="s">
        <v>266</v>
      </c>
      <c r="W92" s="203" t="s">
        <v>266</v>
      </c>
      <c r="X92" s="203" t="s">
        <v>266</v>
      </c>
      <c r="Z92" s="203" t="s">
        <v>266</v>
      </c>
      <c r="AA92" s="203" t="s">
        <v>266</v>
      </c>
      <c r="AB92" s="203" t="s">
        <v>266</v>
      </c>
      <c r="AC92" s="203" t="s">
        <v>266</v>
      </c>
      <c r="AD92" s="203" t="s">
        <v>266</v>
      </c>
      <c r="AE92" s="203" t="s">
        <v>266</v>
      </c>
      <c r="AF92" s="203" t="s">
        <v>266</v>
      </c>
      <c r="AH92">
        <v>1</v>
      </c>
      <c r="AI92">
        <v>5</v>
      </c>
    </row>
    <row r="93" spans="1:35" x14ac:dyDescent="0.25">
      <c r="A93" s="203" t="s">
        <v>266</v>
      </c>
      <c r="B93" s="203" t="s">
        <v>280</v>
      </c>
      <c r="C93" s="203"/>
      <c r="D93" s="203"/>
      <c r="E93" s="203"/>
      <c r="F93" s="203" t="s">
        <v>266</v>
      </c>
      <c r="G93" s="203" t="s">
        <v>266</v>
      </c>
      <c r="H93" s="203" t="s">
        <v>266</v>
      </c>
      <c r="J93" s="203" t="s">
        <v>266</v>
      </c>
      <c r="K93" s="203" t="s">
        <v>266</v>
      </c>
      <c r="L93" s="203" t="s">
        <v>266</v>
      </c>
      <c r="M93" s="203" t="s">
        <v>266</v>
      </c>
      <c r="N93" s="203" t="s">
        <v>266</v>
      </c>
      <c r="O93" s="203" t="s">
        <v>266</v>
      </c>
      <c r="P93" s="203" t="s">
        <v>266</v>
      </c>
      <c r="R93" s="203" t="s">
        <v>266</v>
      </c>
      <c r="S93" s="203" t="s">
        <v>266</v>
      </c>
      <c r="T93" s="203" t="s">
        <v>266</v>
      </c>
      <c r="U93" s="203" t="s">
        <v>266</v>
      </c>
      <c r="V93" s="203" t="s">
        <v>266</v>
      </c>
      <c r="W93" s="203" t="s">
        <v>266</v>
      </c>
      <c r="X93" s="203" t="s">
        <v>266</v>
      </c>
      <c r="Z93" s="203" t="s">
        <v>266</v>
      </c>
      <c r="AA93" s="203" t="s">
        <v>266</v>
      </c>
      <c r="AB93" s="203" t="s">
        <v>266</v>
      </c>
      <c r="AC93" s="203" t="s">
        <v>266</v>
      </c>
      <c r="AD93" s="203" t="s">
        <v>266</v>
      </c>
      <c r="AE93" s="203" t="s">
        <v>266</v>
      </c>
      <c r="AF93" s="203" t="s">
        <v>266</v>
      </c>
      <c r="AH93">
        <v>1</v>
      </c>
      <c r="AI93">
        <v>5</v>
      </c>
    </row>
    <row r="94" spans="1:35" x14ac:dyDescent="0.25">
      <c r="A94" s="203" t="s">
        <v>266</v>
      </c>
      <c r="B94" s="203" t="s">
        <v>280</v>
      </c>
      <c r="C94" s="203"/>
      <c r="D94" s="203"/>
      <c r="E94" s="203"/>
      <c r="F94" s="203" t="s">
        <v>266</v>
      </c>
      <c r="G94" s="203" t="s">
        <v>266</v>
      </c>
      <c r="H94" s="203" t="s">
        <v>266</v>
      </c>
      <c r="J94" s="203" t="s">
        <v>266</v>
      </c>
      <c r="K94" s="203" t="s">
        <v>266</v>
      </c>
      <c r="L94" s="203" t="s">
        <v>266</v>
      </c>
      <c r="M94" s="203" t="s">
        <v>266</v>
      </c>
      <c r="N94" s="203" t="s">
        <v>266</v>
      </c>
      <c r="O94" s="203" t="s">
        <v>266</v>
      </c>
      <c r="P94" s="203" t="s">
        <v>266</v>
      </c>
      <c r="R94" s="203" t="s">
        <v>266</v>
      </c>
      <c r="S94" s="203" t="s">
        <v>266</v>
      </c>
      <c r="T94" s="203" t="s">
        <v>266</v>
      </c>
      <c r="U94" s="203" t="s">
        <v>266</v>
      </c>
      <c r="V94" s="203" t="s">
        <v>266</v>
      </c>
      <c r="W94" s="203" t="s">
        <v>266</v>
      </c>
      <c r="X94" s="203" t="s">
        <v>266</v>
      </c>
      <c r="Z94" s="203" t="s">
        <v>266</v>
      </c>
      <c r="AA94" s="203" t="s">
        <v>266</v>
      </c>
      <c r="AB94" s="203" t="s">
        <v>266</v>
      </c>
      <c r="AC94" s="203" t="s">
        <v>266</v>
      </c>
      <c r="AD94" s="203" t="s">
        <v>266</v>
      </c>
      <c r="AE94" s="203" t="s">
        <v>266</v>
      </c>
      <c r="AF94" s="203" t="s">
        <v>266</v>
      </c>
      <c r="AH94">
        <v>1</v>
      </c>
      <c r="AI94">
        <v>5</v>
      </c>
    </row>
    <row r="95" spans="1:35" x14ac:dyDescent="0.25">
      <c r="A95" s="203" t="s">
        <v>266</v>
      </c>
      <c r="B95" s="203" t="s">
        <v>280</v>
      </c>
      <c r="C95" s="203"/>
      <c r="D95" s="203"/>
      <c r="E95" s="203"/>
      <c r="F95" s="203" t="s">
        <v>266</v>
      </c>
      <c r="G95" s="203" t="s">
        <v>266</v>
      </c>
      <c r="H95" s="203" t="s">
        <v>266</v>
      </c>
      <c r="J95" s="203" t="s">
        <v>266</v>
      </c>
      <c r="K95" s="203" t="s">
        <v>266</v>
      </c>
      <c r="L95" s="203" t="s">
        <v>266</v>
      </c>
      <c r="M95" s="203" t="s">
        <v>266</v>
      </c>
      <c r="N95" s="203" t="s">
        <v>266</v>
      </c>
      <c r="O95" s="203" t="s">
        <v>266</v>
      </c>
      <c r="P95" s="203" t="s">
        <v>266</v>
      </c>
      <c r="R95" s="203" t="s">
        <v>266</v>
      </c>
      <c r="S95" s="203" t="s">
        <v>266</v>
      </c>
      <c r="T95" s="203" t="s">
        <v>266</v>
      </c>
      <c r="U95" s="203" t="s">
        <v>266</v>
      </c>
      <c r="V95" s="203" t="s">
        <v>266</v>
      </c>
      <c r="W95" s="203" t="s">
        <v>266</v>
      </c>
      <c r="X95" s="203" t="s">
        <v>266</v>
      </c>
      <c r="Z95" s="203" t="s">
        <v>266</v>
      </c>
      <c r="AA95" s="203" t="s">
        <v>266</v>
      </c>
      <c r="AB95" s="203" t="s">
        <v>266</v>
      </c>
      <c r="AC95" s="203" t="s">
        <v>266</v>
      </c>
      <c r="AD95" s="203" t="s">
        <v>266</v>
      </c>
      <c r="AE95" s="203" t="s">
        <v>266</v>
      </c>
      <c r="AF95" s="203" t="s">
        <v>266</v>
      </c>
      <c r="AH95">
        <v>1</v>
      </c>
      <c r="AI95">
        <v>5</v>
      </c>
    </row>
    <row r="96" spans="1:35" x14ac:dyDescent="0.25">
      <c r="A96" s="203" t="s">
        <v>266</v>
      </c>
      <c r="B96" s="203" t="s">
        <v>280</v>
      </c>
      <c r="C96" s="203"/>
      <c r="D96" s="203"/>
      <c r="E96" s="203"/>
      <c r="F96" s="203" t="s">
        <v>266</v>
      </c>
      <c r="G96" s="203" t="s">
        <v>266</v>
      </c>
      <c r="H96" s="203" t="s">
        <v>266</v>
      </c>
      <c r="J96" s="203" t="s">
        <v>266</v>
      </c>
      <c r="K96" s="203" t="s">
        <v>266</v>
      </c>
      <c r="L96" s="203" t="s">
        <v>266</v>
      </c>
      <c r="M96" s="203" t="s">
        <v>266</v>
      </c>
      <c r="N96" s="203" t="s">
        <v>266</v>
      </c>
      <c r="O96" s="203" t="s">
        <v>266</v>
      </c>
      <c r="P96" s="203" t="s">
        <v>266</v>
      </c>
      <c r="R96" s="203" t="s">
        <v>266</v>
      </c>
      <c r="S96" s="203" t="s">
        <v>266</v>
      </c>
      <c r="T96" s="203" t="s">
        <v>266</v>
      </c>
      <c r="U96" s="203" t="s">
        <v>266</v>
      </c>
      <c r="V96" s="203" t="s">
        <v>266</v>
      </c>
      <c r="W96" s="203" t="s">
        <v>266</v>
      </c>
      <c r="X96" s="203" t="s">
        <v>266</v>
      </c>
      <c r="Z96" s="203" t="s">
        <v>266</v>
      </c>
      <c r="AA96" s="203" t="s">
        <v>266</v>
      </c>
      <c r="AB96" s="203" t="s">
        <v>266</v>
      </c>
      <c r="AC96" s="203" t="s">
        <v>266</v>
      </c>
      <c r="AD96" s="203" t="s">
        <v>266</v>
      </c>
      <c r="AE96" s="203" t="s">
        <v>266</v>
      </c>
      <c r="AF96" s="203" t="s">
        <v>266</v>
      </c>
      <c r="AH96">
        <v>1</v>
      </c>
      <c r="AI96">
        <v>5</v>
      </c>
    </row>
    <row r="97" spans="1:35" x14ac:dyDescent="0.25">
      <c r="A97" s="203" t="s">
        <v>266</v>
      </c>
      <c r="B97" s="203" t="s">
        <v>280</v>
      </c>
      <c r="C97" s="203"/>
      <c r="D97" s="203"/>
      <c r="E97" s="203"/>
      <c r="F97" s="203" t="s">
        <v>266</v>
      </c>
      <c r="G97" s="203" t="s">
        <v>266</v>
      </c>
      <c r="H97" s="203" t="s">
        <v>266</v>
      </c>
      <c r="J97" s="203" t="s">
        <v>266</v>
      </c>
      <c r="K97" s="203" t="s">
        <v>266</v>
      </c>
      <c r="L97" s="203" t="s">
        <v>266</v>
      </c>
      <c r="M97" s="203" t="s">
        <v>266</v>
      </c>
      <c r="N97" s="203" t="s">
        <v>266</v>
      </c>
      <c r="O97" s="203" t="s">
        <v>266</v>
      </c>
      <c r="P97" s="203" t="s">
        <v>266</v>
      </c>
      <c r="R97" s="203" t="s">
        <v>266</v>
      </c>
      <c r="S97" s="203" t="s">
        <v>266</v>
      </c>
      <c r="T97" s="203" t="s">
        <v>266</v>
      </c>
      <c r="U97" s="203" t="s">
        <v>266</v>
      </c>
      <c r="V97" s="203" t="s">
        <v>266</v>
      </c>
      <c r="W97" s="203" t="s">
        <v>266</v>
      </c>
      <c r="X97" s="203" t="s">
        <v>266</v>
      </c>
      <c r="Z97" s="203" t="s">
        <v>266</v>
      </c>
      <c r="AA97" s="203" t="s">
        <v>266</v>
      </c>
      <c r="AB97" s="203" t="s">
        <v>266</v>
      </c>
      <c r="AC97" s="203" t="s">
        <v>266</v>
      </c>
      <c r="AD97" s="203" t="s">
        <v>266</v>
      </c>
      <c r="AE97" s="203" t="s">
        <v>266</v>
      </c>
      <c r="AF97" s="203" t="s">
        <v>266</v>
      </c>
      <c r="AH97">
        <v>1</v>
      </c>
      <c r="AI97">
        <v>5</v>
      </c>
    </row>
    <row r="98" spans="1:35" x14ac:dyDescent="0.25">
      <c r="A98" s="203" t="s">
        <v>266</v>
      </c>
      <c r="B98" s="203" t="s">
        <v>280</v>
      </c>
      <c r="C98" s="203"/>
      <c r="D98" s="203"/>
      <c r="E98" s="203"/>
      <c r="F98" s="203" t="s">
        <v>266</v>
      </c>
      <c r="G98" s="203" t="s">
        <v>266</v>
      </c>
      <c r="H98" s="203" t="s">
        <v>266</v>
      </c>
      <c r="J98" s="203" t="s">
        <v>266</v>
      </c>
      <c r="K98" s="203" t="s">
        <v>266</v>
      </c>
      <c r="L98" s="203" t="s">
        <v>266</v>
      </c>
      <c r="M98" s="203" t="s">
        <v>266</v>
      </c>
      <c r="N98" s="203" t="s">
        <v>266</v>
      </c>
      <c r="O98" s="203" t="s">
        <v>266</v>
      </c>
      <c r="P98" s="203" t="s">
        <v>266</v>
      </c>
      <c r="R98" s="203" t="s">
        <v>266</v>
      </c>
      <c r="S98" s="203" t="s">
        <v>266</v>
      </c>
      <c r="T98" s="203" t="s">
        <v>266</v>
      </c>
      <c r="U98" s="203" t="s">
        <v>266</v>
      </c>
      <c r="V98" s="203" t="s">
        <v>266</v>
      </c>
      <c r="W98" s="203" t="s">
        <v>266</v>
      </c>
      <c r="X98" s="203" t="s">
        <v>266</v>
      </c>
      <c r="Z98" s="203" t="s">
        <v>266</v>
      </c>
      <c r="AA98" s="203" t="s">
        <v>266</v>
      </c>
      <c r="AB98" s="203" t="s">
        <v>266</v>
      </c>
      <c r="AC98" s="203" t="s">
        <v>266</v>
      </c>
      <c r="AD98" s="203" t="s">
        <v>266</v>
      </c>
      <c r="AE98" s="203" t="s">
        <v>266</v>
      </c>
      <c r="AF98" s="203" t="s">
        <v>266</v>
      </c>
      <c r="AH98">
        <v>1</v>
      </c>
      <c r="AI98">
        <v>5</v>
      </c>
    </row>
    <row r="99" spans="1:35" x14ac:dyDescent="0.25">
      <c r="A99" s="203" t="s">
        <v>266</v>
      </c>
      <c r="B99" s="203" t="s">
        <v>280</v>
      </c>
      <c r="C99" s="203"/>
      <c r="D99" s="203"/>
      <c r="E99" s="203"/>
      <c r="F99" s="203" t="s">
        <v>266</v>
      </c>
      <c r="G99" s="203" t="s">
        <v>266</v>
      </c>
      <c r="H99" s="203" t="s">
        <v>266</v>
      </c>
      <c r="J99" s="203" t="s">
        <v>266</v>
      </c>
      <c r="K99" s="203" t="s">
        <v>266</v>
      </c>
      <c r="L99" s="203" t="s">
        <v>266</v>
      </c>
      <c r="M99" s="203" t="s">
        <v>266</v>
      </c>
      <c r="N99" s="203" t="s">
        <v>266</v>
      </c>
      <c r="O99" s="203" t="s">
        <v>266</v>
      </c>
      <c r="P99" s="203" t="s">
        <v>266</v>
      </c>
      <c r="R99" s="203" t="s">
        <v>266</v>
      </c>
      <c r="S99" s="203" t="s">
        <v>266</v>
      </c>
      <c r="T99" s="203" t="s">
        <v>266</v>
      </c>
      <c r="U99" s="203" t="s">
        <v>266</v>
      </c>
      <c r="V99" s="203" t="s">
        <v>266</v>
      </c>
      <c r="W99" s="203" t="s">
        <v>266</v>
      </c>
      <c r="X99" s="203" t="s">
        <v>266</v>
      </c>
      <c r="Z99" s="203" t="s">
        <v>266</v>
      </c>
      <c r="AA99" s="203" t="s">
        <v>266</v>
      </c>
      <c r="AB99" s="203" t="s">
        <v>266</v>
      </c>
      <c r="AC99" s="203" t="s">
        <v>266</v>
      </c>
      <c r="AD99" s="203" t="s">
        <v>266</v>
      </c>
      <c r="AE99" s="203" t="s">
        <v>266</v>
      </c>
      <c r="AF99" s="203" t="s">
        <v>266</v>
      </c>
      <c r="AH99">
        <v>1</v>
      </c>
      <c r="AI99">
        <v>5</v>
      </c>
    </row>
    <row r="100" spans="1:35" x14ac:dyDescent="0.25">
      <c r="A100" s="203" t="s">
        <v>266</v>
      </c>
      <c r="B100" s="203" t="s">
        <v>280</v>
      </c>
      <c r="C100" s="203"/>
      <c r="D100" s="203"/>
      <c r="E100" s="203"/>
      <c r="F100" s="203" t="s">
        <v>266</v>
      </c>
      <c r="G100" s="203" t="s">
        <v>266</v>
      </c>
      <c r="H100" s="203" t="s">
        <v>266</v>
      </c>
      <c r="J100" s="203" t="s">
        <v>266</v>
      </c>
      <c r="K100" s="203" t="s">
        <v>266</v>
      </c>
      <c r="L100" s="203" t="s">
        <v>266</v>
      </c>
      <c r="M100" s="203" t="s">
        <v>266</v>
      </c>
      <c r="N100" s="203" t="s">
        <v>266</v>
      </c>
      <c r="O100" s="203" t="s">
        <v>266</v>
      </c>
      <c r="P100" s="203" t="s">
        <v>266</v>
      </c>
      <c r="R100" s="203" t="s">
        <v>266</v>
      </c>
      <c r="S100" s="203" t="s">
        <v>266</v>
      </c>
      <c r="T100" s="203" t="s">
        <v>266</v>
      </c>
      <c r="U100" s="203" t="s">
        <v>266</v>
      </c>
      <c r="V100" s="203" t="s">
        <v>266</v>
      </c>
      <c r="W100" s="203" t="s">
        <v>266</v>
      </c>
      <c r="X100" s="203" t="s">
        <v>266</v>
      </c>
      <c r="Z100" s="203" t="s">
        <v>266</v>
      </c>
      <c r="AA100" s="203" t="s">
        <v>266</v>
      </c>
      <c r="AB100" s="203" t="s">
        <v>266</v>
      </c>
      <c r="AC100" s="203" t="s">
        <v>266</v>
      </c>
      <c r="AD100" s="203" t="s">
        <v>266</v>
      </c>
      <c r="AE100" s="203" t="s">
        <v>266</v>
      </c>
      <c r="AF100" s="203" t="s">
        <v>266</v>
      </c>
      <c r="AH100">
        <v>1</v>
      </c>
      <c r="AI100">
        <v>5</v>
      </c>
    </row>
    <row r="101" spans="1:35" x14ac:dyDescent="0.25">
      <c r="A101" s="203" t="s">
        <v>266</v>
      </c>
      <c r="B101" s="203" t="s">
        <v>280</v>
      </c>
      <c r="C101" s="203"/>
      <c r="D101" s="203"/>
      <c r="E101" s="203"/>
      <c r="F101" s="203" t="s">
        <v>266</v>
      </c>
      <c r="G101" s="203" t="s">
        <v>266</v>
      </c>
      <c r="H101" s="203" t="s">
        <v>266</v>
      </c>
      <c r="J101" s="203" t="s">
        <v>266</v>
      </c>
      <c r="K101" s="203" t="s">
        <v>266</v>
      </c>
      <c r="L101" s="203" t="s">
        <v>266</v>
      </c>
      <c r="M101" s="203" t="s">
        <v>266</v>
      </c>
      <c r="N101" s="203" t="s">
        <v>266</v>
      </c>
      <c r="O101" s="203" t="s">
        <v>266</v>
      </c>
      <c r="P101" s="203" t="s">
        <v>266</v>
      </c>
      <c r="R101" s="203" t="s">
        <v>266</v>
      </c>
      <c r="S101" s="203" t="s">
        <v>266</v>
      </c>
      <c r="T101" s="203" t="s">
        <v>266</v>
      </c>
      <c r="U101" s="203" t="s">
        <v>266</v>
      </c>
      <c r="V101" s="203" t="s">
        <v>266</v>
      </c>
      <c r="W101" s="203" t="s">
        <v>266</v>
      </c>
      <c r="X101" s="203" t="s">
        <v>266</v>
      </c>
      <c r="Z101" s="203" t="s">
        <v>266</v>
      </c>
      <c r="AA101" s="203" t="s">
        <v>266</v>
      </c>
      <c r="AB101" s="203" t="s">
        <v>266</v>
      </c>
      <c r="AC101" s="203" t="s">
        <v>266</v>
      </c>
      <c r="AD101" s="203" t="s">
        <v>266</v>
      </c>
      <c r="AE101" s="203" t="s">
        <v>266</v>
      </c>
      <c r="AF101" s="203" t="s">
        <v>266</v>
      </c>
      <c r="AH101">
        <v>1</v>
      </c>
      <c r="AI101">
        <v>5</v>
      </c>
    </row>
    <row r="102" spans="1:35" x14ac:dyDescent="0.25">
      <c r="A102" s="203" t="s">
        <v>266</v>
      </c>
      <c r="B102" s="203" t="s">
        <v>280</v>
      </c>
      <c r="C102" s="203"/>
      <c r="D102" s="203"/>
      <c r="E102" s="203"/>
      <c r="F102" s="203" t="s">
        <v>266</v>
      </c>
      <c r="G102" s="203" t="s">
        <v>266</v>
      </c>
      <c r="H102" s="203" t="s">
        <v>266</v>
      </c>
      <c r="J102" s="203" t="s">
        <v>266</v>
      </c>
      <c r="K102" s="203" t="s">
        <v>266</v>
      </c>
      <c r="L102" s="203" t="s">
        <v>266</v>
      </c>
      <c r="M102" s="203" t="s">
        <v>266</v>
      </c>
      <c r="N102" s="203" t="s">
        <v>266</v>
      </c>
      <c r="O102" s="203" t="s">
        <v>266</v>
      </c>
      <c r="P102" s="203" t="s">
        <v>266</v>
      </c>
      <c r="R102" s="203" t="s">
        <v>266</v>
      </c>
      <c r="S102" s="203" t="s">
        <v>266</v>
      </c>
      <c r="T102" s="203" t="s">
        <v>266</v>
      </c>
      <c r="U102" s="203" t="s">
        <v>266</v>
      </c>
      <c r="V102" s="203" t="s">
        <v>266</v>
      </c>
      <c r="W102" s="203" t="s">
        <v>266</v>
      </c>
      <c r="X102" s="203" t="s">
        <v>266</v>
      </c>
      <c r="Z102" s="203" t="s">
        <v>266</v>
      </c>
      <c r="AA102" s="203" t="s">
        <v>266</v>
      </c>
      <c r="AB102" s="203" t="s">
        <v>266</v>
      </c>
      <c r="AC102" s="203" t="s">
        <v>266</v>
      </c>
      <c r="AD102" s="203" t="s">
        <v>266</v>
      </c>
      <c r="AE102" s="203" t="s">
        <v>266</v>
      </c>
      <c r="AF102" s="203" t="s">
        <v>266</v>
      </c>
      <c r="AH102">
        <v>1</v>
      </c>
      <c r="AI102">
        <v>5</v>
      </c>
    </row>
    <row r="103" spans="1:35" x14ac:dyDescent="0.25">
      <c r="A103" s="203" t="s">
        <v>266</v>
      </c>
      <c r="B103" s="203" t="s">
        <v>280</v>
      </c>
      <c r="C103" s="203"/>
      <c r="D103" s="203"/>
      <c r="E103" s="203"/>
      <c r="F103" s="203" t="s">
        <v>266</v>
      </c>
      <c r="G103" s="203" t="s">
        <v>266</v>
      </c>
      <c r="H103" s="203" t="s">
        <v>266</v>
      </c>
      <c r="J103" s="203" t="s">
        <v>266</v>
      </c>
      <c r="K103" s="203" t="s">
        <v>266</v>
      </c>
      <c r="L103" s="203" t="s">
        <v>266</v>
      </c>
      <c r="M103" s="203" t="s">
        <v>266</v>
      </c>
      <c r="N103" s="203" t="s">
        <v>266</v>
      </c>
      <c r="O103" s="203" t="s">
        <v>266</v>
      </c>
      <c r="P103" s="203" t="s">
        <v>266</v>
      </c>
      <c r="R103" s="203" t="s">
        <v>266</v>
      </c>
      <c r="S103" s="203" t="s">
        <v>266</v>
      </c>
      <c r="T103" s="203" t="s">
        <v>266</v>
      </c>
      <c r="U103" s="203" t="s">
        <v>266</v>
      </c>
      <c r="V103" s="203" t="s">
        <v>266</v>
      </c>
      <c r="W103" s="203" t="s">
        <v>266</v>
      </c>
      <c r="X103" s="203" t="s">
        <v>266</v>
      </c>
      <c r="Z103" s="203" t="s">
        <v>266</v>
      </c>
      <c r="AA103" s="203" t="s">
        <v>266</v>
      </c>
      <c r="AB103" s="203" t="s">
        <v>266</v>
      </c>
      <c r="AC103" s="203" t="s">
        <v>266</v>
      </c>
      <c r="AD103" s="203" t="s">
        <v>266</v>
      </c>
      <c r="AE103" s="203" t="s">
        <v>266</v>
      </c>
      <c r="AF103" s="203" t="s">
        <v>266</v>
      </c>
      <c r="AH103">
        <v>1</v>
      </c>
      <c r="AI103">
        <v>5</v>
      </c>
    </row>
    <row r="104" spans="1:35" x14ac:dyDescent="0.25">
      <c r="A104" s="203" t="s">
        <v>266</v>
      </c>
      <c r="B104" s="203" t="s">
        <v>280</v>
      </c>
      <c r="C104" s="203"/>
      <c r="D104" s="203"/>
      <c r="E104" s="203"/>
      <c r="F104" s="203" t="s">
        <v>266</v>
      </c>
      <c r="G104" s="203" t="s">
        <v>266</v>
      </c>
      <c r="H104" s="203" t="s">
        <v>266</v>
      </c>
      <c r="J104" s="203" t="s">
        <v>266</v>
      </c>
      <c r="K104" s="203" t="s">
        <v>266</v>
      </c>
      <c r="L104" s="203" t="s">
        <v>266</v>
      </c>
      <c r="M104" s="203" t="s">
        <v>266</v>
      </c>
      <c r="N104" s="203" t="s">
        <v>266</v>
      </c>
      <c r="O104" s="203" t="s">
        <v>266</v>
      </c>
      <c r="P104" s="203" t="s">
        <v>266</v>
      </c>
      <c r="R104" s="203" t="s">
        <v>266</v>
      </c>
      <c r="S104" s="203" t="s">
        <v>266</v>
      </c>
      <c r="T104" s="203" t="s">
        <v>266</v>
      </c>
      <c r="U104" s="203" t="s">
        <v>266</v>
      </c>
      <c r="V104" s="203" t="s">
        <v>266</v>
      </c>
      <c r="W104" s="203" t="s">
        <v>266</v>
      </c>
      <c r="X104" s="203" t="s">
        <v>266</v>
      </c>
      <c r="Z104" s="203" t="s">
        <v>266</v>
      </c>
      <c r="AA104" s="203" t="s">
        <v>266</v>
      </c>
      <c r="AB104" s="203" t="s">
        <v>266</v>
      </c>
      <c r="AC104" s="203" t="s">
        <v>266</v>
      </c>
      <c r="AD104" s="203" t="s">
        <v>266</v>
      </c>
      <c r="AE104" s="203" t="s">
        <v>266</v>
      </c>
      <c r="AF104" s="203" t="s">
        <v>266</v>
      </c>
      <c r="AH104">
        <v>1</v>
      </c>
      <c r="AI104">
        <v>5</v>
      </c>
    </row>
    <row r="105" spans="1:35" x14ac:dyDescent="0.25">
      <c r="A105" s="203" t="s">
        <v>266</v>
      </c>
      <c r="B105" s="203" t="s">
        <v>280</v>
      </c>
      <c r="C105" s="203"/>
      <c r="D105" s="203"/>
      <c r="E105" s="203"/>
      <c r="F105" s="203" t="s">
        <v>266</v>
      </c>
      <c r="G105" s="203" t="s">
        <v>266</v>
      </c>
      <c r="H105" s="203" t="s">
        <v>266</v>
      </c>
      <c r="J105" s="203" t="s">
        <v>266</v>
      </c>
      <c r="K105" s="203" t="s">
        <v>266</v>
      </c>
      <c r="L105" s="203" t="s">
        <v>266</v>
      </c>
      <c r="M105" s="203" t="s">
        <v>266</v>
      </c>
      <c r="N105" s="203" t="s">
        <v>266</v>
      </c>
      <c r="O105" s="203" t="s">
        <v>266</v>
      </c>
      <c r="P105" s="203" t="s">
        <v>266</v>
      </c>
      <c r="R105" s="203" t="s">
        <v>266</v>
      </c>
      <c r="S105" s="203" t="s">
        <v>266</v>
      </c>
      <c r="T105" s="203" t="s">
        <v>266</v>
      </c>
      <c r="U105" s="203" t="s">
        <v>266</v>
      </c>
      <c r="V105" s="203" t="s">
        <v>266</v>
      </c>
      <c r="W105" s="203" t="s">
        <v>266</v>
      </c>
      <c r="X105" s="203" t="s">
        <v>266</v>
      </c>
      <c r="Z105" s="203" t="s">
        <v>266</v>
      </c>
      <c r="AA105" s="203" t="s">
        <v>266</v>
      </c>
      <c r="AB105" s="203" t="s">
        <v>266</v>
      </c>
      <c r="AC105" s="203" t="s">
        <v>266</v>
      </c>
      <c r="AD105" s="203" t="s">
        <v>266</v>
      </c>
      <c r="AE105" s="203" t="s">
        <v>266</v>
      </c>
      <c r="AF105" s="203" t="s">
        <v>266</v>
      </c>
      <c r="AH105">
        <v>1</v>
      </c>
      <c r="AI105">
        <v>5</v>
      </c>
    </row>
    <row r="106" spans="1:35" x14ac:dyDescent="0.25">
      <c r="A106" s="203" t="s">
        <v>266</v>
      </c>
      <c r="B106" s="203" t="s">
        <v>280</v>
      </c>
      <c r="C106" s="203"/>
      <c r="D106" s="203"/>
      <c r="E106" s="203"/>
      <c r="F106" s="203" t="s">
        <v>266</v>
      </c>
      <c r="G106" s="203" t="s">
        <v>266</v>
      </c>
      <c r="H106" s="203" t="s">
        <v>266</v>
      </c>
      <c r="J106" s="203" t="s">
        <v>266</v>
      </c>
      <c r="K106" s="203" t="s">
        <v>266</v>
      </c>
      <c r="L106" s="203" t="s">
        <v>266</v>
      </c>
      <c r="M106" s="203" t="s">
        <v>266</v>
      </c>
      <c r="N106" s="203" t="s">
        <v>266</v>
      </c>
      <c r="O106" s="203" t="s">
        <v>266</v>
      </c>
      <c r="P106" s="203" t="s">
        <v>266</v>
      </c>
      <c r="R106" s="203" t="s">
        <v>266</v>
      </c>
      <c r="S106" s="203" t="s">
        <v>266</v>
      </c>
      <c r="T106" s="203" t="s">
        <v>266</v>
      </c>
      <c r="U106" s="203" t="s">
        <v>266</v>
      </c>
      <c r="V106" s="203" t="s">
        <v>266</v>
      </c>
      <c r="W106" s="203" t="s">
        <v>266</v>
      </c>
      <c r="X106" s="203" t="s">
        <v>266</v>
      </c>
      <c r="Z106" s="203" t="s">
        <v>266</v>
      </c>
      <c r="AA106" s="203" t="s">
        <v>266</v>
      </c>
      <c r="AB106" s="203" t="s">
        <v>266</v>
      </c>
      <c r="AC106" s="203" t="s">
        <v>266</v>
      </c>
      <c r="AD106" s="203" t="s">
        <v>266</v>
      </c>
      <c r="AE106" s="203" t="s">
        <v>266</v>
      </c>
      <c r="AF106" s="203" t="s">
        <v>266</v>
      </c>
      <c r="AH106">
        <v>1</v>
      </c>
      <c r="AI106">
        <v>5</v>
      </c>
    </row>
    <row r="107" spans="1:35" x14ac:dyDescent="0.25">
      <c r="A107" s="203" t="s">
        <v>266</v>
      </c>
      <c r="B107" s="203" t="s">
        <v>280</v>
      </c>
      <c r="C107" s="203"/>
      <c r="D107" s="203"/>
      <c r="E107" s="203"/>
      <c r="F107" s="203" t="s">
        <v>266</v>
      </c>
      <c r="G107" s="203" t="s">
        <v>266</v>
      </c>
      <c r="H107" s="203" t="s">
        <v>266</v>
      </c>
      <c r="J107" s="203" t="s">
        <v>266</v>
      </c>
      <c r="K107" s="203" t="s">
        <v>266</v>
      </c>
      <c r="L107" s="203" t="s">
        <v>266</v>
      </c>
      <c r="M107" s="203" t="s">
        <v>266</v>
      </c>
      <c r="N107" s="203" t="s">
        <v>266</v>
      </c>
      <c r="O107" s="203" t="s">
        <v>266</v>
      </c>
      <c r="P107" s="203" t="s">
        <v>266</v>
      </c>
      <c r="R107" s="203" t="s">
        <v>266</v>
      </c>
      <c r="S107" s="203" t="s">
        <v>266</v>
      </c>
      <c r="T107" s="203" t="s">
        <v>266</v>
      </c>
      <c r="U107" s="203" t="s">
        <v>266</v>
      </c>
      <c r="V107" s="203" t="s">
        <v>266</v>
      </c>
      <c r="W107" s="203" t="s">
        <v>266</v>
      </c>
      <c r="X107" s="203" t="s">
        <v>266</v>
      </c>
      <c r="Z107" s="203" t="s">
        <v>266</v>
      </c>
      <c r="AA107" s="203" t="s">
        <v>266</v>
      </c>
      <c r="AB107" s="203" t="s">
        <v>266</v>
      </c>
      <c r="AC107" s="203" t="s">
        <v>266</v>
      </c>
      <c r="AD107" s="203" t="s">
        <v>266</v>
      </c>
      <c r="AE107" s="203" t="s">
        <v>266</v>
      </c>
      <c r="AF107" s="203" t="s">
        <v>266</v>
      </c>
      <c r="AH107">
        <v>1</v>
      </c>
      <c r="AI107">
        <v>5</v>
      </c>
    </row>
    <row r="108" spans="1:35" x14ac:dyDescent="0.25">
      <c r="A108" s="203" t="s">
        <v>266</v>
      </c>
      <c r="B108" s="203" t="s">
        <v>280</v>
      </c>
      <c r="C108" s="203"/>
      <c r="D108" s="203"/>
      <c r="E108" s="203"/>
      <c r="F108" s="203" t="s">
        <v>266</v>
      </c>
      <c r="G108" s="203" t="s">
        <v>266</v>
      </c>
      <c r="H108" s="203" t="s">
        <v>266</v>
      </c>
      <c r="J108" s="203" t="s">
        <v>266</v>
      </c>
      <c r="K108" s="203" t="s">
        <v>266</v>
      </c>
      <c r="L108" s="203" t="s">
        <v>266</v>
      </c>
      <c r="M108" s="203" t="s">
        <v>266</v>
      </c>
      <c r="N108" s="203" t="s">
        <v>266</v>
      </c>
      <c r="O108" s="203" t="s">
        <v>266</v>
      </c>
      <c r="P108" s="203" t="s">
        <v>266</v>
      </c>
      <c r="R108" s="203" t="s">
        <v>266</v>
      </c>
      <c r="S108" s="203" t="s">
        <v>266</v>
      </c>
      <c r="T108" s="203" t="s">
        <v>266</v>
      </c>
      <c r="U108" s="203" t="s">
        <v>266</v>
      </c>
      <c r="V108" s="203" t="s">
        <v>266</v>
      </c>
      <c r="W108" s="203" t="s">
        <v>266</v>
      </c>
      <c r="X108" s="203" t="s">
        <v>266</v>
      </c>
      <c r="Z108" s="203" t="s">
        <v>266</v>
      </c>
      <c r="AA108" s="203" t="s">
        <v>266</v>
      </c>
      <c r="AB108" s="203" t="s">
        <v>266</v>
      </c>
      <c r="AC108" s="203" t="s">
        <v>266</v>
      </c>
      <c r="AD108" s="203" t="s">
        <v>266</v>
      </c>
      <c r="AE108" s="203" t="s">
        <v>266</v>
      </c>
      <c r="AF108" s="203" t="s">
        <v>266</v>
      </c>
      <c r="AH108">
        <v>1</v>
      </c>
      <c r="AI108">
        <v>5</v>
      </c>
    </row>
    <row r="109" spans="1:35" x14ac:dyDescent="0.25">
      <c r="A109" s="203" t="s">
        <v>266</v>
      </c>
      <c r="B109" s="203" t="s">
        <v>280</v>
      </c>
      <c r="C109" s="203"/>
      <c r="D109" s="203"/>
      <c r="E109" s="203"/>
      <c r="F109" s="203" t="s">
        <v>266</v>
      </c>
      <c r="G109" s="203" t="s">
        <v>266</v>
      </c>
      <c r="H109" s="203" t="s">
        <v>266</v>
      </c>
      <c r="J109" s="203" t="s">
        <v>266</v>
      </c>
      <c r="K109" s="203" t="s">
        <v>266</v>
      </c>
      <c r="L109" s="203" t="s">
        <v>266</v>
      </c>
      <c r="M109" s="203" t="s">
        <v>266</v>
      </c>
      <c r="N109" s="203" t="s">
        <v>266</v>
      </c>
      <c r="O109" s="203" t="s">
        <v>266</v>
      </c>
      <c r="P109" s="203" t="s">
        <v>266</v>
      </c>
      <c r="R109" s="203" t="s">
        <v>266</v>
      </c>
      <c r="S109" s="203" t="s">
        <v>266</v>
      </c>
      <c r="T109" s="203" t="s">
        <v>266</v>
      </c>
      <c r="U109" s="203" t="s">
        <v>266</v>
      </c>
      <c r="V109" s="203" t="s">
        <v>266</v>
      </c>
      <c r="W109" s="203" t="s">
        <v>266</v>
      </c>
      <c r="X109" s="203" t="s">
        <v>266</v>
      </c>
      <c r="Z109" s="203" t="s">
        <v>266</v>
      </c>
      <c r="AA109" s="203" t="s">
        <v>266</v>
      </c>
      <c r="AB109" s="203" t="s">
        <v>266</v>
      </c>
      <c r="AC109" s="203" t="s">
        <v>266</v>
      </c>
      <c r="AD109" s="203" t="s">
        <v>266</v>
      </c>
      <c r="AE109" s="203" t="s">
        <v>266</v>
      </c>
      <c r="AF109" s="203" t="s">
        <v>266</v>
      </c>
      <c r="AH109">
        <v>1</v>
      </c>
      <c r="AI109">
        <v>5</v>
      </c>
    </row>
    <row r="110" spans="1:35" x14ac:dyDescent="0.25">
      <c r="A110" s="203" t="s">
        <v>266</v>
      </c>
      <c r="B110" s="203" t="s">
        <v>280</v>
      </c>
      <c r="C110" s="203"/>
      <c r="D110" s="203"/>
      <c r="E110" s="203"/>
      <c r="F110" s="203" t="s">
        <v>266</v>
      </c>
      <c r="G110" s="203" t="s">
        <v>266</v>
      </c>
      <c r="H110" s="203" t="s">
        <v>266</v>
      </c>
      <c r="J110" s="203" t="s">
        <v>266</v>
      </c>
      <c r="K110" s="203" t="s">
        <v>266</v>
      </c>
      <c r="L110" s="203" t="s">
        <v>266</v>
      </c>
      <c r="M110" s="203" t="s">
        <v>266</v>
      </c>
      <c r="N110" s="203" t="s">
        <v>266</v>
      </c>
      <c r="O110" s="203" t="s">
        <v>266</v>
      </c>
      <c r="P110" s="203" t="s">
        <v>266</v>
      </c>
      <c r="R110" s="203" t="s">
        <v>266</v>
      </c>
      <c r="S110" s="203" t="s">
        <v>266</v>
      </c>
      <c r="T110" s="203" t="s">
        <v>266</v>
      </c>
      <c r="U110" s="203" t="s">
        <v>266</v>
      </c>
      <c r="V110" s="203" t="s">
        <v>266</v>
      </c>
      <c r="W110" s="203" t="s">
        <v>266</v>
      </c>
      <c r="X110" s="203" t="s">
        <v>266</v>
      </c>
      <c r="Z110" s="203" t="s">
        <v>266</v>
      </c>
      <c r="AA110" s="203" t="s">
        <v>266</v>
      </c>
      <c r="AB110" s="203" t="s">
        <v>266</v>
      </c>
      <c r="AC110" s="203" t="s">
        <v>266</v>
      </c>
      <c r="AD110" s="203" t="s">
        <v>266</v>
      </c>
      <c r="AE110" s="203" t="s">
        <v>266</v>
      </c>
      <c r="AF110" s="203" t="s">
        <v>266</v>
      </c>
      <c r="AH110">
        <v>1</v>
      </c>
      <c r="AI110">
        <v>5</v>
      </c>
    </row>
    <row r="111" spans="1:35" x14ac:dyDescent="0.25">
      <c r="A111" s="203" t="s">
        <v>266</v>
      </c>
      <c r="B111" s="203" t="s">
        <v>280</v>
      </c>
      <c r="C111" s="203"/>
      <c r="D111" s="203"/>
      <c r="E111" s="203"/>
      <c r="F111" s="203" t="s">
        <v>266</v>
      </c>
      <c r="G111" s="203" t="s">
        <v>266</v>
      </c>
      <c r="H111" s="203" t="s">
        <v>266</v>
      </c>
      <c r="J111" s="203" t="s">
        <v>266</v>
      </c>
      <c r="K111" s="203" t="s">
        <v>266</v>
      </c>
      <c r="L111" s="203" t="s">
        <v>266</v>
      </c>
      <c r="M111" s="203" t="s">
        <v>266</v>
      </c>
      <c r="N111" s="203" t="s">
        <v>266</v>
      </c>
      <c r="O111" s="203" t="s">
        <v>266</v>
      </c>
      <c r="P111" s="203" t="s">
        <v>266</v>
      </c>
      <c r="R111" s="203" t="s">
        <v>266</v>
      </c>
      <c r="S111" s="203" t="s">
        <v>266</v>
      </c>
      <c r="T111" s="203" t="s">
        <v>266</v>
      </c>
      <c r="U111" s="203" t="s">
        <v>266</v>
      </c>
      <c r="V111" s="203" t="s">
        <v>266</v>
      </c>
      <c r="W111" s="203" t="s">
        <v>266</v>
      </c>
      <c r="X111" s="203" t="s">
        <v>266</v>
      </c>
      <c r="Z111" s="203" t="s">
        <v>266</v>
      </c>
      <c r="AA111" s="203" t="s">
        <v>266</v>
      </c>
      <c r="AB111" s="203" t="s">
        <v>266</v>
      </c>
      <c r="AC111" s="203" t="s">
        <v>266</v>
      </c>
      <c r="AD111" s="203" t="s">
        <v>266</v>
      </c>
      <c r="AE111" s="203" t="s">
        <v>266</v>
      </c>
      <c r="AF111" s="203" t="s">
        <v>266</v>
      </c>
      <c r="AH111">
        <v>1</v>
      </c>
      <c r="AI111">
        <v>5</v>
      </c>
    </row>
    <row r="112" spans="1:35" x14ac:dyDescent="0.25">
      <c r="A112" s="203" t="s">
        <v>266</v>
      </c>
      <c r="B112" s="203" t="s">
        <v>280</v>
      </c>
      <c r="C112" s="203"/>
      <c r="D112" s="203"/>
      <c r="E112" s="203"/>
      <c r="F112" s="203" t="s">
        <v>266</v>
      </c>
      <c r="G112" s="203" t="s">
        <v>266</v>
      </c>
      <c r="H112" s="203" t="s">
        <v>266</v>
      </c>
      <c r="J112" s="203" t="s">
        <v>266</v>
      </c>
      <c r="K112" s="203" t="s">
        <v>266</v>
      </c>
      <c r="L112" s="203" t="s">
        <v>266</v>
      </c>
      <c r="M112" s="203" t="s">
        <v>266</v>
      </c>
      <c r="N112" s="203" t="s">
        <v>266</v>
      </c>
      <c r="O112" s="203" t="s">
        <v>266</v>
      </c>
      <c r="P112" s="203" t="s">
        <v>266</v>
      </c>
      <c r="R112" s="203" t="s">
        <v>266</v>
      </c>
      <c r="S112" s="203" t="s">
        <v>266</v>
      </c>
      <c r="T112" s="203" t="s">
        <v>266</v>
      </c>
      <c r="U112" s="203" t="s">
        <v>266</v>
      </c>
      <c r="V112" s="203" t="s">
        <v>266</v>
      </c>
      <c r="W112" s="203" t="s">
        <v>266</v>
      </c>
      <c r="X112" s="203" t="s">
        <v>266</v>
      </c>
      <c r="Z112" s="203" t="s">
        <v>266</v>
      </c>
      <c r="AA112" s="203" t="s">
        <v>266</v>
      </c>
      <c r="AB112" s="203" t="s">
        <v>266</v>
      </c>
      <c r="AC112" s="203" t="s">
        <v>266</v>
      </c>
      <c r="AD112" s="203" t="s">
        <v>266</v>
      </c>
      <c r="AE112" s="203" t="s">
        <v>266</v>
      </c>
      <c r="AF112" s="203" t="s">
        <v>266</v>
      </c>
      <c r="AH112">
        <v>1</v>
      </c>
      <c r="AI112">
        <v>5</v>
      </c>
    </row>
    <row r="113" spans="1:35" x14ac:dyDescent="0.25">
      <c r="A113" s="203" t="s">
        <v>266</v>
      </c>
      <c r="B113" s="203" t="s">
        <v>280</v>
      </c>
      <c r="C113" s="203"/>
      <c r="D113" s="203"/>
      <c r="E113" s="203"/>
      <c r="F113" s="203" t="s">
        <v>266</v>
      </c>
      <c r="G113" s="203" t="s">
        <v>266</v>
      </c>
      <c r="H113" s="203" t="s">
        <v>266</v>
      </c>
      <c r="J113" s="203" t="s">
        <v>266</v>
      </c>
      <c r="K113" s="203" t="s">
        <v>266</v>
      </c>
      <c r="L113" s="203" t="s">
        <v>266</v>
      </c>
      <c r="M113" s="203" t="s">
        <v>266</v>
      </c>
      <c r="N113" s="203" t="s">
        <v>266</v>
      </c>
      <c r="O113" s="203" t="s">
        <v>266</v>
      </c>
      <c r="P113" s="203" t="s">
        <v>266</v>
      </c>
      <c r="R113" s="203" t="s">
        <v>266</v>
      </c>
      <c r="S113" s="203" t="s">
        <v>266</v>
      </c>
      <c r="T113" s="203" t="s">
        <v>266</v>
      </c>
      <c r="U113" s="203" t="s">
        <v>266</v>
      </c>
      <c r="V113" s="203" t="s">
        <v>266</v>
      </c>
      <c r="W113" s="203" t="s">
        <v>266</v>
      </c>
      <c r="X113" s="203" t="s">
        <v>266</v>
      </c>
      <c r="Z113" s="203" t="s">
        <v>266</v>
      </c>
      <c r="AA113" s="203" t="s">
        <v>266</v>
      </c>
      <c r="AB113" s="203" t="s">
        <v>266</v>
      </c>
      <c r="AC113" s="203" t="s">
        <v>266</v>
      </c>
      <c r="AD113" s="203" t="s">
        <v>266</v>
      </c>
      <c r="AE113" s="203" t="s">
        <v>266</v>
      </c>
      <c r="AF113" s="203" t="s">
        <v>266</v>
      </c>
      <c r="AH113">
        <v>1</v>
      </c>
      <c r="AI113">
        <v>5</v>
      </c>
    </row>
    <row r="114" spans="1:35" x14ac:dyDescent="0.25">
      <c r="A114" s="203" t="s">
        <v>266</v>
      </c>
      <c r="B114" s="203" t="s">
        <v>280</v>
      </c>
      <c r="C114" s="203"/>
      <c r="D114" s="203"/>
      <c r="E114" s="203"/>
      <c r="F114" s="203" t="s">
        <v>266</v>
      </c>
      <c r="G114" s="203" t="s">
        <v>266</v>
      </c>
      <c r="H114" s="203" t="s">
        <v>266</v>
      </c>
      <c r="J114" s="203" t="s">
        <v>266</v>
      </c>
      <c r="K114" s="203" t="s">
        <v>266</v>
      </c>
      <c r="L114" s="203" t="s">
        <v>266</v>
      </c>
      <c r="M114" s="203" t="s">
        <v>266</v>
      </c>
      <c r="N114" s="203" t="s">
        <v>266</v>
      </c>
      <c r="O114" s="203" t="s">
        <v>266</v>
      </c>
      <c r="P114" s="203" t="s">
        <v>266</v>
      </c>
      <c r="R114" s="203" t="s">
        <v>266</v>
      </c>
      <c r="S114" s="203" t="s">
        <v>266</v>
      </c>
      <c r="T114" s="203" t="s">
        <v>266</v>
      </c>
      <c r="U114" s="203" t="s">
        <v>266</v>
      </c>
      <c r="V114" s="203" t="s">
        <v>266</v>
      </c>
      <c r="W114" s="203" t="s">
        <v>266</v>
      </c>
      <c r="X114" s="203" t="s">
        <v>266</v>
      </c>
      <c r="Z114" s="203" t="s">
        <v>266</v>
      </c>
      <c r="AA114" s="203" t="s">
        <v>266</v>
      </c>
      <c r="AB114" s="203" t="s">
        <v>266</v>
      </c>
      <c r="AC114" s="203" t="s">
        <v>266</v>
      </c>
      <c r="AD114" s="203" t="s">
        <v>266</v>
      </c>
      <c r="AE114" s="203" t="s">
        <v>266</v>
      </c>
      <c r="AF114" s="203" t="s">
        <v>266</v>
      </c>
      <c r="AH114">
        <v>1</v>
      </c>
      <c r="AI114">
        <v>5</v>
      </c>
    </row>
    <row r="115" spans="1:35" x14ac:dyDescent="0.25">
      <c r="A115" s="203" t="s">
        <v>266</v>
      </c>
      <c r="B115" s="203" t="s">
        <v>280</v>
      </c>
      <c r="C115" s="203"/>
      <c r="D115" s="203"/>
      <c r="E115" s="203"/>
      <c r="F115" s="203" t="s">
        <v>266</v>
      </c>
      <c r="G115" s="203" t="s">
        <v>266</v>
      </c>
      <c r="H115" s="203" t="s">
        <v>266</v>
      </c>
      <c r="J115" s="203" t="s">
        <v>266</v>
      </c>
      <c r="K115" s="203" t="s">
        <v>266</v>
      </c>
      <c r="L115" s="203" t="s">
        <v>266</v>
      </c>
      <c r="M115" s="203" t="s">
        <v>266</v>
      </c>
      <c r="N115" s="203" t="s">
        <v>266</v>
      </c>
      <c r="O115" s="203" t="s">
        <v>266</v>
      </c>
      <c r="P115" s="203" t="s">
        <v>266</v>
      </c>
      <c r="R115" s="203" t="s">
        <v>266</v>
      </c>
      <c r="S115" s="203" t="s">
        <v>266</v>
      </c>
      <c r="T115" s="203" t="s">
        <v>266</v>
      </c>
      <c r="U115" s="203" t="s">
        <v>266</v>
      </c>
      <c r="V115" s="203" t="s">
        <v>266</v>
      </c>
      <c r="W115" s="203" t="s">
        <v>266</v>
      </c>
      <c r="X115" s="203" t="s">
        <v>266</v>
      </c>
      <c r="Z115" s="203" t="s">
        <v>266</v>
      </c>
      <c r="AA115" s="203" t="s">
        <v>266</v>
      </c>
      <c r="AB115" s="203" t="s">
        <v>266</v>
      </c>
      <c r="AC115" s="203" t="s">
        <v>266</v>
      </c>
      <c r="AD115" s="203" t="s">
        <v>266</v>
      </c>
      <c r="AE115" s="203" t="s">
        <v>266</v>
      </c>
      <c r="AF115" s="203" t="s">
        <v>266</v>
      </c>
      <c r="AH115">
        <v>1</v>
      </c>
      <c r="AI115">
        <v>5</v>
      </c>
    </row>
    <row r="116" spans="1:35" x14ac:dyDescent="0.25">
      <c r="A116" s="203" t="s">
        <v>266</v>
      </c>
      <c r="B116" s="203" t="s">
        <v>280</v>
      </c>
      <c r="C116" s="203"/>
      <c r="D116" s="203"/>
      <c r="E116" s="203"/>
      <c r="F116" s="203" t="s">
        <v>266</v>
      </c>
      <c r="G116" s="203" t="s">
        <v>266</v>
      </c>
      <c r="H116" s="203" t="s">
        <v>266</v>
      </c>
      <c r="J116" s="203" t="s">
        <v>266</v>
      </c>
      <c r="K116" s="203" t="s">
        <v>266</v>
      </c>
      <c r="L116" s="203" t="s">
        <v>266</v>
      </c>
      <c r="M116" s="203" t="s">
        <v>266</v>
      </c>
      <c r="N116" s="203" t="s">
        <v>266</v>
      </c>
      <c r="O116" s="203" t="s">
        <v>266</v>
      </c>
      <c r="P116" s="203" t="s">
        <v>266</v>
      </c>
      <c r="R116" s="203" t="s">
        <v>266</v>
      </c>
      <c r="S116" s="203" t="s">
        <v>266</v>
      </c>
      <c r="T116" s="203" t="s">
        <v>266</v>
      </c>
      <c r="U116" s="203" t="s">
        <v>266</v>
      </c>
      <c r="V116" s="203" t="s">
        <v>266</v>
      </c>
      <c r="W116" s="203" t="s">
        <v>266</v>
      </c>
      <c r="X116" s="203" t="s">
        <v>266</v>
      </c>
      <c r="Z116" s="203" t="s">
        <v>266</v>
      </c>
      <c r="AA116" s="203" t="s">
        <v>266</v>
      </c>
      <c r="AB116" s="203" t="s">
        <v>266</v>
      </c>
      <c r="AC116" s="203" t="s">
        <v>266</v>
      </c>
      <c r="AD116" s="203" t="s">
        <v>266</v>
      </c>
      <c r="AE116" s="203" t="s">
        <v>266</v>
      </c>
      <c r="AF116" s="203" t="s">
        <v>266</v>
      </c>
      <c r="AH116">
        <v>1</v>
      </c>
      <c r="AI116">
        <v>5</v>
      </c>
    </row>
    <row r="117" spans="1:35" x14ac:dyDescent="0.25">
      <c r="A117" s="203" t="s">
        <v>266</v>
      </c>
      <c r="B117" s="203" t="s">
        <v>280</v>
      </c>
      <c r="C117" s="203"/>
      <c r="D117" s="203"/>
      <c r="E117" s="203"/>
      <c r="F117" s="203" t="s">
        <v>266</v>
      </c>
      <c r="G117" s="203" t="s">
        <v>266</v>
      </c>
      <c r="H117" s="203" t="s">
        <v>266</v>
      </c>
      <c r="J117" s="203" t="s">
        <v>266</v>
      </c>
      <c r="K117" s="203" t="s">
        <v>266</v>
      </c>
      <c r="L117" s="203" t="s">
        <v>266</v>
      </c>
      <c r="M117" s="203" t="s">
        <v>266</v>
      </c>
      <c r="N117" s="203" t="s">
        <v>266</v>
      </c>
      <c r="O117" s="203" t="s">
        <v>266</v>
      </c>
      <c r="P117" s="203" t="s">
        <v>266</v>
      </c>
      <c r="R117" s="203" t="s">
        <v>266</v>
      </c>
      <c r="S117" s="203" t="s">
        <v>266</v>
      </c>
      <c r="T117" s="203" t="s">
        <v>266</v>
      </c>
      <c r="U117" s="203" t="s">
        <v>266</v>
      </c>
      <c r="V117" s="203" t="s">
        <v>266</v>
      </c>
      <c r="W117" s="203" t="s">
        <v>266</v>
      </c>
      <c r="X117" s="203" t="s">
        <v>266</v>
      </c>
      <c r="Z117" s="203" t="s">
        <v>266</v>
      </c>
      <c r="AA117" s="203" t="s">
        <v>266</v>
      </c>
      <c r="AB117" s="203" t="s">
        <v>266</v>
      </c>
      <c r="AC117" s="203" t="s">
        <v>266</v>
      </c>
      <c r="AD117" s="203" t="s">
        <v>266</v>
      </c>
      <c r="AE117" s="203" t="s">
        <v>266</v>
      </c>
      <c r="AF117" s="203" t="s">
        <v>266</v>
      </c>
      <c r="AH117">
        <v>1</v>
      </c>
      <c r="AI117">
        <v>5</v>
      </c>
    </row>
    <row r="118" spans="1:35" x14ac:dyDescent="0.25">
      <c r="A118" s="203" t="s">
        <v>266</v>
      </c>
      <c r="B118" s="203" t="s">
        <v>280</v>
      </c>
      <c r="C118" s="203"/>
      <c r="D118" s="203"/>
      <c r="E118" s="203"/>
      <c r="F118" s="203" t="s">
        <v>266</v>
      </c>
      <c r="G118" s="203" t="s">
        <v>266</v>
      </c>
      <c r="H118" s="203" t="s">
        <v>266</v>
      </c>
      <c r="J118" s="203" t="s">
        <v>266</v>
      </c>
      <c r="K118" s="203" t="s">
        <v>266</v>
      </c>
      <c r="L118" s="203" t="s">
        <v>266</v>
      </c>
      <c r="M118" s="203" t="s">
        <v>266</v>
      </c>
      <c r="N118" s="203" t="s">
        <v>266</v>
      </c>
      <c r="O118" s="203" t="s">
        <v>266</v>
      </c>
      <c r="P118" s="203" t="s">
        <v>266</v>
      </c>
      <c r="R118" s="203" t="s">
        <v>266</v>
      </c>
      <c r="S118" s="203" t="s">
        <v>266</v>
      </c>
      <c r="T118" s="203" t="s">
        <v>266</v>
      </c>
      <c r="U118" s="203" t="s">
        <v>266</v>
      </c>
      <c r="V118" s="203" t="s">
        <v>266</v>
      </c>
      <c r="W118" s="203" t="s">
        <v>266</v>
      </c>
      <c r="X118" s="203" t="s">
        <v>266</v>
      </c>
      <c r="Z118" s="203" t="s">
        <v>266</v>
      </c>
      <c r="AA118" s="203" t="s">
        <v>266</v>
      </c>
      <c r="AB118" s="203" t="s">
        <v>266</v>
      </c>
      <c r="AC118" s="203" t="s">
        <v>266</v>
      </c>
      <c r="AD118" s="203" t="s">
        <v>266</v>
      </c>
      <c r="AE118" s="203" t="s">
        <v>266</v>
      </c>
      <c r="AF118" s="203" t="s">
        <v>266</v>
      </c>
      <c r="AH118">
        <v>1</v>
      </c>
      <c r="AI118">
        <v>5</v>
      </c>
    </row>
    <row r="119" spans="1:35" x14ac:dyDescent="0.25">
      <c r="A119" s="203" t="s">
        <v>266</v>
      </c>
      <c r="B119" s="203" t="s">
        <v>280</v>
      </c>
      <c r="C119" s="203"/>
      <c r="D119" s="203"/>
      <c r="E119" s="203"/>
      <c r="F119" s="203" t="s">
        <v>266</v>
      </c>
      <c r="G119" s="203" t="s">
        <v>266</v>
      </c>
      <c r="H119" s="203" t="s">
        <v>266</v>
      </c>
      <c r="J119" s="203" t="s">
        <v>266</v>
      </c>
      <c r="K119" s="203" t="s">
        <v>266</v>
      </c>
      <c r="L119" s="203" t="s">
        <v>266</v>
      </c>
      <c r="M119" s="203" t="s">
        <v>266</v>
      </c>
      <c r="N119" s="203" t="s">
        <v>266</v>
      </c>
      <c r="O119" s="203" t="s">
        <v>266</v>
      </c>
      <c r="P119" s="203" t="s">
        <v>266</v>
      </c>
      <c r="R119" s="203" t="s">
        <v>266</v>
      </c>
      <c r="S119" s="203" t="s">
        <v>266</v>
      </c>
      <c r="T119" s="203" t="s">
        <v>266</v>
      </c>
      <c r="U119" s="203" t="s">
        <v>266</v>
      </c>
      <c r="V119" s="203" t="s">
        <v>266</v>
      </c>
      <c r="W119" s="203" t="s">
        <v>266</v>
      </c>
      <c r="X119" s="203" t="s">
        <v>266</v>
      </c>
      <c r="Z119" s="203" t="s">
        <v>266</v>
      </c>
      <c r="AA119" s="203" t="s">
        <v>266</v>
      </c>
      <c r="AB119" s="203" t="s">
        <v>266</v>
      </c>
      <c r="AC119" s="203" t="s">
        <v>266</v>
      </c>
      <c r="AD119" s="203" t="s">
        <v>266</v>
      </c>
      <c r="AE119" s="203" t="s">
        <v>266</v>
      </c>
      <c r="AF119" s="203" t="s">
        <v>266</v>
      </c>
      <c r="AH119">
        <v>1</v>
      </c>
      <c r="AI119">
        <v>5</v>
      </c>
    </row>
    <row r="120" spans="1:35" x14ac:dyDescent="0.25">
      <c r="A120" s="203" t="s">
        <v>266</v>
      </c>
      <c r="B120" s="203" t="s">
        <v>280</v>
      </c>
      <c r="C120" s="203"/>
      <c r="D120" s="203"/>
      <c r="E120" s="203"/>
      <c r="F120" s="203" t="s">
        <v>266</v>
      </c>
      <c r="G120" s="203" t="s">
        <v>266</v>
      </c>
      <c r="H120" s="203" t="s">
        <v>266</v>
      </c>
      <c r="J120" s="203" t="s">
        <v>266</v>
      </c>
      <c r="K120" s="203" t="s">
        <v>266</v>
      </c>
      <c r="L120" s="203" t="s">
        <v>266</v>
      </c>
      <c r="M120" s="203" t="s">
        <v>266</v>
      </c>
      <c r="N120" s="203" t="s">
        <v>266</v>
      </c>
      <c r="O120" s="203" t="s">
        <v>266</v>
      </c>
      <c r="P120" s="203" t="s">
        <v>266</v>
      </c>
      <c r="R120" s="203" t="s">
        <v>266</v>
      </c>
      <c r="S120" s="203" t="s">
        <v>266</v>
      </c>
      <c r="T120" s="203" t="s">
        <v>266</v>
      </c>
      <c r="U120" s="203" t="s">
        <v>266</v>
      </c>
      <c r="V120" s="203" t="s">
        <v>266</v>
      </c>
      <c r="W120" s="203" t="s">
        <v>266</v>
      </c>
      <c r="X120" s="203" t="s">
        <v>266</v>
      </c>
      <c r="Z120" s="203" t="s">
        <v>266</v>
      </c>
      <c r="AA120" s="203" t="s">
        <v>266</v>
      </c>
      <c r="AB120" s="203" t="s">
        <v>266</v>
      </c>
      <c r="AC120" s="203" t="s">
        <v>266</v>
      </c>
      <c r="AD120" s="203" t="s">
        <v>266</v>
      </c>
      <c r="AE120" s="203" t="s">
        <v>266</v>
      </c>
      <c r="AF120" s="203" t="s">
        <v>266</v>
      </c>
      <c r="AH120">
        <v>1</v>
      </c>
      <c r="AI120">
        <v>5</v>
      </c>
    </row>
    <row r="121" spans="1:35" x14ac:dyDescent="0.25">
      <c r="A121" s="203" t="s">
        <v>266</v>
      </c>
      <c r="B121" s="203" t="s">
        <v>280</v>
      </c>
      <c r="C121" s="203"/>
      <c r="D121" s="203"/>
      <c r="E121" s="203"/>
      <c r="F121" s="203" t="s">
        <v>266</v>
      </c>
      <c r="G121" s="203" t="s">
        <v>266</v>
      </c>
      <c r="H121" s="203" t="s">
        <v>266</v>
      </c>
      <c r="J121" s="203" t="s">
        <v>266</v>
      </c>
      <c r="K121" s="203" t="s">
        <v>266</v>
      </c>
      <c r="L121" s="203" t="s">
        <v>266</v>
      </c>
      <c r="M121" s="203" t="s">
        <v>266</v>
      </c>
      <c r="N121" s="203" t="s">
        <v>266</v>
      </c>
      <c r="O121" s="203" t="s">
        <v>266</v>
      </c>
      <c r="P121" s="203" t="s">
        <v>266</v>
      </c>
      <c r="R121" s="203" t="s">
        <v>266</v>
      </c>
      <c r="S121" s="203" t="s">
        <v>266</v>
      </c>
      <c r="T121" s="203" t="s">
        <v>266</v>
      </c>
      <c r="U121" s="203" t="s">
        <v>266</v>
      </c>
      <c r="V121" s="203" t="s">
        <v>266</v>
      </c>
      <c r="W121" s="203" t="s">
        <v>266</v>
      </c>
      <c r="X121" s="203" t="s">
        <v>266</v>
      </c>
      <c r="Z121" s="203" t="s">
        <v>266</v>
      </c>
      <c r="AA121" s="203" t="s">
        <v>266</v>
      </c>
      <c r="AB121" s="203" t="s">
        <v>266</v>
      </c>
      <c r="AC121" s="203" t="s">
        <v>266</v>
      </c>
      <c r="AD121" s="203" t="s">
        <v>266</v>
      </c>
      <c r="AE121" s="203" t="s">
        <v>266</v>
      </c>
      <c r="AF121" s="203" t="s">
        <v>266</v>
      </c>
      <c r="AH121">
        <v>1</v>
      </c>
      <c r="AI121">
        <v>5</v>
      </c>
    </row>
    <row r="122" spans="1:35" x14ac:dyDescent="0.25">
      <c r="A122" s="203" t="s">
        <v>266</v>
      </c>
      <c r="B122" s="203" t="s">
        <v>280</v>
      </c>
      <c r="C122" s="203"/>
      <c r="D122" s="203"/>
      <c r="E122" s="203"/>
      <c r="F122" s="203" t="s">
        <v>266</v>
      </c>
      <c r="G122" s="203" t="s">
        <v>266</v>
      </c>
      <c r="H122" s="203" t="s">
        <v>266</v>
      </c>
      <c r="J122" s="203" t="s">
        <v>266</v>
      </c>
      <c r="K122" s="203" t="s">
        <v>266</v>
      </c>
      <c r="L122" s="203" t="s">
        <v>266</v>
      </c>
      <c r="M122" s="203" t="s">
        <v>266</v>
      </c>
      <c r="N122" s="203" t="s">
        <v>266</v>
      </c>
      <c r="O122" s="203" t="s">
        <v>266</v>
      </c>
      <c r="P122" s="203" t="s">
        <v>266</v>
      </c>
      <c r="R122" s="203" t="s">
        <v>266</v>
      </c>
      <c r="S122" s="203" t="s">
        <v>266</v>
      </c>
      <c r="T122" s="203" t="s">
        <v>266</v>
      </c>
      <c r="U122" s="203" t="s">
        <v>266</v>
      </c>
      <c r="V122" s="203" t="s">
        <v>266</v>
      </c>
      <c r="W122" s="203" t="s">
        <v>266</v>
      </c>
      <c r="X122" s="203" t="s">
        <v>266</v>
      </c>
      <c r="Z122" s="203" t="s">
        <v>266</v>
      </c>
      <c r="AA122" s="203" t="s">
        <v>266</v>
      </c>
      <c r="AB122" s="203" t="s">
        <v>266</v>
      </c>
      <c r="AC122" s="203" t="s">
        <v>266</v>
      </c>
      <c r="AD122" s="203" t="s">
        <v>266</v>
      </c>
      <c r="AE122" s="203" t="s">
        <v>266</v>
      </c>
      <c r="AF122" s="203" t="s">
        <v>266</v>
      </c>
      <c r="AH122">
        <v>1</v>
      </c>
      <c r="AI122">
        <v>5</v>
      </c>
    </row>
    <row r="123" spans="1:35" x14ac:dyDescent="0.25">
      <c r="A123" s="203" t="s">
        <v>266</v>
      </c>
      <c r="B123" s="203" t="s">
        <v>280</v>
      </c>
      <c r="C123" s="203"/>
      <c r="D123" s="203"/>
      <c r="E123" s="203"/>
      <c r="F123" s="203" t="s">
        <v>266</v>
      </c>
      <c r="G123" s="203" t="s">
        <v>266</v>
      </c>
      <c r="H123" s="203" t="s">
        <v>266</v>
      </c>
      <c r="J123" s="203" t="s">
        <v>266</v>
      </c>
      <c r="K123" s="203" t="s">
        <v>266</v>
      </c>
      <c r="L123" s="203" t="s">
        <v>266</v>
      </c>
      <c r="M123" s="203" t="s">
        <v>266</v>
      </c>
      <c r="N123" s="203" t="s">
        <v>266</v>
      </c>
      <c r="O123" s="203" t="s">
        <v>266</v>
      </c>
      <c r="P123" s="203" t="s">
        <v>266</v>
      </c>
      <c r="R123" s="203" t="s">
        <v>266</v>
      </c>
      <c r="S123" s="203" t="s">
        <v>266</v>
      </c>
      <c r="T123" s="203" t="s">
        <v>266</v>
      </c>
      <c r="U123" s="203" t="s">
        <v>266</v>
      </c>
      <c r="V123" s="203" t="s">
        <v>266</v>
      </c>
      <c r="W123" s="203" t="s">
        <v>266</v>
      </c>
      <c r="X123" s="203" t="s">
        <v>266</v>
      </c>
      <c r="Z123" s="203" t="s">
        <v>266</v>
      </c>
      <c r="AA123" s="203" t="s">
        <v>266</v>
      </c>
      <c r="AB123" s="203" t="s">
        <v>266</v>
      </c>
      <c r="AC123" s="203" t="s">
        <v>266</v>
      </c>
      <c r="AD123" s="203" t="s">
        <v>266</v>
      </c>
      <c r="AE123" s="203" t="s">
        <v>266</v>
      </c>
      <c r="AF123" s="203" t="s">
        <v>266</v>
      </c>
      <c r="AH123">
        <v>1</v>
      </c>
      <c r="AI123">
        <v>5</v>
      </c>
    </row>
    <row r="124" spans="1:35" x14ac:dyDescent="0.25">
      <c r="A124" s="203" t="s">
        <v>266</v>
      </c>
      <c r="B124" s="203" t="s">
        <v>280</v>
      </c>
      <c r="C124" s="203"/>
      <c r="D124" s="203"/>
      <c r="E124" s="203"/>
      <c r="F124" s="203" t="s">
        <v>266</v>
      </c>
      <c r="G124" s="203" t="s">
        <v>266</v>
      </c>
      <c r="H124" s="203" t="s">
        <v>266</v>
      </c>
      <c r="J124" s="203" t="s">
        <v>266</v>
      </c>
      <c r="K124" s="203" t="s">
        <v>266</v>
      </c>
      <c r="L124" s="203" t="s">
        <v>266</v>
      </c>
      <c r="M124" s="203" t="s">
        <v>266</v>
      </c>
      <c r="N124" s="203" t="s">
        <v>266</v>
      </c>
      <c r="O124" s="203" t="s">
        <v>266</v>
      </c>
      <c r="P124" s="203" t="s">
        <v>266</v>
      </c>
      <c r="R124" s="203" t="s">
        <v>266</v>
      </c>
      <c r="S124" s="203" t="s">
        <v>266</v>
      </c>
      <c r="T124" s="203" t="s">
        <v>266</v>
      </c>
      <c r="U124" s="203" t="s">
        <v>266</v>
      </c>
      <c r="V124" s="203" t="s">
        <v>266</v>
      </c>
      <c r="W124" s="203" t="s">
        <v>266</v>
      </c>
      <c r="X124" s="203" t="s">
        <v>266</v>
      </c>
      <c r="Z124" s="203" t="s">
        <v>266</v>
      </c>
      <c r="AA124" s="203" t="s">
        <v>266</v>
      </c>
      <c r="AB124" s="203" t="s">
        <v>266</v>
      </c>
      <c r="AC124" s="203" t="s">
        <v>266</v>
      </c>
      <c r="AD124" s="203" t="s">
        <v>266</v>
      </c>
      <c r="AE124" s="203" t="s">
        <v>266</v>
      </c>
      <c r="AF124" s="203" t="s">
        <v>266</v>
      </c>
      <c r="AH124">
        <v>1</v>
      </c>
      <c r="AI124">
        <v>5</v>
      </c>
    </row>
    <row r="125" spans="1:35" x14ac:dyDescent="0.25">
      <c r="A125" s="203" t="s">
        <v>266</v>
      </c>
      <c r="B125" s="203" t="s">
        <v>280</v>
      </c>
      <c r="C125" s="203"/>
      <c r="D125" s="203"/>
      <c r="E125" s="203"/>
      <c r="F125" s="203" t="s">
        <v>266</v>
      </c>
      <c r="G125" s="203" t="s">
        <v>266</v>
      </c>
      <c r="H125" s="203" t="s">
        <v>266</v>
      </c>
      <c r="J125" s="203" t="s">
        <v>266</v>
      </c>
      <c r="K125" s="203" t="s">
        <v>266</v>
      </c>
      <c r="L125" s="203" t="s">
        <v>266</v>
      </c>
      <c r="M125" s="203" t="s">
        <v>266</v>
      </c>
      <c r="N125" s="203" t="s">
        <v>266</v>
      </c>
      <c r="O125" s="203" t="s">
        <v>266</v>
      </c>
      <c r="P125" s="203" t="s">
        <v>266</v>
      </c>
      <c r="R125" s="203" t="s">
        <v>266</v>
      </c>
      <c r="S125" s="203" t="s">
        <v>266</v>
      </c>
      <c r="T125" s="203" t="s">
        <v>266</v>
      </c>
      <c r="U125" s="203" t="s">
        <v>266</v>
      </c>
      <c r="V125" s="203" t="s">
        <v>266</v>
      </c>
      <c r="W125" s="203" t="s">
        <v>266</v>
      </c>
      <c r="X125" s="203" t="s">
        <v>266</v>
      </c>
      <c r="Z125" s="203" t="s">
        <v>266</v>
      </c>
      <c r="AA125" s="203" t="s">
        <v>266</v>
      </c>
      <c r="AB125" s="203" t="s">
        <v>266</v>
      </c>
      <c r="AC125" s="203" t="s">
        <v>266</v>
      </c>
      <c r="AD125" s="203" t="s">
        <v>266</v>
      </c>
      <c r="AE125" s="203" t="s">
        <v>266</v>
      </c>
      <c r="AF125" s="203" t="s">
        <v>266</v>
      </c>
      <c r="AH125">
        <v>1</v>
      </c>
      <c r="AI125">
        <v>5</v>
      </c>
    </row>
    <row r="126" spans="1:35" x14ac:dyDescent="0.25">
      <c r="A126" s="203" t="s">
        <v>266</v>
      </c>
      <c r="B126" s="203" t="s">
        <v>280</v>
      </c>
      <c r="C126" s="203"/>
      <c r="D126" s="203"/>
      <c r="E126" s="203"/>
      <c r="F126" s="203" t="s">
        <v>266</v>
      </c>
      <c r="G126" s="203" t="s">
        <v>266</v>
      </c>
      <c r="H126" s="203" t="s">
        <v>266</v>
      </c>
      <c r="J126" s="203" t="s">
        <v>266</v>
      </c>
      <c r="K126" s="203" t="s">
        <v>266</v>
      </c>
      <c r="L126" s="203" t="s">
        <v>266</v>
      </c>
      <c r="M126" s="203" t="s">
        <v>266</v>
      </c>
      <c r="N126" s="203" t="s">
        <v>266</v>
      </c>
      <c r="O126" s="203" t="s">
        <v>266</v>
      </c>
      <c r="P126" s="203" t="s">
        <v>266</v>
      </c>
      <c r="R126" s="203" t="s">
        <v>266</v>
      </c>
      <c r="S126" s="203" t="s">
        <v>266</v>
      </c>
      <c r="T126" s="203" t="s">
        <v>266</v>
      </c>
      <c r="U126" s="203" t="s">
        <v>266</v>
      </c>
      <c r="V126" s="203" t="s">
        <v>266</v>
      </c>
      <c r="W126" s="203" t="s">
        <v>266</v>
      </c>
      <c r="X126" s="203" t="s">
        <v>266</v>
      </c>
      <c r="Z126" s="203" t="s">
        <v>266</v>
      </c>
      <c r="AA126" s="203" t="s">
        <v>266</v>
      </c>
      <c r="AB126" s="203" t="s">
        <v>266</v>
      </c>
      <c r="AC126" s="203" t="s">
        <v>266</v>
      </c>
      <c r="AD126" s="203" t="s">
        <v>266</v>
      </c>
      <c r="AE126" s="203" t="s">
        <v>266</v>
      </c>
      <c r="AF126" s="203" t="s">
        <v>266</v>
      </c>
      <c r="AH126">
        <v>1</v>
      </c>
      <c r="AI126">
        <v>5</v>
      </c>
    </row>
    <row r="127" spans="1:35" x14ac:dyDescent="0.25">
      <c r="A127" s="203" t="s">
        <v>266</v>
      </c>
      <c r="B127" s="203" t="s">
        <v>280</v>
      </c>
      <c r="C127" s="203"/>
      <c r="D127" s="203"/>
      <c r="E127" s="203"/>
      <c r="F127" s="203" t="s">
        <v>266</v>
      </c>
      <c r="G127" s="203" t="s">
        <v>266</v>
      </c>
      <c r="H127" s="203" t="s">
        <v>266</v>
      </c>
      <c r="J127" s="203" t="s">
        <v>266</v>
      </c>
      <c r="K127" s="203" t="s">
        <v>266</v>
      </c>
      <c r="L127" s="203" t="s">
        <v>266</v>
      </c>
      <c r="M127" s="203" t="s">
        <v>266</v>
      </c>
      <c r="N127" s="203" t="s">
        <v>266</v>
      </c>
      <c r="O127" s="203" t="s">
        <v>266</v>
      </c>
      <c r="P127" s="203" t="s">
        <v>266</v>
      </c>
      <c r="R127" s="203" t="s">
        <v>266</v>
      </c>
      <c r="S127" s="203" t="s">
        <v>266</v>
      </c>
      <c r="T127" s="203" t="s">
        <v>266</v>
      </c>
      <c r="U127" s="203" t="s">
        <v>266</v>
      </c>
      <c r="V127" s="203" t="s">
        <v>266</v>
      </c>
      <c r="W127" s="203" t="s">
        <v>266</v>
      </c>
      <c r="X127" s="203" t="s">
        <v>266</v>
      </c>
      <c r="Z127" s="203" t="s">
        <v>266</v>
      </c>
      <c r="AA127" s="203" t="s">
        <v>266</v>
      </c>
      <c r="AB127" s="203" t="s">
        <v>266</v>
      </c>
      <c r="AC127" s="203" t="s">
        <v>266</v>
      </c>
      <c r="AD127" s="203" t="s">
        <v>266</v>
      </c>
      <c r="AE127" s="203" t="s">
        <v>266</v>
      </c>
      <c r="AF127" s="203" t="s">
        <v>266</v>
      </c>
      <c r="AH127">
        <v>1</v>
      </c>
      <c r="AI127">
        <v>5</v>
      </c>
    </row>
    <row r="128" spans="1:35" x14ac:dyDescent="0.25">
      <c r="A128" s="203" t="s">
        <v>266</v>
      </c>
      <c r="B128" s="203" t="s">
        <v>280</v>
      </c>
      <c r="C128" s="203"/>
      <c r="D128" s="203"/>
      <c r="E128" s="203"/>
      <c r="F128" s="203" t="s">
        <v>266</v>
      </c>
      <c r="G128" s="203" t="s">
        <v>266</v>
      </c>
      <c r="H128" s="203" t="s">
        <v>266</v>
      </c>
      <c r="J128" s="203" t="s">
        <v>266</v>
      </c>
      <c r="K128" s="203" t="s">
        <v>266</v>
      </c>
      <c r="L128" s="203" t="s">
        <v>266</v>
      </c>
      <c r="M128" s="203" t="s">
        <v>266</v>
      </c>
      <c r="N128" s="203" t="s">
        <v>266</v>
      </c>
      <c r="O128" s="203" t="s">
        <v>266</v>
      </c>
      <c r="P128" s="203" t="s">
        <v>266</v>
      </c>
      <c r="R128" s="203" t="s">
        <v>266</v>
      </c>
      <c r="S128" s="203" t="s">
        <v>266</v>
      </c>
      <c r="T128" s="203" t="s">
        <v>266</v>
      </c>
      <c r="U128" s="203" t="s">
        <v>266</v>
      </c>
      <c r="V128" s="203" t="s">
        <v>266</v>
      </c>
      <c r="W128" s="203" t="s">
        <v>266</v>
      </c>
      <c r="X128" s="203" t="s">
        <v>266</v>
      </c>
      <c r="Z128" s="203" t="s">
        <v>266</v>
      </c>
      <c r="AA128" s="203" t="s">
        <v>266</v>
      </c>
      <c r="AB128" s="203" t="s">
        <v>266</v>
      </c>
      <c r="AC128" s="203" t="s">
        <v>266</v>
      </c>
      <c r="AD128" s="203" t="s">
        <v>266</v>
      </c>
      <c r="AE128" s="203" t="s">
        <v>266</v>
      </c>
      <c r="AF128" s="203" t="s">
        <v>266</v>
      </c>
      <c r="AH128">
        <v>1</v>
      </c>
      <c r="AI128">
        <v>5</v>
      </c>
    </row>
    <row r="129" spans="1:35" x14ac:dyDescent="0.25">
      <c r="A129" s="203" t="s">
        <v>266</v>
      </c>
      <c r="B129" s="203" t="s">
        <v>280</v>
      </c>
      <c r="C129" s="203"/>
      <c r="D129" s="203"/>
      <c r="E129" s="203"/>
      <c r="F129" s="203" t="s">
        <v>266</v>
      </c>
      <c r="G129" s="203" t="s">
        <v>266</v>
      </c>
      <c r="H129" s="203" t="s">
        <v>266</v>
      </c>
      <c r="J129" s="203" t="s">
        <v>266</v>
      </c>
      <c r="K129" s="203" t="s">
        <v>266</v>
      </c>
      <c r="L129" s="203" t="s">
        <v>266</v>
      </c>
      <c r="M129" s="203" t="s">
        <v>266</v>
      </c>
      <c r="N129" s="203" t="s">
        <v>266</v>
      </c>
      <c r="O129" s="203" t="s">
        <v>266</v>
      </c>
      <c r="P129" s="203" t="s">
        <v>266</v>
      </c>
      <c r="R129" s="203" t="s">
        <v>266</v>
      </c>
      <c r="S129" s="203" t="s">
        <v>266</v>
      </c>
      <c r="T129" s="203" t="s">
        <v>266</v>
      </c>
      <c r="U129" s="203" t="s">
        <v>266</v>
      </c>
      <c r="V129" s="203" t="s">
        <v>266</v>
      </c>
      <c r="W129" s="203" t="s">
        <v>266</v>
      </c>
      <c r="X129" s="203" t="s">
        <v>266</v>
      </c>
      <c r="Z129" s="203" t="s">
        <v>266</v>
      </c>
      <c r="AA129" s="203" t="s">
        <v>266</v>
      </c>
      <c r="AB129" s="203" t="s">
        <v>266</v>
      </c>
      <c r="AC129" s="203" t="s">
        <v>266</v>
      </c>
      <c r="AD129" s="203" t="s">
        <v>266</v>
      </c>
      <c r="AE129" s="203" t="s">
        <v>266</v>
      </c>
      <c r="AF129" s="203" t="s">
        <v>266</v>
      </c>
      <c r="AH129">
        <v>1</v>
      </c>
      <c r="AI129">
        <v>5</v>
      </c>
    </row>
    <row r="130" spans="1:35" x14ac:dyDescent="0.25">
      <c r="A130" s="203" t="s">
        <v>266</v>
      </c>
      <c r="B130" s="203" t="s">
        <v>280</v>
      </c>
      <c r="C130" s="203"/>
      <c r="D130" s="203"/>
      <c r="E130" s="203"/>
      <c r="F130" s="203" t="s">
        <v>266</v>
      </c>
      <c r="G130" s="203" t="s">
        <v>266</v>
      </c>
      <c r="H130" s="203" t="s">
        <v>266</v>
      </c>
      <c r="J130" s="203" t="s">
        <v>266</v>
      </c>
      <c r="K130" s="203" t="s">
        <v>266</v>
      </c>
      <c r="L130" s="203" t="s">
        <v>266</v>
      </c>
      <c r="M130" s="203" t="s">
        <v>266</v>
      </c>
      <c r="N130" s="203" t="s">
        <v>266</v>
      </c>
      <c r="O130" s="203" t="s">
        <v>266</v>
      </c>
      <c r="P130" s="203" t="s">
        <v>266</v>
      </c>
      <c r="R130" s="203" t="s">
        <v>266</v>
      </c>
      <c r="S130" s="203" t="s">
        <v>266</v>
      </c>
      <c r="T130" s="203" t="s">
        <v>266</v>
      </c>
      <c r="U130" s="203" t="s">
        <v>266</v>
      </c>
      <c r="V130" s="203" t="s">
        <v>266</v>
      </c>
      <c r="W130" s="203" t="s">
        <v>266</v>
      </c>
      <c r="X130" s="203" t="s">
        <v>266</v>
      </c>
      <c r="Z130" s="203" t="s">
        <v>266</v>
      </c>
      <c r="AA130" s="203" t="s">
        <v>266</v>
      </c>
      <c r="AB130" s="203" t="s">
        <v>266</v>
      </c>
      <c r="AC130" s="203" t="s">
        <v>266</v>
      </c>
      <c r="AD130" s="203" t="s">
        <v>266</v>
      </c>
      <c r="AE130" s="203" t="s">
        <v>266</v>
      </c>
      <c r="AF130" s="203" t="s">
        <v>266</v>
      </c>
      <c r="AH130">
        <v>1</v>
      </c>
      <c r="AI130">
        <v>5</v>
      </c>
    </row>
    <row r="131" spans="1:35" x14ac:dyDescent="0.25">
      <c r="A131" s="203" t="s">
        <v>266</v>
      </c>
      <c r="B131" s="203" t="s">
        <v>280</v>
      </c>
      <c r="C131" s="203"/>
      <c r="D131" s="203"/>
      <c r="E131" s="203"/>
      <c r="F131" s="203" t="s">
        <v>266</v>
      </c>
      <c r="G131" s="203" t="s">
        <v>266</v>
      </c>
      <c r="H131" s="203" t="s">
        <v>266</v>
      </c>
      <c r="J131" s="203" t="s">
        <v>266</v>
      </c>
      <c r="K131" s="203" t="s">
        <v>266</v>
      </c>
      <c r="L131" s="203" t="s">
        <v>266</v>
      </c>
      <c r="M131" s="203" t="s">
        <v>266</v>
      </c>
      <c r="N131" s="203" t="s">
        <v>266</v>
      </c>
      <c r="O131" s="203" t="s">
        <v>266</v>
      </c>
      <c r="P131" s="203" t="s">
        <v>266</v>
      </c>
      <c r="R131" s="203" t="s">
        <v>266</v>
      </c>
      <c r="S131" s="203" t="s">
        <v>266</v>
      </c>
      <c r="T131" s="203" t="s">
        <v>266</v>
      </c>
      <c r="U131" s="203" t="s">
        <v>266</v>
      </c>
      <c r="V131" s="203" t="s">
        <v>266</v>
      </c>
      <c r="W131" s="203" t="s">
        <v>266</v>
      </c>
      <c r="X131" s="203" t="s">
        <v>266</v>
      </c>
      <c r="Z131" s="203" t="s">
        <v>266</v>
      </c>
      <c r="AA131" s="203" t="s">
        <v>266</v>
      </c>
      <c r="AB131" s="203" t="s">
        <v>266</v>
      </c>
      <c r="AC131" s="203" t="s">
        <v>266</v>
      </c>
      <c r="AD131" s="203" t="s">
        <v>266</v>
      </c>
      <c r="AE131" s="203" t="s">
        <v>266</v>
      </c>
      <c r="AF131" s="203" t="s">
        <v>266</v>
      </c>
      <c r="AH131">
        <v>1</v>
      </c>
      <c r="AI131">
        <v>5</v>
      </c>
    </row>
    <row r="132" spans="1:35" x14ac:dyDescent="0.25">
      <c r="A132" s="203" t="s">
        <v>266</v>
      </c>
      <c r="B132" s="203" t="s">
        <v>280</v>
      </c>
      <c r="C132" s="203"/>
      <c r="D132" s="203"/>
      <c r="E132" s="203"/>
      <c r="F132" s="203" t="s">
        <v>266</v>
      </c>
      <c r="G132" s="203" t="s">
        <v>266</v>
      </c>
      <c r="H132" s="203" t="s">
        <v>266</v>
      </c>
      <c r="J132" s="203" t="s">
        <v>266</v>
      </c>
      <c r="K132" s="203" t="s">
        <v>266</v>
      </c>
      <c r="L132" s="203" t="s">
        <v>266</v>
      </c>
      <c r="M132" s="203" t="s">
        <v>266</v>
      </c>
      <c r="N132" s="203" t="s">
        <v>266</v>
      </c>
      <c r="O132" s="203" t="s">
        <v>266</v>
      </c>
      <c r="P132" s="203" t="s">
        <v>266</v>
      </c>
      <c r="R132" s="203" t="s">
        <v>266</v>
      </c>
      <c r="S132" s="203" t="s">
        <v>266</v>
      </c>
      <c r="T132" s="203" t="s">
        <v>266</v>
      </c>
      <c r="U132" s="203" t="s">
        <v>266</v>
      </c>
      <c r="V132" s="203" t="s">
        <v>266</v>
      </c>
      <c r="W132" s="203" t="s">
        <v>266</v>
      </c>
      <c r="X132" s="203" t="s">
        <v>266</v>
      </c>
      <c r="Z132" s="203" t="s">
        <v>266</v>
      </c>
      <c r="AA132" s="203" t="s">
        <v>266</v>
      </c>
      <c r="AB132" s="203" t="s">
        <v>266</v>
      </c>
      <c r="AC132" s="203" t="s">
        <v>266</v>
      </c>
      <c r="AD132" s="203" t="s">
        <v>266</v>
      </c>
      <c r="AE132" s="203" t="s">
        <v>266</v>
      </c>
      <c r="AF132" s="203" t="s">
        <v>266</v>
      </c>
      <c r="AH132">
        <v>1</v>
      </c>
      <c r="AI132">
        <v>5</v>
      </c>
    </row>
    <row r="133" spans="1:35" x14ac:dyDescent="0.25">
      <c r="A133" s="203" t="s">
        <v>266</v>
      </c>
      <c r="B133" s="203" t="s">
        <v>280</v>
      </c>
      <c r="C133" s="203"/>
      <c r="D133" s="203"/>
      <c r="E133" s="203"/>
      <c r="F133" s="203" t="s">
        <v>266</v>
      </c>
      <c r="G133" s="203" t="s">
        <v>266</v>
      </c>
      <c r="H133" s="203" t="s">
        <v>266</v>
      </c>
      <c r="J133" s="203" t="s">
        <v>266</v>
      </c>
      <c r="K133" s="203" t="s">
        <v>266</v>
      </c>
      <c r="L133" s="203" t="s">
        <v>266</v>
      </c>
      <c r="M133" s="203" t="s">
        <v>266</v>
      </c>
      <c r="N133" s="203" t="s">
        <v>266</v>
      </c>
      <c r="O133" s="203" t="s">
        <v>266</v>
      </c>
      <c r="P133" s="203" t="s">
        <v>266</v>
      </c>
      <c r="R133" s="203" t="s">
        <v>266</v>
      </c>
      <c r="S133" s="203" t="s">
        <v>266</v>
      </c>
      <c r="T133" s="203" t="s">
        <v>266</v>
      </c>
      <c r="U133" s="203" t="s">
        <v>266</v>
      </c>
      <c r="V133" s="203" t="s">
        <v>266</v>
      </c>
      <c r="W133" s="203" t="s">
        <v>266</v>
      </c>
      <c r="X133" s="203" t="s">
        <v>266</v>
      </c>
      <c r="Z133" s="203" t="s">
        <v>266</v>
      </c>
      <c r="AA133" s="203" t="s">
        <v>266</v>
      </c>
      <c r="AB133" s="203" t="s">
        <v>266</v>
      </c>
      <c r="AC133" s="203" t="s">
        <v>266</v>
      </c>
      <c r="AD133" s="203" t="s">
        <v>266</v>
      </c>
      <c r="AE133" s="203" t="s">
        <v>266</v>
      </c>
      <c r="AF133" s="203" t="s">
        <v>266</v>
      </c>
      <c r="AH133">
        <v>1</v>
      </c>
      <c r="AI133">
        <v>5</v>
      </c>
    </row>
    <row r="134" spans="1:35" x14ac:dyDescent="0.25">
      <c r="A134" s="203" t="s">
        <v>266</v>
      </c>
      <c r="B134" s="203" t="s">
        <v>280</v>
      </c>
      <c r="C134" s="203"/>
      <c r="D134" s="203"/>
      <c r="E134" s="203"/>
      <c r="F134" s="203" t="s">
        <v>266</v>
      </c>
      <c r="G134" s="203" t="s">
        <v>266</v>
      </c>
      <c r="H134" s="203" t="s">
        <v>266</v>
      </c>
      <c r="J134" s="203" t="s">
        <v>266</v>
      </c>
      <c r="K134" s="203" t="s">
        <v>266</v>
      </c>
      <c r="L134" s="203" t="s">
        <v>266</v>
      </c>
      <c r="M134" s="203" t="s">
        <v>266</v>
      </c>
      <c r="N134" s="203" t="s">
        <v>266</v>
      </c>
      <c r="O134" s="203" t="s">
        <v>266</v>
      </c>
      <c r="P134" s="203" t="s">
        <v>266</v>
      </c>
      <c r="R134" s="203" t="s">
        <v>266</v>
      </c>
      <c r="S134" s="203" t="s">
        <v>266</v>
      </c>
      <c r="T134" s="203" t="s">
        <v>266</v>
      </c>
      <c r="U134" s="203" t="s">
        <v>266</v>
      </c>
      <c r="V134" s="203" t="s">
        <v>266</v>
      </c>
      <c r="W134" s="203" t="s">
        <v>266</v>
      </c>
      <c r="X134" s="203" t="s">
        <v>266</v>
      </c>
      <c r="Z134" s="203" t="s">
        <v>266</v>
      </c>
      <c r="AA134" s="203" t="s">
        <v>266</v>
      </c>
      <c r="AB134" s="203" t="s">
        <v>266</v>
      </c>
      <c r="AC134" s="203" t="s">
        <v>266</v>
      </c>
      <c r="AD134" s="203" t="s">
        <v>266</v>
      </c>
      <c r="AE134" s="203" t="s">
        <v>266</v>
      </c>
      <c r="AF134" s="203" t="s">
        <v>266</v>
      </c>
      <c r="AH134">
        <v>1</v>
      </c>
      <c r="AI134">
        <v>5</v>
      </c>
    </row>
    <row r="135" spans="1:35" x14ac:dyDescent="0.25">
      <c r="A135" s="203" t="s">
        <v>266</v>
      </c>
      <c r="B135" s="203" t="s">
        <v>280</v>
      </c>
      <c r="C135" s="203"/>
      <c r="D135" s="203"/>
      <c r="E135" s="203"/>
      <c r="F135" s="203" t="s">
        <v>266</v>
      </c>
      <c r="G135" s="203" t="s">
        <v>266</v>
      </c>
      <c r="H135" s="203" t="s">
        <v>266</v>
      </c>
      <c r="J135" s="203" t="s">
        <v>266</v>
      </c>
      <c r="K135" s="203" t="s">
        <v>266</v>
      </c>
      <c r="L135" s="203" t="s">
        <v>266</v>
      </c>
      <c r="M135" s="203" t="s">
        <v>266</v>
      </c>
      <c r="N135" s="203" t="s">
        <v>266</v>
      </c>
      <c r="O135" s="203" t="s">
        <v>266</v>
      </c>
      <c r="P135" s="203" t="s">
        <v>266</v>
      </c>
      <c r="R135" s="203" t="s">
        <v>266</v>
      </c>
      <c r="S135" s="203" t="s">
        <v>266</v>
      </c>
      <c r="T135" s="203" t="s">
        <v>266</v>
      </c>
      <c r="U135" s="203" t="s">
        <v>266</v>
      </c>
      <c r="V135" s="203" t="s">
        <v>266</v>
      </c>
      <c r="W135" s="203" t="s">
        <v>266</v>
      </c>
      <c r="X135" s="203" t="s">
        <v>266</v>
      </c>
      <c r="Z135" s="203" t="s">
        <v>266</v>
      </c>
      <c r="AA135" s="203" t="s">
        <v>266</v>
      </c>
      <c r="AB135" s="203" t="s">
        <v>266</v>
      </c>
      <c r="AC135" s="203" t="s">
        <v>266</v>
      </c>
      <c r="AD135" s="203" t="s">
        <v>266</v>
      </c>
      <c r="AE135" s="203" t="s">
        <v>266</v>
      </c>
      <c r="AF135" s="203" t="s">
        <v>266</v>
      </c>
      <c r="AH135">
        <v>1</v>
      </c>
      <c r="AI135">
        <v>5</v>
      </c>
    </row>
    <row r="136" spans="1:35" x14ac:dyDescent="0.25">
      <c r="A136" s="203" t="s">
        <v>266</v>
      </c>
      <c r="B136" s="203" t="s">
        <v>280</v>
      </c>
      <c r="C136" s="203"/>
      <c r="D136" s="203"/>
      <c r="E136" s="203"/>
      <c r="F136" s="203" t="s">
        <v>266</v>
      </c>
      <c r="G136" s="203" t="s">
        <v>266</v>
      </c>
      <c r="H136" s="203" t="s">
        <v>266</v>
      </c>
      <c r="J136" s="203" t="s">
        <v>266</v>
      </c>
      <c r="K136" s="203" t="s">
        <v>266</v>
      </c>
      <c r="L136" s="203" t="s">
        <v>266</v>
      </c>
      <c r="M136" s="203" t="s">
        <v>266</v>
      </c>
      <c r="N136" s="203" t="s">
        <v>266</v>
      </c>
      <c r="O136" s="203" t="s">
        <v>266</v>
      </c>
      <c r="P136" s="203" t="s">
        <v>266</v>
      </c>
      <c r="R136" s="203" t="s">
        <v>266</v>
      </c>
      <c r="S136" s="203" t="s">
        <v>266</v>
      </c>
      <c r="T136" s="203" t="s">
        <v>266</v>
      </c>
      <c r="U136" s="203" t="s">
        <v>266</v>
      </c>
      <c r="V136" s="203" t="s">
        <v>266</v>
      </c>
      <c r="W136" s="203" t="s">
        <v>266</v>
      </c>
      <c r="X136" s="203" t="s">
        <v>266</v>
      </c>
      <c r="Z136" s="203" t="s">
        <v>266</v>
      </c>
      <c r="AA136" s="203" t="s">
        <v>266</v>
      </c>
      <c r="AB136" s="203" t="s">
        <v>266</v>
      </c>
      <c r="AC136" s="203" t="s">
        <v>266</v>
      </c>
      <c r="AD136" s="203" t="s">
        <v>266</v>
      </c>
      <c r="AE136" s="203" t="s">
        <v>266</v>
      </c>
      <c r="AF136" s="203" t="s">
        <v>266</v>
      </c>
      <c r="AH136">
        <v>1</v>
      </c>
      <c r="AI136">
        <v>5</v>
      </c>
    </row>
    <row r="137" spans="1:35" x14ac:dyDescent="0.25">
      <c r="A137" s="203" t="s">
        <v>266</v>
      </c>
      <c r="B137" s="203" t="s">
        <v>280</v>
      </c>
      <c r="C137" s="203"/>
      <c r="D137" s="203"/>
      <c r="E137" s="203"/>
      <c r="F137" s="203" t="s">
        <v>266</v>
      </c>
      <c r="G137" s="203" t="s">
        <v>266</v>
      </c>
      <c r="H137" s="203" t="s">
        <v>266</v>
      </c>
      <c r="J137" s="203" t="s">
        <v>266</v>
      </c>
      <c r="K137" s="203" t="s">
        <v>266</v>
      </c>
      <c r="L137" s="203" t="s">
        <v>266</v>
      </c>
      <c r="M137" s="203" t="s">
        <v>266</v>
      </c>
      <c r="N137" s="203" t="s">
        <v>266</v>
      </c>
      <c r="O137" s="203" t="s">
        <v>266</v>
      </c>
      <c r="P137" s="203" t="s">
        <v>266</v>
      </c>
      <c r="R137" s="203" t="s">
        <v>266</v>
      </c>
      <c r="S137" s="203" t="s">
        <v>266</v>
      </c>
      <c r="T137" s="203" t="s">
        <v>266</v>
      </c>
      <c r="U137" s="203" t="s">
        <v>266</v>
      </c>
      <c r="V137" s="203" t="s">
        <v>266</v>
      </c>
      <c r="W137" s="203" t="s">
        <v>266</v>
      </c>
      <c r="X137" s="203" t="s">
        <v>266</v>
      </c>
      <c r="Z137" s="203" t="s">
        <v>266</v>
      </c>
      <c r="AA137" s="203" t="s">
        <v>266</v>
      </c>
      <c r="AB137" s="203" t="s">
        <v>266</v>
      </c>
      <c r="AC137" s="203" t="s">
        <v>266</v>
      </c>
      <c r="AD137" s="203" t="s">
        <v>266</v>
      </c>
      <c r="AE137" s="203" t="s">
        <v>266</v>
      </c>
      <c r="AF137" s="203" t="s">
        <v>266</v>
      </c>
      <c r="AH137">
        <v>1</v>
      </c>
      <c r="AI137">
        <v>5</v>
      </c>
    </row>
    <row r="138" spans="1:35" x14ac:dyDescent="0.25">
      <c r="A138" s="203" t="s">
        <v>266</v>
      </c>
      <c r="B138" s="203" t="s">
        <v>280</v>
      </c>
      <c r="C138" s="203"/>
      <c r="D138" s="203"/>
      <c r="E138" s="203"/>
      <c r="F138" s="203" t="s">
        <v>266</v>
      </c>
      <c r="G138" s="203" t="s">
        <v>266</v>
      </c>
      <c r="H138" s="203" t="s">
        <v>266</v>
      </c>
      <c r="J138" s="203" t="s">
        <v>266</v>
      </c>
      <c r="K138" s="203" t="s">
        <v>266</v>
      </c>
      <c r="L138" s="203" t="s">
        <v>266</v>
      </c>
      <c r="M138" s="203" t="s">
        <v>266</v>
      </c>
      <c r="N138" s="203" t="s">
        <v>266</v>
      </c>
      <c r="O138" s="203" t="s">
        <v>266</v>
      </c>
      <c r="P138" s="203" t="s">
        <v>266</v>
      </c>
      <c r="R138" s="203" t="s">
        <v>266</v>
      </c>
      <c r="S138" s="203" t="s">
        <v>266</v>
      </c>
      <c r="T138" s="203" t="s">
        <v>266</v>
      </c>
      <c r="U138" s="203" t="s">
        <v>266</v>
      </c>
      <c r="V138" s="203" t="s">
        <v>266</v>
      </c>
      <c r="W138" s="203" t="s">
        <v>266</v>
      </c>
      <c r="X138" s="203" t="s">
        <v>266</v>
      </c>
      <c r="Z138" s="203" t="s">
        <v>266</v>
      </c>
      <c r="AA138" s="203" t="s">
        <v>266</v>
      </c>
      <c r="AB138" s="203" t="s">
        <v>266</v>
      </c>
      <c r="AC138" s="203" t="s">
        <v>266</v>
      </c>
      <c r="AD138" s="203" t="s">
        <v>266</v>
      </c>
      <c r="AE138" s="203" t="s">
        <v>266</v>
      </c>
      <c r="AF138" s="203" t="s">
        <v>266</v>
      </c>
      <c r="AH138">
        <v>1</v>
      </c>
      <c r="AI138">
        <v>5</v>
      </c>
    </row>
    <row r="139" spans="1:35" x14ac:dyDescent="0.25">
      <c r="A139" s="203" t="s">
        <v>266</v>
      </c>
      <c r="B139" s="203" t="s">
        <v>280</v>
      </c>
      <c r="C139" s="203"/>
      <c r="D139" s="203"/>
      <c r="E139" s="203"/>
      <c r="F139" s="203" t="s">
        <v>266</v>
      </c>
      <c r="G139" s="203" t="s">
        <v>266</v>
      </c>
      <c r="H139" s="203" t="s">
        <v>266</v>
      </c>
      <c r="J139" s="203" t="s">
        <v>266</v>
      </c>
      <c r="K139" s="203" t="s">
        <v>266</v>
      </c>
      <c r="L139" s="203" t="s">
        <v>266</v>
      </c>
      <c r="M139" s="203" t="s">
        <v>266</v>
      </c>
      <c r="N139" s="203" t="s">
        <v>266</v>
      </c>
      <c r="O139" s="203" t="s">
        <v>266</v>
      </c>
      <c r="P139" s="203" t="s">
        <v>266</v>
      </c>
      <c r="R139" s="203" t="s">
        <v>266</v>
      </c>
      <c r="S139" s="203" t="s">
        <v>266</v>
      </c>
      <c r="T139" s="203" t="s">
        <v>266</v>
      </c>
      <c r="U139" s="203" t="s">
        <v>266</v>
      </c>
      <c r="V139" s="203" t="s">
        <v>266</v>
      </c>
      <c r="W139" s="203" t="s">
        <v>266</v>
      </c>
      <c r="X139" s="203" t="s">
        <v>266</v>
      </c>
      <c r="Z139" s="203" t="s">
        <v>266</v>
      </c>
      <c r="AA139" s="203" t="s">
        <v>266</v>
      </c>
      <c r="AB139" s="203" t="s">
        <v>266</v>
      </c>
      <c r="AC139" s="203" t="s">
        <v>266</v>
      </c>
      <c r="AD139" s="203" t="s">
        <v>266</v>
      </c>
      <c r="AE139" s="203" t="s">
        <v>266</v>
      </c>
      <c r="AF139" s="203" t="s">
        <v>266</v>
      </c>
      <c r="AH139">
        <v>1</v>
      </c>
      <c r="AI139">
        <v>5</v>
      </c>
    </row>
    <row r="140" spans="1:35" x14ac:dyDescent="0.25">
      <c r="A140" s="203" t="s">
        <v>266</v>
      </c>
      <c r="B140" s="203" t="s">
        <v>280</v>
      </c>
      <c r="C140" s="203"/>
      <c r="D140" s="203"/>
      <c r="E140" s="203"/>
      <c r="F140" s="203" t="s">
        <v>266</v>
      </c>
      <c r="G140" s="203" t="s">
        <v>266</v>
      </c>
      <c r="H140" s="203" t="s">
        <v>266</v>
      </c>
      <c r="J140" s="203" t="s">
        <v>266</v>
      </c>
      <c r="K140" s="203" t="s">
        <v>266</v>
      </c>
      <c r="L140" s="203" t="s">
        <v>266</v>
      </c>
      <c r="M140" s="203" t="s">
        <v>266</v>
      </c>
      <c r="N140" s="203" t="s">
        <v>266</v>
      </c>
      <c r="O140" s="203" t="s">
        <v>266</v>
      </c>
      <c r="P140" s="203" t="s">
        <v>266</v>
      </c>
      <c r="R140" s="203" t="s">
        <v>266</v>
      </c>
      <c r="S140" s="203" t="s">
        <v>266</v>
      </c>
      <c r="T140" s="203" t="s">
        <v>266</v>
      </c>
      <c r="U140" s="203" t="s">
        <v>266</v>
      </c>
      <c r="V140" s="203" t="s">
        <v>266</v>
      </c>
      <c r="W140" s="203" t="s">
        <v>266</v>
      </c>
      <c r="X140" s="203" t="s">
        <v>266</v>
      </c>
      <c r="Z140" s="203" t="s">
        <v>266</v>
      </c>
      <c r="AA140" s="203" t="s">
        <v>266</v>
      </c>
      <c r="AB140" s="203" t="s">
        <v>266</v>
      </c>
      <c r="AC140" s="203" t="s">
        <v>266</v>
      </c>
      <c r="AD140" s="203" t="s">
        <v>266</v>
      </c>
      <c r="AE140" s="203" t="s">
        <v>266</v>
      </c>
      <c r="AF140" s="203" t="s">
        <v>266</v>
      </c>
      <c r="AH140">
        <v>1</v>
      </c>
      <c r="AI140">
        <v>5</v>
      </c>
    </row>
    <row r="141" spans="1:35" x14ac:dyDescent="0.25">
      <c r="A141" s="203" t="s">
        <v>266</v>
      </c>
      <c r="B141" s="203" t="s">
        <v>280</v>
      </c>
      <c r="C141" s="203"/>
      <c r="D141" s="203"/>
      <c r="E141" s="203"/>
      <c r="F141" s="203" t="s">
        <v>266</v>
      </c>
      <c r="G141" s="203" t="s">
        <v>266</v>
      </c>
      <c r="H141" s="203" t="s">
        <v>266</v>
      </c>
      <c r="J141" s="203" t="s">
        <v>266</v>
      </c>
      <c r="K141" s="203" t="s">
        <v>266</v>
      </c>
      <c r="L141" s="203" t="s">
        <v>266</v>
      </c>
      <c r="M141" s="203" t="s">
        <v>266</v>
      </c>
      <c r="N141" s="203" t="s">
        <v>266</v>
      </c>
      <c r="O141" s="203" t="s">
        <v>266</v>
      </c>
      <c r="P141" s="203" t="s">
        <v>266</v>
      </c>
      <c r="R141" s="203" t="s">
        <v>266</v>
      </c>
      <c r="S141" s="203" t="s">
        <v>266</v>
      </c>
      <c r="T141" s="203" t="s">
        <v>266</v>
      </c>
      <c r="U141" s="203" t="s">
        <v>266</v>
      </c>
      <c r="V141" s="203" t="s">
        <v>266</v>
      </c>
      <c r="W141" s="203" t="s">
        <v>266</v>
      </c>
      <c r="X141" s="203" t="s">
        <v>266</v>
      </c>
      <c r="Z141" s="203" t="s">
        <v>266</v>
      </c>
      <c r="AA141" s="203" t="s">
        <v>266</v>
      </c>
      <c r="AB141" s="203" t="s">
        <v>266</v>
      </c>
      <c r="AC141" s="203" t="s">
        <v>266</v>
      </c>
      <c r="AD141" s="203" t="s">
        <v>266</v>
      </c>
      <c r="AE141" s="203" t="s">
        <v>266</v>
      </c>
      <c r="AF141" s="203" t="s">
        <v>266</v>
      </c>
      <c r="AH141">
        <v>1</v>
      </c>
      <c r="AI141">
        <v>5</v>
      </c>
    </row>
    <row r="142" spans="1:35" x14ac:dyDescent="0.25">
      <c r="A142" s="203" t="s">
        <v>266</v>
      </c>
      <c r="B142" s="203" t="s">
        <v>280</v>
      </c>
      <c r="C142" s="203"/>
      <c r="D142" s="203"/>
      <c r="E142" s="203"/>
      <c r="F142" s="203" t="s">
        <v>266</v>
      </c>
      <c r="G142" s="203" t="s">
        <v>266</v>
      </c>
      <c r="H142" s="203" t="s">
        <v>266</v>
      </c>
      <c r="J142" s="203" t="s">
        <v>266</v>
      </c>
      <c r="K142" s="203" t="s">
        <v>266</v>
      </c>
      <c r="L142" s="203" t="s">
        <v>266</v>
      </c>
      <c r="M142" s="203" t="s">
        <v>266</v>
      </c>
      <c r="N142" s="203" t="s">
        <v>266</v>
      </c>
      <c r="O142" s="203" t="s">
        <v>266</v>
      </c>
      <c r="P142" s="203" t="s">
        <v>266</v>
      </c>
      <c r="R142" s="203" t="s">
        <v>266</v>
      </c>
      <c r="S142" s="203" t="s">
        <v>266</v>
      </c>
      <c r="T142" s="203" t="s">
        <v>266</v>
      </c>
      <c r="U142" s="203" t="s">
        <v>266</v>
      </c>
      <c r="V142" s="203" t="s">
        <v>266</v>
      </c>
      <c r="W142" s="203" t="s">
        <v>266</v>
      </c>
      <c r="X142" s="203" t="s">
        <v>266</v>
      </c>
      <c r="Z142" s="203" t="s">
        <v>266</v>
      </c>
      <c r="AA142" s="203" t="s">
        <v>266</v>
      </c>
      <c r="AB142" s="203" t="s">
        <v>266</v>
      </c>
      <c r="AC142" s="203" t="s">
        <v>266</v>
      </c>
      <c r="AD142" s="203" t="s">
        <v>266</v>
      </c>
      <c r="AE142" s="203" t="s">
        <v>266</v>
      </c>
      <c r="AF142" s="203" t="s">
        <v>266</v>
      </c>
      <c r="AH142">
        <v>1</v>
      </c>
      <c r="AI142">
        <v>5</v>
      </c>
    </row>
    <row r="143" spans="1:35" x14ac:dyDescent="0.25">
      <c r="A143" s="203" t="s">
        <v>266</v>
      </c>
      <c r="B143" s="203" t="s">
        <v>280</v>
      </c>
      <c r="C143" s="203"/>
      <c r="D143" s="203"/>
      <c r="E143" s="203"/>
      <c r="F143" s="203" t="s">
        <v>266</v>
      </c>
      <c r="G143" s="203" t="s">
        <v>266</v>
      </c>
      <c r="H143" s="203" t="s">
        <v>266</v>
      </c>
      <c r="J143" s="203" t="s">
        <v>266</v>
      </c>
      <c r="K143" s="203" t="s">
        <v>266</v>
      </c>
      <c r="L143" s="203" t="s">
        <v>266</v>
      </c>
      <c r="M143" s="203" t="s">
        <v>266</v>
      </c>
      <c r="N143" s="203" t="s">
        <v>266</v>
      </c>
      <c r="O143" s="203" t="s">
        <v>266</v>
      </c>
      <c r="P143" s="203" t="s">
        <v>266</v>
      </c>
      <c r="R143" s="203" t="s">
        <v>266</v>
      </c>
      <c r="S143" s="203" t="s">
        <v>266</v>
      </c>
      <c r="T143" s="203" t="s">
        <v>266</v>
      </c>
      <c r="U143" s="203" t="s">
        <v>266</v>
      </c>
      <c r="V143" s="203" t="s">
        <v>266</v>
      </c>
      <c r="W143" s="203" t="s">
        <v>266</v>
      </c>
      <c r="X143" s="203" t="s">
        <v>266</v>
      </c>
      <c r="Z143" s="203" t="s">
        <v>266</v>
      </c>
      <c r="AA143" s="203" t="s">
        <v>266</v>
      </c>
      <c r="AB143" s="203" t="s">
        <v>266</v>
      </c>
      <c r="AC143" s="203" t="s">
        <v>266</v>
      </c>
      <c r="AD143" s="203" t="s">
        <v>266</v>
      </c>
      <c r="AE143" s="203" t="s">
        <v>266</v>
      </c>
      <c r="AF143" s="203" t="s">
        <v>266</v>
      </c>
      <c r="AH143">
        <v>1</v>
      </c>
      <c r="AI143">
        <v>5</v>
      </c>
    </row>
    <row r="144" spans="1:35" x14ac:dyDescent="0.25">
      <c r="A144" s="203" t="s">
        <v>266</v>
      </c>
      <c r="B144" s="203" t="s">
        <v>280</v>
      </c>
      <c r="C144" s="203"/>
      <c r="D144" s="203"/>
      <c r="E144" s="203"/>
      <c r="F144" s="203" t="s">
        <v>266</v>
      </c>
      <c r="G144" s="203" t="s">
        <v>266</v>
      </c>
      <c r="H144" s="203" t="s">
        <v>266</v>
      </c>
      <c r="J144" s="203" t="s">
        <v>266</v>
      </c>
      <c r="K144" s="203" t="s">
        <v>266</v>
      </c>
      <c r="L144" s="203" t="s">
        <v>266</v>
      </c>
      <c r="M144" s="203" t="s">
        <v>266</v>
      </c>
      <c r="N144" s="203" t="s">
        <v>266</v>
      </c>
      <c r="O144" s="203" t="s">
        <v>266</v>
      </c>
      <c r="P144" s="203" t="s">
        <v>266</v>
      </c>
      <c r="R144" s="203" t="s">
        <v>266</v>
      </c>
      <c r="S144" s="203" t="s">
        <v>266</v>
      </c>
      <c r="T144" s="203" t="s">
        <v>266</v>
      </c>
      <c r="U144" s="203" t="s">
        <v>266</v>
      </c>
      <c r="V144" s="203" t="s">
        <v>266</v>
      </c>
      <c r="W144" s="203" t="s">
        <v>266</v>
      </c>
      <c r="X144" s="203" t="s">
        <v>266</v>
      </c>
      <c r="Z144" s="203" t="s">
        <v>266</v>
      </c>
      <c r="AA144" s="203" t="s">
        <v>266</v>
      </c>
      <c r="AB144" s="203" t="s">
        <v>266</v>
      </c>
      <c r="AC144" s="203" t="s">
        <v>266</v>
      </c>
      <c r="AD144" s="203" t="s">
        <v>266</v>
      </c>
      <c r="AE144" s="203" t="s">
        <v>266</v>
      </c>
      <c r="AF144" s="203" t="s">
        <v>266</v>
      </c>
      <c r="AH144">
        <v>1</v>
      </c>
      <c r="AI144">
        <v>5</v>
      </c>
    </row>
    <row r="145" spans="1:35" x14ac:dyDescent="0.25">
      <c r="A145" s="203" t="s">
        <v>266</v>
      </c>
      <c r="B145" s="203" t="s">
        <v>280</v>
      </c>
      <c r="C145" s="203"/>
      <c r="D145" s="203"/>
      <c r="E145" s="203"/>
      <c r="F145" s="203" t="s">
        <v>266</v>
      </c>
      <c r="G145" s="203" t="s">
        <v>266</v>
      </c>
      <c r="H145" s="203" t="s">
        <v>266</v>
      </c>
      <c r="J145" s="203" t="s">
        <v>266</v>
      </c>
      <c r="K145" s="203" t="s">
        <v>266</v>
      </c>
      <c r="L145" s="203" t="s">
        <v>266</v>
      </c>
      <c r="M145" s="203" t="s">
        <v>266</v>
      </c>
      <c r="N145" s="203" t="s">
        <v>266</v>
      </c>
      <c r="O145" s="203" t="s">
        <v>266</v>
      </c>
      <c r="P145" s="203" t="s">
        <v>266</v>
      </c>
      <c r="R145" s="203" t="s">
        <v>266</v>
      </c>
      <c r="S145" s="203" t="s">
        <v>266</v>
      </c>
      <c r="T145" s="203" t="s">
        <v>266</v>
      </c>
      <c r="U145" s="203" t="s">
        <v>266</v>
      </c>
      <c r="V145" s="203" t="s">
        <v>266</v>
      </c>
      <c r="W145" s="203" t="s">
        <v>266</v>
      </c>
      <c r="X145" s="203" t="s">
        <v>266</v>
      </c>
      <c r="Z145" s="203" t="s">
        <v>266</v>
      </c>
      <c r="AA145" s="203" t="s">
        <v>266</v>
      </c>
      <c r="AB145" s="203" t="s">
        <v>266</v>
      </c>
      <c r="AC145" s="203" t="s">
        <v>266</v>
      </c>
      <c r="AD145" s="203" t="s">
        <v>266</v>
      </c>
      <c r="AE145" s="203" t="s">
        <v>266</v>
      </c>
      <c r="AF145" s="203" t="s">
        <v>266</v>
      </c>
      <c r="AH145">
        <v>1</v>
      </c>
      <c r="AI145">
        <v>5</v>
      </c>
    </row>
    <row r="146" spans="1:35" x14ac:dyDescent="0.25">
      <c r="A146" s="203" t="s">
        <v>266</v>
      </c>
      <c r="B146" s="203" t="s">
        <v>280</v>
      </c>
      <c r="C146" s="203"/>
      <c r="D146" s="203"/>
      <c r="E146" s="203"/>
      <c r="F146" s="203" t="s">
        <v>266</v>
      </c>
      <c r="G146" s="203" t="s">
        <v>266</v>
      </c>
      <c r="H146" s="203" t="s">
        <v>266</v>
      </c>
      <c r="J146" s="203" t="s">
        <v>266</v>
      </c>
      <c r="K146" s="203" t="s">
        <v>266</v>
      </c>
      <c r="L146" s="203" t="s">
        <v>266</v>
      </c>
      <c r="M146" s="203" t="s">
        <v>266</v>
      </c>
      <c r="N146" s="203" t="s">
        <v>266</v>
      </c>
      <c r="O146" s="203" t="s">
        <v>266</v>
      </c>
      <c r="P146" s="203" t="s">
        <v>266</v>
      </c>
      <c r="R146" s="203" t="s">
        <v>266</v>
      </c>
      <c r="S146" s="203" t="s">
        <v>266</v>
      </c>
      <c r="T146" s="203" t="s">
        <v>266</v>
      </c>
      <c r="U146" s="203" t="s">
        <v>266</v>
      </c>
      <c r="V146" s="203" t="s">
        <v>266</v>
      </c>
      <c r="W146" s="203" t="s">
        <v>266</v>
      </c>
      <c r="X146" s="203" t="s">
        <v>266</v>
      </c>
      <c r="Z146" s="203" t="s">
        <v>266</v>
      </c>
      <c r="AA146" s="203" t="s">
        <v>266</v>
      </c>
      <c r="AB146" s="203" t="s">
        <v>266</v>
      </c>
      <c r="AC146" s="203" t="s">
        <v>266</v>
      </c>
      <c r="AD146" s="203" t="s">
        <v>266</v>
      </c>
      <c r="AE146" s="203" t="s">
        <v>266</v>
      </c>
      <c r="AF146" s="203" t="s">
        <v>266</v>
      </c>
      <c r="AH146">
        <v>1</v>
      </c>
      <c r="AI146">
        <v>5</v>
      </c>
    </row>
    <row r="147" spans="1:35" x14ac:dyDescent="0.25">
      <c r="A147" s="203" t="s">
        <v>266</v>
      </c>
      <c r="B147" s="203" t="s">
        <v>280</v>
      </c>
      <c r="C147" s="203"/>
      <c r="D147" s="203"/>
      <c r="E147" s="203"/>
      <c r="F147" s="203" t="s">
        <v>266</v>
      </c>
      <c r="G147" s="203" t="s">
        <v>266</v>
      </c>
      <c r="H147" s="203" t="s">
        <v>266</v>
      </c>
      <c r="J147" s="203" t="s">
        <v>266</v>
      </c>
      <c r="K147" s="203" t="s">
        <v>266</v>
      </c>
      <c r="L147" s="203" t="s">
        <v>266</v>
      </c>
      <c r="M147" s="203" t="s">
        <v>266</v>
      </c>
      <c r="N147" s="203" t="s">
        <v>266</v>
      </c>
      <c r="O147" s="203" t="s">
        <v>266</v>
      </c>
      <c r="P147" s="203" t="s">
        <v>266</v>
      </c>
      <c r="R147" s="203" t="s">
        <v>266</v>
      </c>
      <c r="S147" s="203" t="s">
        <v>266</v>
      </c>
      <c r="T147" s="203" t="s">
        <v>266</v>
      </c>
      <c r="U147" s="203" t="s">
        <v>266</v>
      </c>
      <c r="V147" s="203" t="s">
        <v>266</v>
      </c>
      <c r="W147" s="203" t="s">
        <v>266</v>
      </c>
      <c r="X147" s="203" t="s">
        <v>266</v>
      </c>
      <c r="Z147" s="203" t="s">
        <v>266</v>
      </c>
      <c r="AA147" s="203" t="s">
        <v>266</v>
      </c>
      <c r="AB147" s="203" t="s">
        <v>266</v>
      </c>
      <c r="AC147" s="203" t="s">
        <v>266</v>
      </c>
      <c r="AD147" s="203" t="s">
        <v>266</v>
      </c>
      <c r="AE147" s="203" t="s">
        <v>266</v>
      </c>
      <c r="AF147" s="203" t="s">
        <v>266</v>
      </c>
      <c r="AH147">
        <v>1</v>
      </c>
      <c r="AI147">
        <v>5</v>
      </c>
    </row>
    <row r="148" spans="1:35" x14ac:dyDescent="0.25">
      <c r="A148" s="203" t="s">
        <v>266</v>
      </c>
      <c r="B148" s="203" t="s">
        <v>280</v>
      </c>
      <c r="C148" s="203"/>
      <c r="D148" s="203"/>
      <c r="E148" s="203"/>
      <c r="F148" s="203" t="s">
        <v>266</v>
      </c>
      <c r="G148" s="203" t="s">
        <v>266</v>
      </c>
      <c r="H148" s="203" t="s">
        <v>266</v>
      </c>
      <c r="J148" s="203" t="s">
        <v>266</v>
      </c>
      <c r="K148" s="203" t="s">
        <v>266</v>
      </c>
      <c r="L148" s="203" t="s">
        <v>266</v>
      </c>
      <c r="M148" s="203" t="s">
        <v>266</v>
      </c>
      <c r="N148" s="203" t="s">
        <v>266</v>
      </c>
      <c r="O148" s="203" t="s">
        <v>266</v>
      </c>
      <c r="P148" s="203" t="s">
        <v>266</v>
      </c>
      <c r="R148" s="203" t="s">
        <v>266</v>
      </c>
      <c r="S148" s="203" t="s">
        <v>266</v>
      </c>
      <c r="T148" s="203" t="s">
        <v>266</v>
      </c>
      <c r="U148" s="203" t="s">
        <v>266</v>
      </c>
      <c r="V148" s="203" t="s">
        <v>266</v>
      </c>
      <c r="W148" s="203" t="s">
        <v>266</v>
      </c>
      <c r="X148" s="203" t="s">
        <v>266</v>
      </c>
      <c r="Z148" s="203" t="s">
        <v>266</v>
      </c>
      <c r="AA148" s="203" t="s">
        <v>266</v>
      </c>
      <c r="AB148" s="203" t="s">
        <v>266</v>
      </c>
      <c r="AC148" s="203" t="s">
        <v>266</v>
      </c>
      <c r="AD148" s="203" t="s">
        <v>266</v>
      </c>
      <c r="AE148" s="203" t="s">
        <v>266</v>
      </c>
      <c r="AF148" s="203" t="s">
        <v>266</v>
      </c>
      <c r="AH148">
        <v>1</v>
      </c>
      <c r="AI148">
        <v>5</v>
      </c>
    </row>
    <row r="149" spans="1:35" x14ac:dyDescent="0.25">
      <c r="A149" s="203" t="s">
        <v>266</v>
      </c>
      <c r="B149" s="203" t="s">
        <v>280</v>
      </c>
      <c r="C149" s="203"/>
      <c r="D149" s="203"/>
      <c r="E149" s="203"/>
      <c r="F149" s="203" t="s">
        <v>266</v>
      </c>
      <c r="G149" s="203" t="s">
        <v>266</v>
      </c>
      <c r="H149" s="203" t="s">
        <v>266</v>
      </c>
      <c r="J149" s="203" t="s">
        <v>266</v>
      </c>
      <c r="K149" s="203" t="s">
        <v>266</v>
      </c>
      <c r="L149" s="203" t="s">
        <v>266</v>
      </c>
      <c r="M149" s="203" t="s">
        <v>266</v>
      </c>
      <c r="N149" s="203" t="s">
        <v>266</v>
      </c>
      <c r="O149" s="203" t="s">
        <v>266</v>
      </c>
      <c r="P149" s="203" t="s">
        <v>266</v>
      </c>
      <c r="R149" s="203" t="s">
        <v>266</v>
      </c>
      <c r="S149" s="203" t="s">
        <v>266</v>
      </c>
      <c r="T149" s="203" t="s">
        <v>266</v>
      </c>
      <c r="U149" s="203" t="s">
        <v>266</v>
      </c>
      <c r="V149" s="203" t="s">
        <v>266</v>
      </c>
      <c r="W149" s="203" t="s">
        <v>266</v>
      </c>
      <c r="X149" s="203" t="s">
        <v>266</v>
      </c>
      <c r="Z149" s="203" t="s">
        <v>266</v>
      </c>
      <c r="AA149" s="203" t="s">
        <v>266</v>
      </c>
      <c r="AB149" s="203" t="s">
        <v>266</v>
      </c>
      <c r="AC149" s="203" t="s">
        <v>266</v>
      </c>
      <c r="AD149" s="203" t="s">
        <v>266</v>
      </c>
      <c r="AE149" s="203" t="s">
        <v>266</v>
      </c>
      <c r="AF149" s="203" t="s">
        <v>266</v>
      </c>
      <c r="AH149">
        <v>1</v>
      </c>
      <c r="AI149">
        <v>5</v>
      </c>
    </row>
    <row r="150" spans="1:35" x14ac:dyDescent="0.25">
      <c r="A150" s="203" t="s">
        <v>266</v>
      </c>
      <c r="B150" s="203" t="s">
        <v>280</v>
      </c>
      <c r="C150" s="203"/>
      <c r="D150" s="203"/>
      <c r="E150" s="203"/>
      <c r="F150" s="203" t="s">
        <v>266</v>
      </c>
      <c r="G150" s="203" t="s">
        <v>266</v>
      </c>
      <c r="H150" s="203" t="s">
        <v>266</v>
      </c>
      <c r="J150" s="203" t="s">
        <v>266</v>
      </c>
      <c r="K150" s="203" t="s">
        <v>266</v>
      </c>
      <c r="L150" s="203" t="s">
        <v>266</v>
      </c>
      <c r="M150" s="203" t="s">
        <v>266</v>
      </c>
      <c r="N150" s="203" t="s">
        <v>266</v>
      </c>
      <c r="O150" s="203" t="s">
        <v>266</v>
      </c>
      <c r="P150" s="203" t="s">
        <v>266</v>
      </c>
      <c r="R150" s="203" t="s">
        <v>266</v>
      </c>
      <c r="S150" s="203" t="s">
        <v>266</v>
      </c>
      <c r="T150" s="203" t="s">
        <v>266</v>
      </c>
      <c r="U150" s="203" t="s">
        <v>266</v>
      </c>
      <c r="V150" s="203" t="s">
        <v>266</v>
      </c>
      <c r="W150" s="203" t="s">
        <v>266</v>
      </c>
      <c r="X150" s="203" t="s">
        <v>266</v>
      </c>
      <c r="Z150" s="203" t="s">
        <v>266</v>
      </c>
      <c r="AA150" s="203" t="s">
        <v>266</v>
      </c>
      <c r="AB150" s="203" t="s">
        <v>266</v>
      </c>
      <c r="AC150" s="203" t="s">
        <v>266</v>
      </c>
      <c r="AD150" s="203" t="s">
        <v>266</v>
      </c>
      <c r="AE150" s="203" t="s">
        <v>266</v>
      </c>
      <c r="AF150" s="203" t="s">
        <v>266</v>
      </c>
      <c r="AH150">
        <v>1</v>
      </c>
      <c r="AI150">
        <v>5</v>
      </c>
    </row>
    <row r="151" spans="1:35" x14ac:dyDescent="0.25">
      <c r="A151" s="203" t="s">
        <v>266</v>
      </c>
      <c r="B151" s="203" t="s">
        <v>280</v>
      </c>
      <c r="C151" s="203"/>
      <c r="D151" s="203"/>
      <c r="E151" s="203"/>
      <c r="F151" s="203" t="s">
        <v>266</v>
      </c>
      <c r="G151" s="203" t="s">
        <v>266</v>
      </c>
      <c r="H151" s="203" t="s">
        <v>266</v>
      </c>
      <c r="J151" s="203" t="s">
        <v>266</v>
      </c>
      <c r="K151" s="203" t="s">
        <v>266</v>
      </c>
      <c r="L151" s="203" t="s">
        <v>266</v>
      </c>
      <c r="M151" s="203" t="s">
        <v>266</v>
      </c>
      <c r="N151" s="203" t="s">
        <v>266</v>
      </c>
      <c r="O151" s="203" t="s">
        <v>266</v>
      </c>
      <c r="P151" s="203" t="s">
        <v>266</v>
      </c>
      <c r="R151" s="203" t="s">
        <v>266</v>
      </c>
      <c r="S151" s="203" t="s">
        <v>266</v>
      </c>
      <c r="T151" s="203" t="s">
        <v>266</v>
      </c>
      <c r="U151" s="203" t="s">
        <v>266</v>
      </c>
      <c r="V151" s="203" t="s">
        <v>266</v>
      </c>
      <c r="W151" s="203" t="s">
        <v>266</v>
      </c>
      <c r="X151" s="203" t="s">
        <v>266</v>
      </c>
      <c r="Z151" s="203" t="s">
        <v>266</v>
      </c>
      <c r="AA151" s="203" t="s">
        <v>266</v>
      </c>
      <c r="AB151" s="203" t="s">
        <v>266</v>
      </c>
      <c r="AC151" s="203" t="s">
        <v>266</v>
      </c>
      <c r="AD151" s="203" t="s">
        <v>266</v>
      </c>
      <c r="AE151" s="203" t="s">
        <v>266</v>
      </c>
      <c r="AF151" s="203" t="s">
        <v>266</v>
      </c>
      <c r="AH151">
        <v>1</v>
      </c>
      <c r="AI151">
        <v>5</v>
      </c>
    </row>
    <row r="152" spans="1:35" x14ac:dyDescent="0.25">
      <c r="A152" s="203" t="s">
        <v>266</v>
      </c>
      <c r="B152" s="203" t="s">
        <v>280</v>
      </c>
      <c r="C152" s="203"/>
      <c r="D152" s="203"/>
      <c r="E152" s="203"/>
      <c r="F152" s="203" t="s">
        <v>266</v>
      </c>
      <c r="G152" s="203" t="s">
        <v>266</v>
      </c>
      <c r="H152" s="203" t="s">
        <v>266</v>
      </c>
      <c r="J152" s="203" t="s">
        <v>266</v>
      </c>
      <c r="K152" s="203" t="s">
        <v>266</v>
      </c>
      <c r="L152" s="203" t="s">
        <v>266</v>
      </c>
      <c r="M152" s="203" t="s">
        <v>266</v>
      </c>
      <c r="N152" s="203" t="s">
        <v>266</v>
      </c>
      <c r="O152" s="203" t="s">
        <v>266</v>
      </c>
      <c r="P152" s="203" t="s">
        <v>266</v>
      </c>
      <c r="R152" s="203" t="s">
        <v>266</v>
      </c>
      <c r="S152" s="203" t="s">
        <v>266</v>
      </c>
      <c r="T152" s="203" t="s">
        <v>266</v>
      </c>
      <c r="U152" s="203" t="s">
        <v>266</v>
      </c>
      <c r="V152" s="203" t="s">
        <v>266</v>
      </c>
      <c r="W152" s="203" t="s">
        <v>266</v>
      </c>
      <c r="X152" s="203" t="s">
        <v>266</v>
      </c>
      <c r="Z152" s="203" t="s">
        <v>266</v>
      </c>
      <c r="AA152" s="203" t="s">
        <v>266</v>
      </c>
      <c r="AB152" s="203" t="s">
        <v>266</v>
      </c>
      <c r="AC152" s="203" t="s">
        <v>266</v>
      </c>
      <c r="AD152" s="203" t="s">
        <v>266</v>
      </c>
      <c r="AE152" s="203" t="s">
        <v>266</v>
      </c>
      <c r="AF152" s="203" t="s">
        <v>266</v>
      </c>
      <c r="AH152">
        <v>1</v>
      </c>
      <c r="AI152">
        <v>5</v>
      </c>
    </row>
    <row r="153" spans="1:35" x14ac:dyDescent="0.25">
      <c r="A153" s="203" t="s">
        <v>266</v>
      </c>
      <c r="B153" s="203" t="s">
        <v>280</v>
      </c>
      <c r="C153" s="203"/>
      <c r="D153" s="203"/>
      <c r="E153" s="203"/>
      <c r="F153" s="203" t="s">
        <v>266</v>
      </c>
      <c r="G153" s="203" t="s">
        <v>266</v>
      </c>
      <c r="H153" s="203" t="s">
        <v>266</v>
      </c>
      <c r="J153" s="203" t="s">
        <v>266</v>
      </c>
      <c r="K153" s="203" t="s">
        <v>266</v>
      </c>
      <c r="L153" s="203" t="s">
        <v>266</v>
      </c>
      <c r="M153" s="203" t="s">
        <v>266</v>
      </c>
      <c r="N153" s="203" t="s">
        <v>266</v>
      </c>
      <c r="O153" s="203" t="s">
        <v>266</v>
      </c>
      <c r="P153" s="203" t="s">
        <v>266</v>
      </c>
      <c r="R153" s="203" t="s">
        <v>266</v>
      </c>
      <c r="S153" s="203" t="s">
        <v>266</v>
      </c>
      <c r="T153" s="203" t="s">
        <v>266</v>
      </c>
      <c r="U153" s="203" t="s">
        <v>266</v>
      </c>
      <c r="V153" s="203" t="s">
        <v>266</v>
      </c>
      <c r="W153" s="203" t="s">
        <v>266</v>
      </c>
      <c r="X153" s="203" t="s">
        <v>266</v>
      </c>
      <c r="Z153" s="203" t="s">
        <v>266</v>
      </c>
      <c r="AA153" s="203" t="s">
        <v>266</v>
      </c>
      <c r="AB153" s="203" t="s">
        <v>266</v>
      </c>
      <c r="AC153" s="203" t="s">
        <v>266</v>
      </c>
      <c r="AD153" s="203" t="s">
        <v>266</v>
      </c>
      <c r="AE153" s="203" t="s">
        <v>266</v>
      </c>
      <c r="AF153" s="203" t="s">
        <v>266</v>
      </c>
      <c r="AH153">
        <v>1</v>
      </c>
      <c r="AI153">
        <v>5</v>
      </c>
    </row>
    <row r="154" spans="1:35" x14ac:dyDescent="0.25">
      <c r="A154" s="203" t="s">
        <v>266</v>
      </c>
      <c r="B154" s="203" t="s">
        <v>280</v>
      </c>
      <c r="C154" s="203"/>
      <c r="D154" s="203"/>
      <c r="E154" s="203"/>
      <c r="F154" s="203" t="s">
        <v>266</v>
      </c>
      <c r="G154" s="203" t="s">
        <v>266</v>
      </c>
      <c r="H154" s="203" t="s">
        <v>266</v>
      </c>
      <c r="J154" s="203" t="s">
        <v>266</v>
      </c>
      <c r="K154" s="203" t="s">
        <v>266</v>
      </c>
      <c r="L154" s="203" t="s">
        <v>266</v>
      </c>
      <c r="M154" s="203" t="s">
        <v>266</v>
      </c>
      <c r="N154" s="203" t="s">
        <v>266</v>
      </c>
      <c r="O154" s="203" t="s">
        <v>266</v>
      </c>
      <c r="P154" s="203" t="s">
        <v>266</v>
      </c>
      <c r="R154" s="203" t="s">
        <v>266</v>
      </c>
      <c r="S154" s="203" t="s">
        <v>266</v>
      </c>
      <c r="T154" s="203" t="s">
        <v>266</v>
      </c>
      <c r="U154" s="203" t="s">
        <v>266</v>
      </c>
      <c r="V154" s="203" t="s">
        <v>266</v>
      </c>
      <c r="W154" s="203" t="s">
        <v>266</v>
      </c>
      <c r="X154" s="203" t="s">
        <v>266</v>
      </c>
      <c r="Z154" s="203" t="s">
        <v>266</v>
      </c>
      <c r="AA154" s="203" t="s">
        <v>266</v>
      </c>
      <c r="AB154" s="203" t="s">
        <v>266</v>
      </c>
      <c r="AC154" s="203" t="s">
        <v>266</v>
      </c>
      <c r="AD154" s="203" t="s">
        <v>266</v>
      </c>
      <c r="AE154" s="203" t="s">
        <v>266</v>
      </c>
      <c r="AF154" s="203" t="s">
        <v>266</v>
      </c>
      <c r="AH154">
        <v>1</v>
      </c>
      <c r="AI154">
        <v>5</v>
      </c>
    </row>
    <row r="155" spans="1:35" x14ac:dyDescent="0.25">
      <c r="A155" s="203" t="s">
        <v>266</v>
      </c>
      <c r="B155" s="203" t="s">
        <v>280</v>
      </c>
      <c r="C155" s="203"/>
      <c r="D155" s="203"/>
      <c r="E155" s="203"/>
      <c r="F155" s="203" t="s">
        <v>266</v>
      </c>
      <c r="G155" s="203" t="s">
        <v>266</v>
      </c>
      <c r="H155" s="203" t="s">
        <v>266</v>
      </c>
      <c r="J155" s="203" t="s">
        <v>266</v>
      </c>
      <c r="K155" s="203" t="s">
        <v>266</v>
      </c>
      <c r="L155" s="203" t="s">
        <v>266</v>
      </c>
      <c r="M155" s="203" t="s">
        <v>266</v>
      </c>
      <c r="N155" s="203" t="s">
        <v>266</v>
      </c>
      <c r="O155" s="203" t="s">
        <v>266</v>
      </c>
      <c r="P155" s="203" t="s">
        <v>266</v>
      </c>
      <c r="R155" s="203" t="s">
        <v>266</v>
      </c>
      <c r="S155" s="203" t="s">
        <v>266</v>
      </c>
      <c r="T155" s="203" t="s">
        <v>266</v>
      </c>
      <c r="U155" s="203" t="s">
        <v>266</v>
      </c>
      <c r="V155" s="203" t="s">
        <v>266</v>
      </c>
      <c r="W155" s="203" t="s">
        <v>266</v>
      </c>
      <c r="X155" s="203" t="s">
        <v>266</v>
      </c>
      <c r="Z155" s="203" t="s">
        <v>266</v>
      </c>
      <c r="AA155" s="203" t="s">
        <v>266</v>
      </c>
      <c r="AB155" s="203" t="s">
        <v>266</v>
      </c>
      <c r="AC155" s="203" t="s">
        <v>266</v>
      </c>
      <c r="AD155" s="203" t="s">
        <v>266</v>
      </c>
      <c r="AE155" s="203" t="s">
        <v>266</v>
      </c>
      <c r="AF155" s="203" t="s">
        <v>266</v>
      </c>
      <c r="AH155">
        <v>1</v>
      </c>
      <c r="AI155">
        <v>5</v>
      </c>
    </row>
    <row r="156" spans="1:35" x14ac:dyDescent="0.25">
      <c r="A156" s="203" t="s">
        <v>266</v>
      </c>
      <c r="B156" s="203" t="s">
        <v>280</v>
      </c>
      <c r="C156" s="203"/>
      <c r="D156" s="203"/>
      <c r="E156" s="203"/>
      <c r="F156" s="203" t="s">
        <v>266</v>
      </c>
      <c r="G156" s="203" t="s">
        <v>266</v>
      </c>
      <c r="H156" s="203" t="s">
        <v>266</v>
      </c>
      <c r="J156" s="203" t="s">
        <v>266</v>
      </c>
      <c r="K156" s="203" t="s">
        <v>266</v>
      </c>
      <c r="L156" s="203" t="s">
        <v>266</v>
      </c>
      <c r="M156" s="203" t="s">
        <v>266</v>
      </c>
      <c r="N156" s="203" t="s">
        <v>266</v>
      </c>
      <c r="O156" s="203" t="s">
        <v>266</v>
      </c>
      <c r="P156" s="203" t="s">
        <v>266</v>
      </c>
      <c r="R156" s="203" t="s">
        <v>266</v>
      </c>
      <c r="S156" s="203" t="s">
        <v>266</v>
      </c>
      <c r="T156" s="203" t="s">
        <v>266</v>
      </c>
      <c r="U156" s="203" t="s">
        <v>266</v>
      </c>
      <c r="V156" s="203" t="s">
        <v>266</v>
      </c>
      <c r="W156" s="203" t="s">
        <v>266</v>
      </c>
      <c r="X156" s="203" t="s">
        <v>266</v>
      </c>
      <c r="Z156" s="203" t="s">
        <v>266</v>
      </c>
      <c r="AA156" s="203" t="s">
        <v>266</v>
      </c>
      <c r="AB156" s="203" t="s">
        <v>266</v>
      </c>
      <c r="AC156" s="203" t="s">
        <v>266</v>
      </c>
      <c r="AD156" s="203" t="s">
        <v>266</v>
      </c>
      <c r="AE156" s="203" t="s">
        <v>266</v>
      </c>
      <c r="AF156" s="203" t="s">
        <v>266</v>
      </c>
      <c r="AH156">
        <v>1</v>
      </c>
      <c r="AI156">
        <v>5</v>
      </c>
    </row>
    <row r="157" spans="1:35" x14ac:dyDescent="0.25">
      <c r="A157" s="203" t="s">
        <v>266</v>
      </c>
      <c r="B157" s="203" t="s">
        <v>280</v>
      </c>
      <c r="C157" s="203"/>
      <c r="D157" s="203"/>
      <c r="E157" s="203"/>
      <c r="F157" s="203" t="s">
        <v>266</v>
      </c>
      <c r="G157" s="203" t="s">
        <v>266</v>
      </c>
      <c r="H157" s="203" t="s">
        <v>266</v>
      </c>
      <c r="J157" s="203" t="s">
        <v>266</v>
      </c>
      <c r="K157" s="203" t="s">
        <v>266</v>
      </c>
      <c r="L157" s="203" t="s">
        <v>266</v>
      </c>
      <c r="M157" s="203" t="s">
        <v>266</v>
      </c>
      <c r="N157" s="203" t="s">
        <v>266</v>
      </c>
      <c r="O157" s="203" t="s">
        <v>266</v>
      </c>
      <c r="P157" s="203" t="s">
        <v>266</v>
      </c>
      <c r="R157" s="203" t="s">
        <v>266</v>
      </c>
      <c r="S157" s="203" t="s">
        <v>266</v>
      </c>
      <c r="T157" s="203" t="s">
        <v>266</v>
      </c>
      <c r="U157" s="203" t="s">
        <v>266</v>
      </c>
      <c r="V157" s="203" t="s">
        <v>266</v>
      </c>
      <c r="W157" s="203" t="s">
        <v>266</v>
      </c>
      <c r="X157" s="203" t="s">
        <v>266</v>
      </c>
      <c r="Z157" s="203" t="s">
        <v>266</v>
      </c>
      <c r="AA157" s="203" t="s">
        <v>266</v>
      </c>
      <c r="AB157" s="203" t="s">
        <v>266</v>
      </c>
      <c r="AC157" s="203" t="s">
        <v>266</v>
      </c>
      <c r="AD157" s="203" t="s">
        <v>266</v>
      </c>
      <c r="AE157" s="203" t="s">
        <v>266</v>
      </c>
      <c r="AF157" s="203" t="s">
        <v>266</v>
      </c>
      <c r="AH157">
        <v>1</v>
      </c>
      <c r="AI157">
        <v>5</v>
      </c>
    </row>
    <row r="158" spans="1:35" x14ac:dyDescent="0.25">
      <c r="A158" s="203" t="s">
        <v>266</v>
      </c>
      <c r="B158" s="203" t="s">
        <v>280</v>
      </c>
      <c r="C158" s="203"/>
      <c r="D158" s="203"/>
      <c r="E158" s="203"/>
      <c r="F158" s="203" t="s">
        <v>266</v>
      </c>
      <c r="G158" s="203" t="s">
        <v>266</v>
      </c>
      <c r="H158" s="203" t="s">
        <v>266</v>
      </c>
      <c r="J158" s="203" t="s">
        <v>266</v>
      </c>
      <c r="K158" s="203" t="s">
        <v>266</v>
      </c>
      <c r="L158" s="203" t="s">
        <v>266</v>
      </c>
      <c r="M158" s="203" t="s">
        <v>266</v>
      </c>
      <c r="N158" s="203" t="s">
        <v>266</v>
      </c>
      <c r="O158" s="203" t="s">
        <v>266</v>
      </c>
      <c r="P158" s="203" t="s">
        <v>266</v>
      </c>
      <c r="R158" s="203" t="s">
        <v>266</v>
      </c>
      <c r="S158" s="203" t="s">
        <v>266</v>
      </c>
      <c r="T158" s="203" t="s">
        <v>266</v>
      </c>
      <c r="U158" s="203" t="s">
        <v>266</v>
      </c>
      <c r="V158" s="203" t="s">
        <v>266</v>
      </c>
      <c r="W158" s="203" t="s">
        <v>266</v>
      </c>
      <c r="X158" s="203" t="s">
        <v>266</v>
      </c>
      <c r="Z158" s="203" t="s">
        <v>266</v>
      </c>
      <c r="AA158" s="203" t="s">
        <v>266</v>
      </c>
      <c r="AB158" s="203" t="s">
        <v>266</v>
      </c>
      <c r="AC158" s="203" t="s">
        <v>266</v>
      </c>
      <c r="AD158" s="203" t="s">
        <v>266</v>
      </c>
      <c r="AE158" s="203" t="s">
        <v>266</v>
      </c>
      <c r="AF158" s="203" t="s">
        <v>266</v>
      </c>
      <c r="AH158">
        <v>1</v>
      </c>
      <c r="AI158">
        <v>5</v>
      </c>
    </row>
    <row r="159" spans="1:35" x14ac:dyDescent="0.25">
      <c r="A159" s="203" t="s">
        <v>266</v>
      </c>
      <c r="B159" s="203" t="s">
        <v>280</v>
      </c>
      <c r="C159" s="203"/>
      <c r="D159" s="203"/>
      <c r="E159" s="203"/>
      <c r="F159" s="203" t="s">
        <v>266</v>
      </c>
      <c r="G159" s="203" t="s">
        <v>266</v>
      </c>
      <c r="H159" s="203" t="s">
        <v>266</v>
      </c>
      <c r="J159" s="203" t="s">
        <v>266</v>
      </c>
      <c r="K159" s="203" t="s">
        <v>266</v>
      </c>
      <c r="L159" s="203" t="s">
        <v>266</v>
      </c>
      <c r="M159" s="203" t="s">
        <v>266</v>
      </c>
      <c r="N159" s="203" t="s">
        <v>266</v>
      </c>
      <c r="O159" s="203" t="s">
        <v>266</v>
      </c>
      <c r="P159" s="203" t="s">
        <v>266</v>
      </c>
      <c r="R159" s="203" t="s">
        <v>266</v>
      </c>
      <c r="S159" s="203" t="s">
        <v>266</v>
      </c>
      <c r="T159" s="203" t="s">
        <v>266</v>
      </c>
      <c r="U159" s="203" t="s">
        <v>266</v>
      </c>
      <c r="V159" s="203" t="s">
        <v>266</v>
      </c>
      <c r="W159" s="203" t="s">
        <v>266</v>
      </c>
      <c r="X159" s="203" t="s">
        <v>266</v>
      </c>
      <c r="Z159" s="203" t="s">
        <v>266</v>
      </c>
      <c r="AA159" s="203" t="s">
        <v>266</v>
      </c>
      <c r="AB159" s="203" t="s">
        <v>266</v>
      </c>
      <c r="AC159" s="203" t="s">
        <v>266</v>
      </c>
      <c r="AD159" s="203" t="s">
        <v>266</v>
      </c>
      <c r="AE159" s="203" t="s">
        <v>266</v>
      </c>
      <c r="AF159" s="203" t="s">
        <v>266</v>
      </c>
      <c r="AH159">
        <v>1</v>
      </c>
      <c r="AI159">
        <v>5</v>
      </c>
    </row>
    <row r="160" spans="1:35" x14ac:dyDescent="0.25">
      <c r="A160" s="203" t="s">
        <v>266</v>
      </c>
      <c r="B160" s="203" t="s">
        <v>280</v>
      </c>
      <c r="C160" s="203"/>
      <c r="D160" s="203"/>
      <c r="E160" s="203"/>
      <c r="F160" s="203" t="s">
        <v>266</v>
      </c>
      <c r="G160" s="203" t="s">
        <v>266</v>
      </c>
      <c r="H160" s="203" t="s">
        <v>266</v>
      </c>
      <c r="J160" s="203" t="s">
        <v>266</v>
      </c>
      <c r="K160" s="203" t="s">
        <v>266</v>
      </c>
      <c r="L160" s="203" t="s">
        <v>266</v>
      </c>
      <c r="M160" s="203" t="s">
        <v>266</v>
      </c>
      <c r="N160" s="203" t="s">
        <v>266</v>
      </c>
      <c r="O160" s="203" t="s">
        <v>266</v>
      </c>
      <c r="P160" s="203" t="s">
        <v>266</v>
      </c>
      <c r="R160" s="203" t="s">
        <v>266</v>
      </c>
      <c r="S160" s="203" t="s">
        <v>266</v>
      </c>
      <c r="T160" s="203" t="s">
        <v>266</v>
      </c>
      <c r="U160" s="203" t="s">
        <v>266</v>
      </c>
      <c r="V160" s="203" t="s">
        <v>266</v>
      </c>
      <c r="W160" s="203" t="s">
        <v>266</v>
      </c>
      <c r="X160" s="203" t="s">
        <v>266</v>
      </c>
      <c r="Z160" s="203" t="s">
        <v>266</v>
      </c>
      <c r="AA160" s="203" t="s">
        <v>266</v>
      </c>
      <c r="AB160" s="203" t="s">
        <v>266</v>
      </c>
      <c r="AC160" s="203" t="s">
        <v>266</v>
      </c>
      <c r="AD160" s="203" t="s">
        <v>266</v>
      </c>
      <c r="AE160" s="203" t="s">
        <v>266</v>
      </c>
      <c r="AF160" s="203" t="s">
        <v>266</v>
      </c>
      <c r="AH160">
        <v>1</v>
      </c>
      <c r="AI160">
        <v>5</v>
      </c>
    </row>
    <row r="161" spans="1:35" x14ac:dyDescent="0.25">
      <c r="A161" s="203" t="s">
        <v>266</v>
      </c>
      <c r="B161" s="203" t="s">
        <v>280</v>
      </c>
      <c r="C161" s="203"/>
      <c r="D161" s="203"/>
      <c r="E161" s="203"/>
      <c r="F161" s="203" t="s">
        <v>266</v>
      </c>
      <c r="G161" s="203" t="s">
        <v>266</v>
      </c>
      <c r="H161" s="203" t="s">
        <v>266</v>
      </c>
      <c r="J161" s="203" t="s">
        <v>266</v>
      </c>
      <c r="K161" s="203" t="s">
        <v>266</v>
      </c>
      <c r="L161" s="203" t="s">
        <v>266</v>
      </c>
      <c r="M161" s="203" t="s">
        <v>266</v>
      </c>
      <c r="N161" s="203" t="s">
        <v>266</v>
      </c>
      <c r="O161" s="203" t="s">
        <v>266</v>
      </c>
      <c r="P161" s="203" t="s">
        <v>266</v>
      </c>
      <c r="R161" s="203" t="s">
        <v>266</v>
      </c>
      <c r="S161" s="203" t="s">
        <v>266</v>
      </c>
      <c r="T161" s="203" t="s">
        <v>266</v>
      </c>
      <c r="U161" s="203" t="s">
        <v>266</v>
      </c>
      <c r="V161" s="203" t="s">
        <v>266</v>
      </c>
      <c r="W161" s="203" t="s">
        <v>266</v>
      </c>
      <c r="X161" s="203" t="s">
        <v>266</v>
      </c>
      <c r="Z161" s="203" t="s">
        <v>266</v>
      </c>
      <c r="AA161" s="203" t="s">
        <v>266</v>
      </c>
      <c r="AB161" s="203" t="s">
        <v>266</v>
      </c>
      <c r="AC161" s="203" t="s">
        <v>266</v>
      </c>
      <c r="AD161" s="203" t="s">
        <v>266</v>
      </c>
      <c r="AE161" s="203" t="s">
        <v>266</v>
      </c>
      <c r="AF161" s="203" t="s">
        <v>266</v>
      </c>
      <c r="AH161">
        <v>1</v>
      </c>
      <c r="AI161">
        <v>5</v>
      </c>
    </row>
    <row r="162" spans="1:35" x14ac:dyDescent="0.25">
      <c r="A162" s="203" t="s">
        <v>266</v>
      </c>
      <c r="B162" s="203" t="s">
        <v>280</v>
      </c>
      <c r="C162" s="203"/>
      <c r="D162" s="203"/>
      <c r="E162" s="203"/>
      <c r="F162" s="203" t="s">
        <v>266</v>
      </c>
      <c r="G162" s="203" t="s">
        <v>266</v>
      </c>
      <c r="H162" s="203" t="s">
        <v>266</v>
      </c>
      <c r="J162" s="203" t="s">
        <v>266</v>
      </c>
      <c r="K162" s="203" t="s">
        <v>266</v>
      </c>
      <c r="L162" s="203" t="s">
        <v>266</v>
      </c>
      <c r="M162" s="203" t="s">
        <v>266</v>
      </c>
      <c r="N162" s="203" t="s">
        <v>266</v>
      </c>
      <c r="O162" s="203" t="s">
        <v>266</v>
      </c>
      <c r="P162" s="203" t="s">
        <v>266</v>
      </c>
      <c r="R162" s="203" t="s">
        <v>266</v>
      </c>
      <c r="S162" s="203" t="s">
        <v>266</v>
      </c>
      <c r="T162" s="203" t="s">
        <v>266</v>
      </c>
      <c r="U162" s="203" t="s">
        <v>266</v>
      </c>
      <c r="V162" s="203" t="s">
        <v>266</v>
      </c>
      <c r="W162" s="203" t="s">
        <v>266</v>
      </c>
      <c r="X162" s="203" t="s">
        <v>266</v>
      </c>
      <c r="Z162" s="203" t="s">
        <v>266</v>
      </c>
      <c r="AA162" s="203" t="s">
        <v>266</v>
      </c>
      <c r="AB162" s="203" t="s">
        <v>266</v>
      </c>
      <c r="AC162" s="203" t="s">
        <v>266</v>
      </c>
      <c r="AD162" s="203" t="s">
        <v>266</v>
      </c>
      <c r="AE162" s="203" t="s">
        <v>266</v>
      </c>
      <c r="AF162" s="203" t="s">
        <v>266</v>
      </c>
      <c r="AH162">
        <v>1</v>
      </c>
      <c r="AI162">
        <v>5</v>
      </c>
    </row>
    <row r="163" spans="1:35" x14ac:dyDescent="0.25">
      <c r="A163" s="203" t="s">
        <v>266</v>
      </c>
      <c r="B163" s="203" t="s">
        <v>280</v>
      </c>
      <c r="C163" s="203"/>
      <c r="D163" s="203"/>
      <c r="E163" s="203"/>
      <c r="F163" s="203" t="s">
        <v>266</v>
      </c>
      <c r="G163" s="203" t="s">
        <v>266</v>
      </c>
      <c r="H163" s="203" t="s">
        <v>266</v>
      </c>
      <c r="J163" s="203" t="s">
        <v>266</v>
      </c>
      <c r="K163" s="203" t="s">
        <v>266</v>
      </c>
      <c r="L163" s="203" t="s">
        <v>266</v>
      </c>
      <c r="M163" s="203" t="s">
        <v>266</v>
      </c>
      <c r="N163" s="203" t="s">
        <v>266</v>
      </c>
      <c r="O163" s="203" t="s">
        <v>266</v>
      </c>
      <c r="P163" s="203" t="s">
        <v>266</v>
      </c>
      <c r="R163" s="203" t="s">
        <v>266</v>
      </c>
      <c r="S163" s="203" t="s">
        <v>266</v>
      </c>
      <c r="T163" s="203" t="s">
        <v>266</v>
      </c>
      <c r="U163" s="203" t="s">
        <v>266</v>
      </c>
      <c r="V163" s="203" t="s">
        <v>266</v>
      </c>
      <c r="W163" s="203" t="s">
        <v>266</v>
      </c>
      <c r="X163" s="203" t="s">
        <v>266</v>
      </c>
      <c r="Z163" s="203" t="s">
        <v>266</v>
      </c>
      <c r="AA163" s="203" t="s">
        <v>266</v>
      </c>
      <c r="AB163" s="203" t="s">
        <v>266</v>
      </c>
      <c r="AC163" s="203" t="s">
        <v>266</v>
      </c>
      <c r="AD163" s="203" t="s">
        <v>266</v>
      </c>
      <c r="AE163" s="203" t="s">
        <v>266</v>
      </c>
      <c r="AF163" s="203" t="s">
        <v>266</v>
      </c>
      <c r="AH163">
        <v>1</v>
      </c>
      <c r="AI163">
        <v>5</v>
      </c>
    </row>
    <row r="164" spans="1:35" x14ac:dyDescent="0.25">
      <c r="A164" s="203" t="s">
        <v>266</v>
      </c>
      <c r="B164" s="203" t="s">
        <v>280</v>
      </c>
      <c r="C164" s="203"/>
      <c r="D164" s="203"/>
      <c r="E164" s="203"/>
      <c r="F164" s="203" t="s">
        <v>266</v>
      </c>
      <c r="G164" s="203" t="s">
        <v>266</v>
      </c>
      <c r="H164" s="203" t="s">
        <v>266</v>
      </c>
      <c r="J164" s="203" t="s">
        <v>266</v>
      </c>
      <c r="K164" s="203" t="s">
        <v>266</v>
      </c>
      <c r="L164" s="203" t="s">
        <v>266</v>
      </c>
      <c r="M164" s="203" t="s">
        <v>266</v>
      </c>
      <c r="N164" s="203" t="s">
        <v>266</v>
      </c>
      <c r="O164" s="203" t="s">
        <v>266</v>
      </c>
      <c r="P164" s="203" t="s">
        <v>266</v>
      </c>
      <c r="R164" s="203" t="s">
        <v>266</v>
      </c>
      <c r="S164" s="203" t="s">
        <v>266</v>
      </c>
      <c r="T164" s="203" t="s">
        <v>266</v>
      </c>
      <c r="U164" s="203" t="s">
        <v>266</v>
      </c>
      <c r="V164" s="203" t="s">
        <v>266</v>
      </c>
      <c r="W164" s="203" t="s">
        <v>266</v>
      </c>
      <c r="X164" s="203" t="s">
        <v>266</v>
      </c>
      <c r="Z164" s="203" t="s">
        <v>266</v>
      </c>
      <c r="AA164" s="203" t="s">
        <v>266</v>
      </c>
      <c r="AB164" s="203" t="s">
        <v>266</v>
      </c>
      <c r="AC164" s="203" t="s">
        <v>266</v>
      </c>
      <c r="AD164" s="203" t="s">
        <v>266</v>
      </c>
      <c r="AE164" s="203" t="s">
        <v>266</v>
      </c>
      <c r="AF164" s="203" t="s">
        <v>266</v>
      </c>
      <c r="AH164">
        <v>1</v>
      </c>
      <c r="AI164">
        <v>5</v>
      </c>
    </row>
    <row r="165" spans="1:35" x14ac:dyDescent="0.25">
      <c r="A165" s="203" t="s">
        <v>266</v>
      </c>
      <c r="B165" s="203" t="s">
        <v>280</v>
      </c>
      <c r="C165" s="203"/>
      <c r="D165" s="203"/>
      <c r="E165" s="203"/>
      <c r="F165" s="203" t="s">
        <v>266</v>
      </c>
      <c r="G165" s="203" t="s">
        <v>266</v>
      </c>
      <c r="H165" s="203" t="s">
        <v>266</v>
      </c>
      <c r="J165" s="203" t="s">
        <v>266</v>
      </c>
      <c r="K165" s="203" t="s">
        <v>266</v>
      </c>
      <c r="L165" s="203" t="s">
        <v>266</v>
      </c>
      <c r="M165" s="203" t="s">
        <v>266</v>
      </c>
      <c r="N165" s="203" t="s">
        <v>266</v>
      </c>
      <c r="O165" s="203" t="s">
        <v>266</v>
      </c>
      <c r="P165" s="203" t="s">
        <v>266</v>
      </c>
      <c r="R165" s="203" t="s">
        <v>266</v>
      </c>
      <c r="S165" s="203" t="s">
        <v>266</v>
      </c>
      <c r="T165" s="203" t="s">
        <v>266</v>
      </c>
      <c r="U165" s="203" t="s">
        <v>266</v>
      </c>
      <c r="V165" s="203" t="s">
        <v>266</v>
      </c>
      <c r="W165" s="203" t="s">
        <v>266</v>
      </c>
      <c r="X165" s="203" t="s">
        <v>266</v>
      </c>
      <c r="Z165" s="203" t="s">
        <v>266</v>
      </c>
      <c r="AA165" s="203" t="s">
        <v>266</v>
      </c>
      <c r="AB165" s="203" t="s">
        <v>266</v>
      </c>
      <c r="AC165" s="203" t="s">
        <v>266</v>
      </c>
      <c r="AD165" s="203" t="s">
        <v>266</v>
      </c>
      <c r="AE165" s="203" t="s">
        <v>266</v>
      </c>
      <c r="AF165" s="203" t="s">
        <v>266</v>
      </c>
      <c r="AH165">
        <v>1</v>
      </c>
      <c r="AI165">
        <v>5</v>
      </c>
    </row>
    <row r="166" spans="1:35" x14ac:dyDescent="0.25">
      <c r="A166" s="203" t="s">
        <v>266</v>
      </c>
      <c r="B166" s="203" t="s">
        <v>280</v>
      </c>
      <c r="C166" s="203"/>
      <c r="D166" s="203"/>
      <c r="E166" s="203"/>
      <c r="F166" s="203" t="s">
        <v>266</v>
      </c>
      <c r="G166" s="203" t="s">
        <v>266</v>
      </c>
      <c r="H166" s="203" t="s">
        <v>266</v>
      </c>
      <c r="J166" s="203" t="s">
        <v>266</v>
      </c>
      <c r="K166" s="203" t="s">
        <v>266</v>
      </c>
      <c r="L166" s="203" t="s">
        <v>266</v>
      </c>
      <c r="M166" s="203" t="s">
        <v>266</v>
      </c>
      <c r="N166" s="203" t="s">
        <v>266</v>
      </c>
      <c r="O166" s="203" t="s">
        <v>266</v>
      </c>
      <c r="P166" s="203" t="s">
        <v>266</v>
      </c>
      <c r="R166" s="203" t="s">
        <v>266</v>
      </c>
      <c r="S166" s="203" t="s">
        <v>266</v>
      </c>
      <c r="T166" s="203" t="s">
        <v>266</v>
      </c>
      <c r="U166" s="203" t="s">
        <v>266</v>
      </c>
      <c r="V166" s="203" t="s">
        <v>266</v>
      </c>
      <c r="W166" s="203" t="s">
        <v>266</v>
      </c>
      <c r="X166" s="203" t="s">
        <v>266</v>
      </c>
      <c r="Z166" s="203" t="s">
        <v>266</v>
      </c>
      <c r="AA166" s="203" t="s">
        <v>266</v>
      </c>
      <c r="AB166" s="203" t="s">
        <v>266</v>
      </c>
      <c r="AC166" s="203" t="s">
        <v>266</v>
      </c>
      <c r="AD166" s="203" t="s">
        <v>266</v>
      </c>
      <c r="AE166" s="203" t="s">
        <v>266</v>
      </c>
      <c r="AF166" s="203" t="s">
        <v>266</v>
      </c>
      <c r="AH166">
        <v>1</v>
      </c>
      <c r="AI166">
        <v>5</v>
      </c>
    </row>
    <row r="167" spans="1:35" x14ac:dyDescent="0.25">
      <c r="A167" s="203" t="s">
        <v>266</v>
      </c>
      <c r="B167" s="203" t="s">
        <v>280</v>
      </c>
      <c r="C167" s="203"/>
      <c r="D167" s="203"/>
      <c r="E167" s="203"/>
      <c r="F167" s="203" t="s">
        <v>266</v>
      </c>
      <c r="G167" s="203" t="s">
        <v>266</v>
      </c>
      <c r="H167" s="203" t="s">
        <v>266</v>
      </c>
      <c r="J167" s="203" t="s">
        <v>266</v>
      </c>
      <c r="K167" s="203" t="s">
        <v>266</v>
      </c>
      <c r="L167" s="203" t="s">
        <v>266</v>
      </c>
      <c r="M167" s="203" t="s">
        <v>266</v>
      </c>
      <c r="N167" s="203" t="s">
        <v>266</v>
      </c>
      <c r="O167" s="203" t="s">
        <v>266</v>
      </c>
      <c r="P167" s="203" t="s">
        <v>266</v>
      </c>
      <c r="R167" s="203" t="s">
        <v>266</v>
      </c>
      <c r="S167" s="203" t="s">
        <v>266</v>
      </c>
      <c r="T167" s="203" t="s">
        <v>266</v>
      </c>
      <c r="U167" s="203" t="s">
        <v>266</v>
      </c>
      <c r="V167" s="203" t="s">
        <v>266</v>
      </c>
      <c r="W167" s="203" t="s">
        <v>266</v>
      </c>
      <c r="X167" s="203" t="s">
        <v>266</v>
      </c>
      <c r="Z167" s="203" t="s">
        <v>266</v>
      </c>
      <c r="AA167" s="203" t="s">
        <v>266</v>
      </c>
      <c r="AB167" s="203" t="s">
        <v>266</v>
      </c>
      <c r="AC167" s="203" t="s">
        <v>266</v>
      </c>
      <c r="AD167" s="203" t="s">
        <v>266</v>
      </c>
      <c r="AE167" s="203" t="s">
        <v>266</v>
      </c>
      <c r="AF167" s="203" t="s">
        <v>266</v>
      </c>
      <c r="AH167">
        <v>1</v>
      </c>
      <c r="AI167">
        <v>5</v>
      </c>
    </row>
    <row r="168" spans="1:35" x14ac:dyDescent="0.25">
      <c r="A168" s="203" t="s">
        <v>266</v>
      </c>
      <c r="B168" s="203" t="s">
        <v>280</v>
      </c>
      <c r="C168" s="203"/>
      <c r="D168" s="203"/>
      <c r="E168" s="203"/>
      <c r="F168" s="203" t="s">
        <v>266</v>
      </c>
      <c r="G168" s="203" t="s">
        <v>266</v>
      </c>
      <c r="H168" s="203" t="s">
        <v>266</v>
      </c>
      <c r="J168" s="203" t="s">
        <v>266</v>
      </c>
      <c r="K168" s="203" t="s">
        <v>266</v>
      </c>
      <c r="L168" s="203" t="s">
        <v>266</v>
      </c>
      <c r="M168" s="203" t="s">
        <v>266</v>
      </c>
      <c r="N168" s="203" t="s">
        <v>266</v>
      </c>
      <c r="O168" s="203" t="s">
        <v>266</v>
      </c>
      <c r="P168" s="203" t="s">
        <v>266</v>
      </c>
      <c r="R168" s="203" t="s">
        <v>266</v>
      </c>
      <c r="S168" s="203" t="s">
        <v>266</v>
      </c>
      <c r="T168" s="203" t="s">
        <v>266</v>
      </c>
      <c r="U168" s="203" t="s">
        <v>266</v>
      </c>
      <c r="V168" s="203" t="s">
        <v>266</v>
      </c>
      <c r="W168" s="203" t="s">
        <v>266</v>
      </c>
      <c r="X168" s="203" t="s">
        <v>266</v>
      </c>
      <c r="Z168" s="203" t="s">
        <v>266</v>
      </c>
      <c r="AA168" s="203" t="s">
        <v>266</v>
      </c>
      <c r="AB168" s="203" t="s">
        <v>266</v>
      </c>
      <c r="AC168" s="203" t="s">
        <v>266</v>
      </c>
      <c r="AD168" s="203" t="s">
        <v>266</v>
      </c>
      <c r="AE168" s="203" t="s">
        <v>266</v>
      </c>
      <c r="AF168" s="203" t="s">
        <v>266</v>
      </c>
      <c r="AH168">
        <v>1</v>
      </c>
      <c r="AI168">
        <v>5</v>
      </c>
    </row>
    <row r="169" spans="1:35" x14ac:dyDescent="0.25">
      <c r="A169" s="203" t="s">
        <v>266</v>
      </c>
      <c r="B169" s="203" t="s">
        <v>280</v>
      </c>
      <c r="C169" s="203"/>
      <c r="D169" s="203"/>
      <c r="E169" s="203"/>
      <c r="F169" s="203" t="s">
        <v>266</v>
      </c>
      <c r="G169" s="203" t="s">
        <v>266</v>
      </c>
      <c r="H169" s="203" t="s">
        <v>266</v>
      </c>
      <c r="J169" s="203" t="s">
        <v>266</v>
      </c>
      <c r="K169" s="203" t="s">
        <v>266</v>
      </c>
      <c r="L169" s="203" t="s">
        <v>266</v>
      </c>
      <c r="M169" s="203" t="s">
        <v>266</v>
      </c>
      <c r="N169" s="203" t="s">
        <v>266</v>
      </c>
      <c r="O169" s="203" t="s">
        <v>266</v>
      </c>
      <c r="P169" s="203" t="s">
        <v>266</v>
      </c>
      <c r="R169" s="203" t="s">
        <v>266</v>
      </c>
      <c r="S169" s="203" t="s">
        <v>266</v>
      </c>
      <c r="T169" s="203" t="s">
        <v>266</v>
      </c>
      <c r="U169" s="203" t="s">
        <v>266</v>
      </c>
      <c r="V169" s="203" t="s">
        <v>266</v>
      </c>
      <c r="W169" s="203" t="s">
        <v>266</v>
      </c>
      <c r="X169" s="203" t="s">
        <v>266</v>
      </c>
      <c r="Z169" s="203" t="s">
        <v>266</v>
      </c>
      <c r="AA169" s="203" t="s">
        <v>266</v>
      </c>
      <c r="AB169" s="203" t="s">
        <v>266</v>
      </c>
      <c r="AC169" s="203" t="s">
        <v>266</v>
      </c>
      <c r="AD169" s="203" t="s">
        <v>266</v>
      </c>
      <c r="AE169" s="203" t="s">
        <v>266</v>
      </c>
      <c r="AF169" s="203" t="s">
        <v>266</v>
      </c>
      <c r="AH169">
        <v>1</v>
      </c>
      <c r="AI169">
        <v>5</v>
      </c>
    </row>
    <row r="170" spans="1:35" x14ac:dyDescent="0.25">
      <c r="A170" s="203" t="s">
        <v>266</v>
      </c>
      <c r="B170" s="203" t="s">
        <v>280</v>
      </c>
      <c r="C170" s="203"/>
      <c r="D170" s="203"/>
      <c r="E170" s="203"/>
      <c r="F170" s="203" t="s">
        <v>266</v>
      </c>
      <c r="G170" s="203" t="s">
        <v>266</v>
      </c>
      <c r="H170" s="203" t="s">
        <v>266</v>
      </c>
      <c r="J170" s="203" t="s">
        <v>266</v>
      </c>
      <c r="K170" s="203" t="s">
        <v>266</v>
      </c>
      <c r="L170" s="203" t="s">
        <v>266</v>
      </c>
      <c r="M170" s="203" t="s">
        <v>266</v>
      </c>
      <c r="N170" s="203" t="s">
        <v>266</v>
      </c>
      <c r="O170" s="203" t="s">
        <v>266</v>
      </c>
      <c r="P170" s="203" t="s">
        <v>266</v>
      </c>
      <c r="R170" s="203" t="s">
        <v>266</v>
      </c>
      <c r="S170" s="203" t="s">
        <v>266</v>
      </c>
      <c r="T170" s="203" t="s">
        <v>266</v>
      </c>
      <c r="U170" s="203" t="s">
        <v>266</v>
      </c>
      <c r="V170" s="203" t="s">
        <v>266</v>
      </c>
      <c r="W170" s="203" t="s">
        <v>266</v>
      </c>
      <c r="X170" s="203" t="s">
        <v>266</v>
      </c>
      <c r="Z170" s="203" t="s">
        <v>266</v>
      </c>
      <c r="AA170" s="203" t="s">
        <v>266</v>
      </c>
      <c r="AB170" s="203" t="s">
        <v>266</v>
      </c>
      <c r="AC170" s="203" t="s">
        <v>266</v>
      </c>
      <c r="AD170" s="203" t="s">
        <v>266</v>
      </c>
      <c r="AE170" s="203" t="s">
        <v>266</v>
      </c>
      <c r="AF170" s="203" t="s">
        <v>266</v>
      </c>
      <c r="AH170">
        <v>1</v>
      </c>
      <c r="AI170">
        <v>5</v>
      </c>
    </row>
    <row r="171" spans="1:35" x14ac:dyDescent="0.25">
      <c r="A171" s="203" t="s">
        <v>266</v>
      </c>
      <c r="B171" s="203" t="s">
        <v>280</v>
      </c>
      <c r="C171" s="203"/>
      <c r="D171" s="203"/>
      <c r="E171" s="203"/>
      <c r="F171" s="203" t="s">
        <v>266</v>
      </c>
      <c r="G171" s="203" t="s">
        <v>266</v>
      </c>
      <c r="H171" s="203" t="s">
        <v>266</v>
      </c>
      <c r="J171" s="203" t="s">
        <v>266</v>
      </c>
      <c r="K171" s="203" t="s">
        <v>266</v>
      </c>
      <c r="L171" s="203" t="s">
        <v>266</v>
      </c>
      <c r="M171" s="203" t="s">
        <v>266</v>
      </c>
      <c r="N171" s="203" t="s">
        <v>266</v>
      </c>
      <c r="O171" s="203" t="s">
        <v>266</v>
      </c>
      <c r="P171" s="203" t="s">
        <v>266</v>
      </c>
      <c r="R171" s="203" t="s">
        <v>266</v>
      </c>
      <c r="S171" s="203" t="s">
        <v>266</v>
      </c>
      <c r="T171" s="203" t="s">
        <v>266</v>
      </c>
      <c r="U171" s="203" t="s">
        <v>266</v>
      </c>
      <c r="V171" s="203" t="s">
        <v>266</v>
      </c>
      <c r="W171" s="203" t="s">
        <v>266</v>
      </c>
      <c r="X171" s="203" t="s">
        <v>266</v>
      </c>
      <c r="Z171" s="203" t="s">
        <v>266</v>
      </c>
      <c r="AA171" s="203" t="s">
        <v>266</v>
      </c>
      <c r="AB171" s="203" t="s">
        <v>266</v>
      </c>
      <c r="AC171" s="203" t="s">
        <v>266</v>
      </c>
      <c r="AD171" s="203" t="s">
        <v>266</v>
      </c>
      <c r="AE171" s="203" t="s">
        <v>266</v>
      </c>
      <c r="AF171" s="203" t="s">
        <v>266</v>
      </c>
      <c r="AH171">
        <v>1</v>
      </c>
      <c r="AI171">
        <v>5</v>
      </c>
    </row>
    <row r="172" spans="1:35" x14ac:dyDescent="0.25">
      <c r="A172" s="203" t="s">
        <v>266</v>
      </c>
      <c r="B172" s="203" t="s">
        <v>280</v>
      </c>
      <c r="C172" s="203"/>
      <c r="D172" s="203"/>
      <c r="E172" s="203"/>
      <c r="F172" s="203" t="s">
        <v>266</v>
      </c>
      <c r="G172" s="203" t="s">
        <v>266</v>
      </c>
      <c r="H172" s="203" t="s">
        <v>266</v>
      </c>
      <c r="J172" s="203" t="s">
        <v>266</v>
      </c>
      <c r="K172" s="203" t="s">
        <v>266</v>
      </c>
      <c r="L172" s="203" t="s">
        <v>266</v>
      </c>
      <c r="M172" s="203" t="s">
        <v>266</v>
      </c>
      <c r="N172" s="203" t="s">
        <v>266</v>
      </c>
      <c r="O172" s="203" t="s">
        <v>266</v>
      </c>
      <c r="P172" s="203" t="s">
        <v>266</v>
      </c>
      <c r="R172" s="203" t="s">
        <v>266</v>
      </c>
      <c r="S172" s="203" t="s">
        <v>266</v>
      </c>
      <c r="T172" s="203" t="s">
        <v>266</v>
      </c>
      <c r="U172" s="203" t="s">
        <v>266</v>
      </c>
      <c r="V172" s="203" t="s">
        <v>266</v>
      </c>
      <c r="W172" s="203" t="s">
        <v>266</v>
      </c>
      <c r="X172" s="203" t="s">
        <v>266</v>
      </c>
      <c r="Z172" s="203" t="s">
        <v>266</v>
      </c>
      <c r="AA172" s="203" t="s">
        <v>266</v>
      </c>
      <c r="AB172" s="203" t="s">
        <v>266</v>
      </c>
      <c r="AC172" s="203" t="s">
        <v>266</v>
      </c>
      <c r="AD172" s="203" t="s">
        <v>266</v>
      </c>
      <c r="AE172" s="203" t="s">
        <v>266</v>
      </c>
      <c r="AF172" s="203" t="s">
        <v>266</v>
      </c>
      <c r="AH172">
        <v>1</v>
      </c>
      <c r="AI172">
        <v>5</v>
      </c>
    </row>
    <row r="173" spans="1:35" x14ac:dyDescent="0.25">
      <c r="A173" s="203" t="s">
        <v>266</v>
      </c>
      <c r="B173" s="203" t="s">
        <v>280</v>
      </c>
      <c r="C173" s="203"/>
      <c r="D173" s="203"/>
      <c r="E173" s="203"/>
      <c r="F173" s="203" t="s">
        <v>266</v>
      </c>
      <c r="G173" s="203" t="s">
        <v>266</v>
      </c>
      <c r="H173" s="203" t="s">
        <v>266</v>
      </c>
      <c r="J173" s="203" t="s">
        <v>266</v>
      </c>
      <c r="K173" s="203" t="s">
        <v>266</v>
      </c>
      <c r="L173" s="203" t="s">
        <v>266</v>
      </c>
      <c r="M173" s="203" t="s">
        <v>266</v>
      </c>
      <c r="N173" s="203" t="s">
        <v>266</v>
      </c>
      <c r="O173" s="203" t="s">
        <v>266</v>
      </c>
      <c r="P173" s="203" t="s">
        <v>266</v>
      </c>
      <c r="R173" s="203" t="s">
        <v>266</v>
      </c>
      <c r="S173" s="203" t="s">
        <v>266</v>
      </c>
      <c r="T173" s="203" t="s">
        <v>266</v>
      </c>
      <c r="U173" s="203" t="s">
        <v>266</v>
      </c>
      <c r="V173" s="203" t="s">
        <v>266</v>
      </c>
      <c r="W173" s="203" t="s">
        <v>266</v>
      </c>
      <c r="X173" s="203" t="s">
        <v>266</v>
      </c>
      <c r="Z173" s="203" t="s">
        <v>266</v>
      </c>
      <c r="AA173" s="203" t="s">
        <v>266</v>
      </c>
      <c r="AB173" s="203" t="s">
        <v>266</v>
      </c>
      <c r="AC173" s="203" t="s">
        <v>266</v>
      </c>
      <c r="AD173" s="203" t="s">
        <v>266</v>
      </c>
      <c r="AE173" s="203" t="s">
        <v>266</v>
      </c>
      <c r="AF173" s="203" t="s">
        <v>266</v>
      </c>
      <c r="AH173">
        <v>1</v>
      </c>
      <c r="AI173">
        <v>5</v>
      </c>
    </row>
    <row r="174" spans="1:35" x14ac:dyDescent="0.25">
      <c r="A174" s="203" t="s">
        <v>266</v>
      </c>
      <c r="B174" s="203" t="s">
        <v>280</v>
      </c>
      <c r="C174" s="203"/>
      <c r="D174" s="203"/>
      <c r="E174" s="203"/>
      <c r="F174" s="203" t="s">
        <v>266</v>
      </c>
      <c r="G174" s="203" t="s">
        <v>266</v>
      </c>
      <c r="H174" s="203" t="s">
        <v>266</v>
      </c>
      <c r="J174" s="203" t="s">
        <v>266</v>
      </c>
      <c r="K174" s="203" t="s">
        <v>266</v>
      </c>
      <c r="L174" s="203" t="s">
        <v>266</v>
      </c>
      <c r="M174" s="203" t="s">
        <v>266</v>
      </c>
      <c r="N174" s="203" t="s">
        <v>266</v>
      </c>
      <c r="O174" s="203" t="s">
        <v>266</v>
      </c>
      <c r="P174" s="203" t="s">
        <v>266</v>
      </c>
      <c r="R174" s="203" t="s">
        <v>266</v>
      </c>
      <c r="S174" s="203" t="s">
        <v>266</v>
      </c>
      <c r="T174" s="203" t="s">
        <v>266</v>
      </c>
      <c r="U174" s="203" t="s">
        <v>266</v>
      </c>
      <c r="V174" s="203" t="s">
        <v>266</v>
      </c>
      <c r="W174" s="203" t="s">
        <v>266</v>
      </c>
      <c r="X174" s="203" t="s">
        <v>266</v>
      </c>
      <c r="Z174" s="203" t="s">
        <v>266</v>
      </c>
      <c r="AA174" s="203" t="s">
        <v>266</v>
      </c>
      <c r="AB174" s="203" t="s">
        <v>266</v>
      </c>
      <c r="AC174" s="203" t="s">
        <v>266</v>
      </c>
      <c r="AD174" s="203" t="s">
        <v>266</v>
      </c>
      <c r="AE174" s="203" t="s">
        <v>266</v>
      </c>
      <c r="AF174" s="203" t="s">
        <v>266</v>
      </c>
      <c r="AH174">
        <v>1</v>
      </c>
      <c r="AI174">
        <v>5</v>
      </c>
    </row>
    <row r="175" spans="1:35" x14ac:dyDescent="0.25">
      <c r="A175" s="203" t="s">
        <v>266</v>
      </c>
      <c r="B175" s="203" t="s">
        <v>280</v>
      </c>
      <c r="C175" s="203"/>
      <c r="D175" s="203"/>
      <c r="E175" s="203"/>
      <c r="F175" s="203" t="s">
        <v>266</v>
      </c>
      <c r="G175" s="203" t="s">
        <v>266</v>
      </c>
      <c r="H175" s="203" t="s">
        <v>266</v>
      </c>
      <c r="J175" s="203" t="s">
        <v>266</v>
      </c>
      <c r="K175" s="203" t="s">
        <v>266</v>
      </c>
      <c r="L175" s="203" t="s">
        <v>266</v>
      </c>
      <c r="M175" s="203" t="s">
        <v>266</v>
      </c>
      <c r="N175" s="203" t="s">
        <v>266</v>
      </c>
      <c r="O175" s="203" t="s">
        <v>266</v>
      </c>
      <c r="P175" s="203" t="s">
        <v>266</v>
      </c>
      <c r="R175" s="203" t="s">
        <v>266</v>
      </c>
      <c r="S175" s="203" t="s">
        <v>266</v>
      </c>
      <c r="T175" s="203" t="s">
        <v>266</v>
      </c>
      <c r="U175" s="203" t="s">
        <v>266</v>
      </c>
      <c r="V175" s="203" t="s">
        <v>266</v>
      </c>
      <c r="W175" s="203" t="s">
        <v>266</v>
      </c>
      <c r="X175" s="203" t="s">
        <v>266</v>
      </c>
      <c r="Z175" s="203" t="s">
        <v>266</v>
      </c>
      <c r="AA175" s="203" t="s">
        <v>266</v>
      </c>
      <c r="AB175" s="203" t="s">
        <v>266</v>
      </c>
      <c r="AC175" s="203" t="s">
        <v>266</v>
      </c>
      <c r="AD175" s="203" t="s">
        <v>266</v>
      </c>
      <c r="AE175" s="203" t="s">
        <v>266</v>
      </c>
      <c r="AF175" s="203" t="s">
        <v>266</v>
      </c>
      <c r="AH175">
        <v>1</v>
      </c>
      <c r="AI175">
        <v>5</v>
      </c>
    </row>
    <row r="176" spans="1:35" x14ac:dyDescent="0.25">
      <c r="A176" s="203" t="s">
        <v>266</v>
      </c>
      <c r="B176" s="203" t="s">
        <v>280</v>
      </c>
      <c r="C176" s="203"/>
      <c r="D176" s="203"/>
      <c r="E176" s="203"/>
      <c r="F176" s="203" t="s">
        <v>266</v>
      </c>
      <c r="G176" s="203" t="s">
        <v>266</v>
      </c>
      <c r="H176" s="203" t="s">
        <v>266</v>
      </c>
      <c r="J176" s="203" t="s">
        <v>266</v>
      </c>
      <c r="K176" s="203" t="s">
        <v>266</v>
      </c>
      <c r="L176" s="203" t="s">
        <v>266</v>
      </c>
      <c r="M176" s="203" t="s">
        <v>266</v>
      </c>
      <c r="N176" s="203" t="s">
        <v>266</v>
      </c>
      <c r="O176" s="203" t="s">
        <v>266</v>
      </c>
      <c r="P176" s="203" t="s">
        <v>266</v>
      </c>
      <c r="R176" s="203" t="s">
        <v>266</v>
      </c>
      <c r="S176" s="203" t="s">
        <v>266</v>
      </c>
      <c r="T176" s="203" t="s">
        <v>266</v>
      </c>
      <c r="U176" s="203" t="s">
        <v>266</v>
      </c>
      <c r="V176" s="203" t="s">
        <v>266</v>
      </c>
      <c r="W176" s="203" t="s">
        <v>266</v>
      </c>
      <c r="X176" s="203" t="s">
        <v>266</v>
      </c>
      <c r="Z176" s="203" t="s">
        <v>266</v>
      </c>
      <c r="AA176" s="203" t="s">
        <v>266</v>
      </c>
      <c r="AB176" s="203" t="s">
        <v>266</v>
      </c>
      <c r="AC176" s="203" t="s">
        <v>266</v>
      </c>
      <c r="AD176" s="203" t="s">
        <v>266</v>
      </c>
      <c r="AE176" s="203" t="s">
        <v>266</v>
      </c>
      <c r="AF176" s="203" t="s">
        <v>266</v>
      </c>
      <c r="AH176">
        <v>1</v>
      </c>
      <c r="AI176">
        <v>5</v>
      </c>
    </row>
    <row r="177" spans="1:35" x14ac:dyDescent="0.25">
      <c r="A177" s="203" t="s">
        <v>266</v>
      </c>
      <c r="B177" s="203" t="s">
        <v>280</v>
      </c>
      <c r="C177" s="203"/>
      <c r="D177" s="203"/>
      <c r="E177" s="203"/>
      <c r="F177" s="203" t="s">
        <v>266</v>
      </c>
      <c r="G177" s="203" t="s">
        <v>266</v>
      </c>
      <c r="H177" s="203" t="s">
        <v>266</v>
      </c>
      <c r="J177" s="203" t="s">
        <v>266</v>
      </c>
      <c r="K177" s="203" t="s">
        <v>266</v>
      </c>
      <c r="L177" s="203" t="s">
        <v>266</v>
      </c>
      <c r="M177" s="203" t="s">
        <v>266</v>
      </c>
      <c r="N177" s="203" t="s">
        <v>266</v>
      </c>
      <c r="O177" s="203" t="s">
        <v>266</v>
      </c>
      <c r="P177" s="203" t="s">
        <v>266</v>
      </c>
      <c r="R177" s="203" t="s">
        <v>266</v>
      </c>
      <c r="S177" s="203" t="s">
        <v>266</v>
      </c>
      <c r="T177" s="203" t="s">
        <v>266</v>
      </c>
      <c r="U177" s="203" t="s">
        <v>266</v>
      </c>
      <c r="V177" s="203" t="s">
        <v>266</v>
      </c>
      <c r="W177" s="203" t="s">
        <v>266</v>
      </c>
      <c r="X177" s="203" t="s">
        <v>266</v>
      </c>
      <c r="Z177" s="203" t="s">
        <v>266</v>
      </c>
      <c r="AA177" s="203" t="s">
        <v>266</v>
      </c>
      <c r="AB177" s="203" t="s">
        <v>266</v>
      </c>
      <c r="AC177" s="203" t="s">
        <v>266</v>
      </c>
      <c r="AD177" s="203" t="s">
        <v>266</v>
      </c>
      <c r="AE177" s="203" t="s">
        <v>266</v>
      </c>
      <c r="AF177" s="203" t="s">
        <v>266</v>
      </c>
      <c r="AH177">
        <v>1</v>
      </c>
      <c r="AI177">
        <v>5</v>
      </c>
    </row>
    <row r="178" spans="1:35" x14ac:dyDescent="0.25">
      <c r="A178" s="203" t="s">
        <v>266</v>
      </c>
      <c r="B178" s="203" t="s">
        <v>280</v>
      </c>
      <c r="C178" s="203"/>
      <c r="D178" s="203"/>
      <c r="E178" s="203"/>
      <c r="F178" s="203" t="s">
        <v>266</v>
      </c>
      <c r="G178" s="203" t="s">
        <v>266</v>
      </c>
      <c r="H178" s="203" t="s">
        <v>266</v>
      </c>
      <c r="J178" s="203" t="s">
        <v>266</v>
      </c>
      <c r="K178" s="203" t="s">
        <v>266</v>
      </c>
      <c r="L178" s="203" t="s">
        <v>266</v>
      </c>
      <c r="M178" s="203" t="s">
        <v>266</v>
      </c>
      <c r="N178" s="203" t="s">
        <v>266</v>
      </c>
      <c r="O178" s="203" t="s">
        <v>266</v>
      </c>
      <c r="P178" s="203" t="s">
        <v>266</v>
      </c>
      <c r="R178" s="203" t="s">
        <v>266</v>
      </c>
      <c r="S178" s="203" t="s">
        <v>266</v>
      </c>
      <c r="T178" s="203" t="s">
        <v>266</v>
      </c>
      <c r="U178" s="203" t="s">
        <v>266</v>
      </c>
      <c r="V178" s="203" t="s">
        <v>266</v>
      </c>
      <c r="W178" s="203" t="s">
        <v>266</v>
      </c>
      <c r="X178" s="203" t="s">
        <v>266</v>
      </c>
      <c r="Z178" s="203" t="s">
        <v>266</v>
      </c>
      <c r="AA178" s="203" t="s">
        <v>266</v>
      </c>
      <c r="AB178" s="203" t="s">
        <v>266</v>
      </c>
      <c r="AC178" s="203" t="s">
        <v>266</v>
      </c>
      <c r="AD178" s="203" t="s">
        <v>266</v>
      </c>
      <c r="AE178" s="203" t="s">
        <v>266</v>
      </c>
      <c r="AF178" s="203" t="s">
        <v>266</v>
      </c>
      <c r="AH178">
        <v>1</v>
      </c>
      <c r="AI178">
        <v>5</v>
      </c>
    </row>
    <row r="179" spans="1:35" x14ac:dyDescent="0.25">
      <c r="A179" s="203" t="s">
        <v>266</v>
      </c>
      <c r="B179" s="203" t="s">
        <v>280</v>
      </c>
      <c r="C179" s="203"/>
      <c r="D179" s="203"/>
      <c r="E179" s="203"/>
      <c r="F179" s="203" t="s">
        <v>266</v>
      </c>
      <c r="G179" s="203" t="s">
        <v>266</v>
      </c>
      <c r="H179" s="203" t="s">
        <v>266</v>
      </c>
      <c r="J179" s="203" t="s">
        <v>266</v>
      </c>
      <c r="K179" s="203" t="s">
        <v>266</v>
      </c>
      <c r="L179" s="203" t="s">
        <v>266</v>
      </c>
      <c r="M179" s="203" t="s">
        <v>266</v>
      </c>
      <c r="N179" s="203" t="s">
        <v>266</v>
      </c>
      <c r="O179" s="203" t="s">
        <v>266</v>
      </c>
      <c r="P179" s="203" t="s">
        <v>266</v>
      </c>
      <c r="R179" s="203" t="s">
        <v>266</v>
      </c>
      <c r="S179" s="203" t="s">
        <v>266</v>
      </c>
      <c r="T179" s="203" t="s">
        <v>266</v>
      </c>
      <c r="U179" s="203" t="s">
        <v>266</v>
      </c>
      <c r="V179" s="203" t="s">
        <v>266</v>
      </c>
      <c r="W179" s="203" t="s">
        <v>266</v>
      </c>
      <c r="X179" s="203" t="s">
        <v>266</v>
      </c>
      <c r="Z179" s="203" t="s">
        <v>266</v>
      </c>
      <c r="AA179" s="203" t="s">
        <v>266</v>
      </c>
      <c r="AB179" s="203" t="s">
        <v>266</v>
      </c>
      <c r="AC179" s="203" t="s">
        <v>266</v>
      </c>
      <c r="AD179" s="203" t="s">
        <v>266</v>
      </c>
      <c r="AE179" s="203" t="s">
        <v>266</v>
      </c>
      <c r="AF179" s="203" t="s">
        <v>266</v>
      </c>
      <c r="AH179">
        <v>1</v>
      </c>
      <c r="AI179">
        <v>5</v>
      </c>
    </row>
    <row r="180" spans="1:35" x14ac:dyDescent="0.25">
      <c r="A180" s="203" t="s">
        <v>266</v>
      </c>
      <c r="B180" s="203" t="s">
        <v>280</v>
      </c>
      <c r="C180" s="203"/>
      <c r="D180" s="203"/>
      <c r="E180" s="203"/>
      <c r="F180" s="203" t="s">
        <v>266</v>
      </c>
      <c r="G180" s="203" t="s">
        <v>266</v>
      </c>
      <c r="H180" s="203" t="s">
        <v>266</v>
      </c>
      <c r="J180" s="203" t="s">
        <v>266</v>
      </c>
      <c r="K180" s="203" t="s">
        <v>266</v>
      </c>
      <c r="L180" s="203" t="s">
        <v>266</v>
      </c>
      <c r="M180" s="203" t="s">
        <v>266</v>
      </c>
      <c r="N180" s="203" t="s">
        <v>266</v>
      </c>
      <c r="O180" s="203" t="s">
        <v>266</v>
      </c>
      <c r="P180" s="203" t="s">
        <v>266</v>
      </c>
      <c r="R180" s="203" t="s">
        <v>266</v>
      </c>
      <c r="S180" s="203" t="s">
        <v>266</v>
      </c>
      <c r="T180" s="203" t="s">
        <v>266</v>
      </c>
      <c r="U180" s="203" t="s">
        <v>266</v>
      </c>
      <c r="V180" s="203" t="s">
        <v>266</v>
      </c>
      <c r="W180" s="203" t="s">
        <v>266</v>
      </c>
      <c r="X180" s="203" t="s">
        <v>266</v>
      </c>
      <c r="Z180" s="203" t="s">
        <v>266</v>
      </c>
      <c r="AA180" s="203" t="s">
        <v>266</v>
      </c>
      <c r="AB180" s="203" t="s">
        <v>266</v>
      </c>
      <c r="AC180" s="203" t="s">
        <v>266</v>
      </c>
      <c r="AD180" s="203" t="s">
        <v>266</v>
      </c>
      <c r="AE180" s="203" t="s">
        <v>266</v>
      </c>
      <c r="AF180" s="203" t="s">
        <v>266</v>
      </c>
      <c r="AH180">
        <v>1</v>
      </c>
      <c r="AI180">
        <v>5</v>
      </c>
    </row>
    <row r="181" spans="1:35" x14ac:dyDescent="0.25">
      <c r="A181" s="203" t="s">
        <v>266</v>
      </c>
      <c r="B181" s="203" t="s">
        <v>280</v>
      </c>
      <c r="C181" s="203"/>
      <c r="D181" s="203"/>
      <c r="E181" s="203"/>
      <c r="F181" s="203" t="s">
        <v>266</v>
      </c>
      <c r="G181" s="203" t="s">
        <v>266</v>
      </c>
      <c r="H181" s="203" t="s">
        <v>266</v>
      </c>
      <c r="J181" s="203" t="s">
        <v>266</v>
      </c>
      <c r="K181" s="203" t="s">
        <v>266</v>
      </c>
      <c r="L181" s="203" t="s">
        <v>266</v>
      </c>
      <c r="M181" s="203" t="s">
        <v>266</v>
      </c>
      <c r="N181" s="203" t="s">
        <v>266</v>
      </c>
      <c r="O181" s="203" t="s">
        <v>266</v>
      </c>
      <c r="P181" s="203" t="s">
        <v>266</v>
      </c>
      <c r="R181" s="203" t="s">
        <v>266</v>
      </c>
      <c r="S181" s="203" t="s">
        <v>266</v>
      </c>
      <c r="T181" s="203" t="s">
        <v>266</v>
      </c>
      <c r="U181" s="203" t="s">
        <v>266</v>
      </c>
      <c r="V181" s="203" t="s">
        <v>266</v>
      </c>
      <c r="W181" s="203" t="s">
        <v>266</v>
      </c>
      <c r="X181" s="203" t="s">
        <v>266</v>
      </c>
      <c r="Z181" s="203" t="s">
        <v>266</v>
      </c>
      <c r="AA181" s="203" t="s">
        <v>266</v>
      </c>
      <c r="AB181" s="203" t="s">
        <v>266</v>
      </c>
      <c r="AC181" s="203" t="s">
        <v>266</v>
      </c>
      <c r="AD181" s="203" t="s">
        <v>266</v>
      </c>
      <c r="AE181" s="203" t="s">
        <v>266</v>
      </c>
      <c r="AF181" s="203" t="s">
        <v>266</v>
      </c>
      <c r="AH181">
        <v>1</v>
      </c>
      <c r="AI181">
        <v>5</v>
      </c>
    </row>
    <row r="182" spans="1:35" x14ac:dyDescent="0.25">
      <c r="A182" s="203" t="s">
        <v>266</v>
      </c>
      <c r="B182" s="203" t="s">
        <v>280</v>
      </c>
      <c r="C182" s="203"/>
      <c r="D182" s="203"/>
      <c r="E182" s="203"/>
      <c r="F182" s="203" t="s">
        <v>266</v>
      </c>
      <c r="G182" s="203" t="s">
        <v>266</v>
      </c>
      <c r="H182" s="203" t="s">
        <v>266</v>
      </c>
      <c r="J182" s="203" t="s">
        <v>266</v>
      </c>
      <c r="K182" s="203" t="s">
        <v>266</v>
      </c>
      <c r="L182" s="203" t="s">
        <v>266</v>
      </c>
      <c r="M182" s="203" t="s">
        <v>266</v>
      </c>
      <c r="N182" s="203" t="s">
        <v>266</v>
      </c>
      <c r="O182" s="203" t="s">
        <v>266</v>
      </c>
      <c r="P182" s="203" t="s">
        <v>266</v>
      </c>
      <c r="R182" s="203" t="s">
        <v>266</v>
      </c>
      <c r="S182" s="203" t="s">
        <v>266</v>
      </c>
      <c r="T182" s="203" t="s">
        <v>266</v>
      </c>
      <c r="U182" s="203" t="s">
        <v>266</v>
      </c>
      <c r="V182" s="203" t="s">
        <v>266</v>
      </c>
      <c r="W182" s="203" t="s">
        <v>266</v>
      </c>
      <c r="X182" s="203" t="s">
        <v>266</v>
      </c>
      <c r="Z182" s="203" t="s">
        <v>266</v>
      </c>
      <c r="AA182" s="203" t="s">
        <v>266</v>
      </c>
      <c r="AB182" s="203" t="s">
        <v>266</v>
      </c>
      <c r="AC182" s="203" t="s">
        <v>266</v>
      </c>
      <c r="AD182" s="203" t="s">
        <v>266</v>
      </c>
      <c r="AE182" s="203" t="s">
        <v>266</v>
      </c>
      <c r="AF182" s="203" t="s">
        <v>266</v>
      </c>
      <c r="AH182">
        <v>1</v>
      </c>
      <c r="AI182">
        <v>5</v>
      </c>
    </row>
    <row r="183" spans="1:35" ht="15.75" x14ac:dyDescent="0.25">
      <c r="A183" s="203" t="s">
        <v>266</v>
      </c>
      <c r="B183" s="203" t="s">
        <v>280</v>
      </c>
      <c r="C183" s="203"/>
      <c r="D183" s="324"/>
      <c r="E183" s="203"/>
      <c r="F183" s="203" t="s">
        <v>266</v>
      </c>
      <c r="G183" s="203" t="s">
        <v>266</v>
      </c>
      <c r="H183" s="203" t="s">
        <v>266</v>
      </c>
      <c r="J183" s="203" t="s">
        <v>266</v>
      </c>
      <c r="K183" s="203" t="s">
        <v>266</v>
      </c>
      <c r="L183" s="203" t="s">
        <v>266</v>
      </c>
      <c r="M183" s="203" t="s">
        <v>266</v>
      </c>
      <c r="N183" s="203" t="s">
        <v>266</v>
      </c>
      <c r="O183" s="203" t="s">
        <v>266</v>
      </c>
      <c r="P183" s="203" t="s">
        <v>266</v>
      </c>
      <c r="R183" s="203" t="s">
        <v>266</v>
      </c>
      <c r="S183" s="203" t="s">
        <v>266</v>
      </c>
      <c r="T183" s="203" t="s">
        <v>266</v>
      </c>
      <c r="U183" s="203" t="s">
        <v>266</v>
      </c>
      <c r="V183" s="203" t="s">
        <v>266</v>
      </c>
      <c r="W183" s="203" t="s">
        <v>266</v>
      </c>
      <c r="X183" s="203" t="s">
        <v>266</v>
      </c>
      <c r="Z183" s="203" t="s">
        <v>266</v>
      </c>
      <c r="AA183" s="203" t="s">
        <v>266</v>
      </c>
      <c r="AB183" s="203" t="s">
        <v>266</v>
      </c>
      <c r="AC183" s="203" t="s">
        <v>266</v>
      </c>
      <c r="AD183" s="203" t="s">
        <v>266</v>
      </c>
      <c r="AE183" s="203" t="s">
        <v>266</v>
      </c>
      <c r="AF183" s="203" t="s">
        <v>266</v>
      </c>
      <c r="AH183">
        <v>1</v>
      </c>
      <c r="AI183">
        <v>5</v>
      </c>
    </row>
    <row r="184" spans="1:35" x14ac:dyDescent="0.25">
      <c r="A184" s="203" t="s">
        <v>266</v>
      </c>
      <c r="B184" s="203" t="s">
        <v>280</v>
      </c>
      <c r="C184" s="203"/>
      <c r="D184" s="203"/>
      <c r="E184" s="203"/>
      <c r="F184" s="203" t="s">
        <v>266</v>
      </c>
      <c r="G184" s="203" t="s">
        <v>266</v>
      </c>
      <c r="H184" s="203" t="s">
        <v>266</v>
      </c>
      <c r="J184" s="203" t="s">
        <v>266</v>
      </c>
      <c r="K184" s="203" t="s">
        <v>266</v>
      </c>
      <c r="L184" s="203" t="s">
        <v>266</v>
      </c>
      <c r="M184" s="203" t="s">
        <v>266</v>
      </c>
      <c r="N184" s="203" t="s">
        <v>266</v>
      </c>
      <c r="O184" s="203" t="s">
        <v>266</v>
      </c>
      <c r="P184" s="203" t="s">
        <v>266</v>
      </c>
      <c r="R184" s="203" t="s">
        <v>266</v>
      </c>
      <c r="S184" s="203" t="s">
        <v>266</v>
      </c>
      <c r="T184" s="203" t="s">
        <v>266</v>
      </c>
      <c r="U184" s="203" t="s">
        <v>266</v>
      </c>
      <c r="V184" s="203" t="s">
        <v>266</v>
      </c>
      <c r="W184" s="203" t="s">
        <v>266</v>
      </c>
      <c r="X184" s="203" t="s">
        <v>266</v>
      </c>
      <c r="Z184" s="203" t="s">
        <v>266</v>
      </c>
      <c r="AA184" s="203" t="s">
        <v>266</v>
      </c>
      <c r="AB184" s="203" t="s">
        <v>266</v>
      </c>
      <c r="AC184" s="203" t="s">
        <v>266</v>
      </c>
      <c r="AD184" s="203" t="s">
        <v>266</v>
      </c>
      <c r="AE184" s="203" t="s">
        <v>266</v>
      </c>
      <c r="AF184" s="203" t="s">
        <v>266</v>
      </c>
      <c r="AH184">
        <v>1</v>
      </c>
      <c r="AI184">
        <v>5</v>
      </c>
    </row>
    <row r="185" spans="1:35" x14ac:dyDescent="0.25">
      <c r="A185" s="203" t="s">
        <v>266</v>
      </c>
      <c r="B185" s="203" t="s">
        <v>280</v>
      </c>
      <c r="C185" s="203"/>
      <c r="D185" s="203"/>
      <c r="E185" s="203"/>
      <c r="F185" s="203" t="s">
        <v>266</v>
      </c>
      <c r="G185" s="203" t="s">
        <v>266</v>
      </c>
      <c r="H185" s="203" t="s">
        <v>266</v>
      </c>
      <c r="J185" s="203" t="s">
        <v>266</v>
      </c>
      <c r="K185" s="203" t="s">
        <v>266</v>
      </c>
      <c r="L185" s="203" t="s">
        <v>266</v>
      </c>
      <c r="M185" s="203" t="s">
        <v>266</v>
      </c>
      <c r="N185" s="203" t="s">
        <v>266</v>
      </c>
      <c r="O185" s="203" t="s">
        <v>266</v>
      </c>
      <c r="P185" s="203" t="s">
        <v>266</v>
      </c>
      <c r="R185" s="203" t="s">
        <v>266</v>
      </c>
      <c r="S185" s="203" t="s">
        <v>266</v>
      </c>
      <c r="T185" s="203" t="s">
        <v>266</v>
      </c>
      <c r="U185" s="203" t="s">
        <v>266</v>
      </c>
      <c r="V185" s="203" t="s">
        <v>266</v>
      </c>
      <c r="W185" s="203" t="s">
        <v>266</v>
      </c>
      <c r="X185" s="203" t="s">
        <v>266</v>
      </c>
      <c r="Z185" s="203" t="s">
        <v>266</v>
      </c>
      <c r="AA185" s="203" t="s">
        <v>266</v>
      </c>
      <c r="AB185" s="203" t="s">
        <v>266</v>
      </c>
      <c r="AC185" s="203" t="s">
        <v>266</v>
      </c>
      <c r="AD185" s="203" t="s">
        <v>266</v>
      </c>
      <c r="AE185" s="203" t="s">
        <v>266</v>
      </c>
      <c r="AF185" s="203" t="s">
        <v>266</v>
      </c>
      <c r="AH185">
        <v>1</v>
      </c>
      <c r="AI185">
        <v>5</v>
      </c>
    </row>
    <row r="186" spans="1:35" x14ac:dyDescent="0.25">
      <c r="A186" s="203" t="s">
        <v>266</v>
      </c>
      <c r="B186" s="203" t="s">
        <v>280</v>
      </c>
      <c r="C186" s="203"/>
      <c r="D186" s="203"/>
      <c r="E186" s="203"/>
      <c r="F186" s="203" t="s">
        <v>266</v>
      </c>
      <c r="G186" s="203" t="s">
        <v>266</v>
      </c>
      <c r="H186" s="203" t="s">
        <v>266</v>
      </c>
      <c r="J186" s="203" t="s">
        <v>266</v>
      </c>
      <c r="K186" s="203" t="s">
        <v>266</v>
      </c>
      <c r="L186" s="203" t="s">
        <v>266</v>
      </c>
      <c r="M186" s="203" t="s">
        <v>266</v>
      </c>
      <c r="N186" s="203" t="s">
        <v>266</v>
      </c>
      <c r="O186" s="203" t="s">
        <v>266</v>
      </c>
      <c r="P186" s="203" t="s">
        <v>266</v>
      </c>
      <c r="R186" s="203" t="s">
        <v>266</v>
      </c>
      <c r="S186" s="203" t="s">
        <v>266</v>
      </c>
      <c r="T186" s="203" t="s">
        <v>266</v>
      </c>
      <c r="U186" s="203" t="s">
        <v>266</v>
      </c>
      <c r="V186" s="203" t="s">
        <v>266</v>
      </c>
      <c r="W186" s="203" t="s">
        <v>266</v>
      </c>
      <c r="X186" s="203" t="s">
        <v>266</v>
      </c>
      <c r="Z186" s="203" t="s">
        <v>266</v>
      </c>
      <c r="AA186" s="203" t="s">
        <v>266</v>
      </c>
      <c r="AB186" s="203" t="s">
        <v>266</v>
      </c>
      <c r="AC186" s="203" t="s">
        <v>266</v>
      </c>
      <c r="AD186" s="203" t="s">
        <v>266</v>
      </c>
      <c r="AE186" s="203" t="s">
        <v>266</v>
      </c>
      <c r="AF186" s="203" t="s">
        <v>266</v>
      </c>
      <c r="AH186">
        <v>1</v>
      </c>
      <c r="AI186">
        <v>5</v>
      </c>
    </row>
    <row r="187" spans="1:35" x14ac:dyDescent="0.25">
      <c r="A187" s="203" t="s">
        <v>266</v>
      </c>
      <c r="B187" s="203" t="s">
        <v>280</v>
      </c>
      <c r="C187" s="203"/>
      <c r="D187" s="203"/>
      <c r="E187" s="203"/>
      <c r="F187" s="203" t="s">
        <v>266</v>
      </c>
      <c r="G187" s="203" t="s">
        <v>266</v>
      </c>
      <c r="H187" s="203" t="s">
        <v>266</v>
      </c>
      <c r="J187" s="203" t="s">
        <v>266</v>
      </c>
      <c r="K187" s="203" t="s">
        <v>266</v>
      </c>
      <c r="L187" s="203" t="s">
        <v>266</v>
      </c>
      <c r="M187" s="203" t="s">
        <v>266</v>
      </c>
      <c r="N187" s="203" t="s">
        <v>266</v>
      </c>
      <c r="O187" s="203" t="s">
        <v>266</v>
      </c>
      <c r="P187" s="203" t="s">
        <v>266</v>
      </c>
      <c r="R187" s="203" t="s">
        <v>266</v>
      </c>
      <c r="S187" s="203" t="s">
        <v>266</v>
      </c>
      <c r="T187" s="203" t="s">
        <v>266</v>
      </c>
      <c r="U187" s="203" t="s">
        <v>266</v>
      </c>
      <c r="V187" s="203" t="s">
        <v>266</v>
      </c>
      <c r="W187" s="203" t="s">
        <v>266</v>
      </c>
      <c r="X187" s="203" t="s">
        <v>266</v>
      </c>
      <c r="Z187" s="203" t="s">
        <v>266</v>
      </c>
      <c r="AA187" s="203" t="s">
        <v>266</v>
      </c>
      <c r="AB187" s="203" t="s">
        <v>266</v>
      </c>
      <c r="AC187" s="203" t="s">
        <v>266</v>
      </c>
      <c r="AD187" s="203" t="s">
        <v>266</v>
      </c>
      <c r="AE187" s="203" t="s">
        <v>266</v>
      </c>
      <c r="AF187" s="203" t="s">
        <v>266</v>
      </c>
      <c r="AH187">
        <v>1</v>
      </c>
      <c r="AI187">
        <v>5</v>
      </c>
    </row>
    <row r="188" spans="1:35" x14ac:dyDescent="0.25">
      <c r="A188" s="203" t="s">
        <v>266</v>
      </c>
      <c r="B188" s="203" t="s">
        <v>280</v>
      </c>
      <c r="C188" s="203"/>
      <c r="D188" s="203"/>
      <c r="E188" s="203"/>
      <c r="F188" s="203" t="s">
        <v>266</v>
      </c>
      <c r="G188" s="203" t="s">
        <v>266</v>
      </c>
      <c r="H188" s="203" t="s">
        <v>266</v>
      </c>
      <c r="J188" s="203" t="s">
        <v>266</v>
      </c>
      <c r="K188" s="203" t="s">
        <v>266</v>
      </c>
      <c r="L188" s="203" t="s">
        <v>266</v>
      </c>
      <c r="M188" s="203" t="s">
        <v>266</v>
      </c>
      <c r="N188" s="203" t="s">
        <v>266</v>
      </c>
      <c r="O188" s="203" t="s">
        <v>266</v>
      </c>
      <c r="P188" s="203" t="s">
        <v>266</v>
      </c>
      <c r="R188" s="203" t="s">
        <v>266</v>
      </c>
      <c r="S188" s="203" t="s">
        <v>266</v>
      </c>
      <c r="T188" s="203" t="s">
        <v>266</v>
      </c>
      <c r="U188" s="203" t="s">
        <v>266</v>
      </c>
      <c r="V188" s="203" t="s">
        <v>266</v>
      </c>
      <c r="W188" s="203" t="s">
        <v>266</v>
      </c>
      <c r="X188" s="203" t="s">
        <v>266</v>
      </c>
      <c r="Z188" s="203" t="s">
        <v>266</v>
      </c>
      <c r="AA188" s="203" t="s">
        <v>266</v>
      </c>
      <c r="AB188" s="203" t="s">
        <v>266</v>
      </c>
      <c r="AC188" s="203" t="s">
        <v>266</v>
      </c>
      <c r="AD188" s="203" t="s">
        <v>266</v>
      </c>
      <c r="AE188" s="203" t="s">
        <v>266</v>
      </c>
      <c r="AF188" s="203" t="s">
        <v>266</v>
      </c>
      <c r="AH188">
        <v>1</v>
      </c>
      <c r="AI188">
        <v>5</v>
      </c>
    </row>
    <row r="189" spans="1:35" x14ac:dyDescent="0.25">
      <c r="A189" s="203" t="s">
        <v>266</v>
      </c>
      <c r="B189" s="203" t="s">
        <v>280</v>
      </c>
      <c r="C189" s="203"/>
      <c r="D189" s="203"/>
      <c r="E189" s="203"/>
      <c r="F189" s="203" t="s">
        <v>266</v>
      </c>
      <c r="G189" s="203" t="s">
        <v>266</v>
      </c>
      <c r="H189" s="203" t="s">
        <v>266</v>
      </c>
      <c r="J189" s="203" t="s">
        <v>266</v>
      </c>
      <c r="K189" s="203" t="s">
        <v>266</v>
      </c>
      <c r="L189" s="203" t="s">
        <v>266</v>
      </c>
      <c r="M189" s="203" t="s">
        <v>266</v>
      </c>
      <c r="N189" s="203" t="s">
        <v>266</v>
      </c>
      <c r="O189" s="203" t="s">
        <v>266</v>
      </c>
      <c r="P189" s="203" t="s">
        <v>266</v>
      </c>
      <c r="R189" s="203" t="s">
        <v>266</v>
      </c>
      <c r="S189" s="203" t="s">
        <v>266</v>
      </c>
      <c r="T189" s="203" t="s">
        <v>266</v>
      </c>
      <c r="U189" s="203" t="s">
        <v>266</v>
      </c>
      <c r="V189" s="203" t="s">
        <v>266</v>
      </c>
      <c r="W189" s="203" t="s">
        <v>266</v>
      </c>
      <c r="X189" s="203" t="s">
        <v>266</v>
      </c>
      <c r="Z189" s="203" t="s">
        <v>266</v>
      </c>
      <c r="AA189" s="203" t="s">
        <v>266</v>
      </c>
      <c r="AB189" s="203" t="s">
        <v>266</v>
      </c>
      <c r="AC189" s="203" t="s">
        <v>266</v>
      </c>
      <c r="AD189" s="203" t="s">
        <v>266</v>
      </c>
      <c r="AE189" s="203" t="s">
        <v>266</v>
      </c>
      <c r="AF189" s="203" t="s">
        <v>266</v>
      </c>
      <c r="AH189">
        <v>1</v>
      </c>
      <c r="AI189">
        <v>5</v>
      </c>
    </row>
    <row r="190" spans="1:35" x14ac:dyDescent="0.25">
      <c r="A190" s="203" t="s">
        <v>266</v>
      </c>
      <c r="B190" s="203" t="s">
        <v>280</v>
      </c>
      <c r="C190" s="203"/>
      <c r="D190" s="203"/>
      <c r="E190" s="203"/>
      <c r="F190" s="203" t="s">
        <v>266</v>
      </c>
      <c r="G190" s="203" t="s">
        <v>266</v>
      </c>
      <c r="H190" s="203" t="s">
        <v>266</v>
      </c>
      <c r="J190" s="203" t="s">
        <v>266</v>
      </c>
      <c r="K190" s="203" t="s">
        <v>266</v>
      </c>
      <c r="L190" s="203" t="s">
        <v>266</v>
      </c>
      <c r="M190" s="203" t="s">
        <v>266</v>
      </c>
      <c r="N190" s="203" t="s">
        <v>266</v>
      </c>
      <c r="O190" s="203" t="s">
        <v>266</v>
      </c>
      <c r="P190" s="203" t="s">
        <v>266</v>
      </c>
      <c r="R190" s="203" t="s">
        <v>266</v>
      </c>
      <c r="S190" s="203" t="s">
        <v>266</v>
      </c>
      <c r="T190" s="203" t="s">
        <v>266</v>
      </c>
      <c r="U190" s="203" t="s">
        <v>266</v>
      </c>
      <c r="V190" s="203" t="s">
        <v>266</v>
      </c>
      <c r="W190" s="203" t="s">
        <v>266</v>
      </c>
      <c r="X190" s="203" t="s">
        <v>266</v>
      </c>
      <c r="Z190" s="203" t="s">
        <v>266</v>
      </c>
      <c r="AA190" s="203" t="s">
        <v>266</v>
      </c>
      <c r="AB190" s="203" t="s">
        <v>266</v>
      </c>
      <c r="AC190" s="203" t="s">
        <v>266</v>
      </c>
      <c r="AD190" s="203" t="s">
        <v>266</v>
      </c>
      <c r="AE190" s="203" t="s">
        <v>266</v>
      </c>
      <c r="AF190" s="203" t="s">
        <v>266</v>
      </c>
      <c r="AH190">
        <v>1</v>
      </c>
      <c r="AI190">
        <v>5</v>
      </c>
    </row>
    <row r="191" spans="1:35" x14ac:dyDescent="0.25">
      <c r="A191" s="203" t="s">
        <v>266</v>
      </c>
      <c r="B191" s="203" t="s">
        <v>280</v>
      </c>
      <c r="C191" s="203"/>
      <c r="D191" s="203"/>
      <c r="E191" s="203"/>
      <c r="F191" s="203" t="s">
        <v>266</v>
      </c>
      <c r="G191" s="203" t="s">
        <v>266</v>
      </c>
      <c r="H191" s="203" t="s">
        <v>266</v>
      </c>
      <c r="J191" s="203" t="s">
        <v>266</v>
      </c>
      <c r="K191" s="203" t="s">
        <v>266</v>
      </c>
      <c r="L191" s="203" t="s">
        <v>266</v>
      </c>
      <c r="M191" s="203" t="s">
        <v>266</v>
      </c>
      <c r="N191" s="203" t="s">
        <v>266</v>
      </c>
      <c r="O191" s="203" t="s">
        <v>266</v>
      </c>
      <c r="P191" s="203" t="s">
        <v>266</v>
      </c>
      <c r="R191" s="203" t="s">
        <v>266</v>
      </c>
      <c r="S191" s="203" t="s">
        <v>266</v>
      </c>
      <c r="T191" s="203" t="s">
        <v>266</v>
      </c>
      <c r="U191" s="203" t="s">
        <v>266</v>
      </c>
      <c r="V191" s="203" t="s">
        <v>266</v>
      </c>
      <c r="W191" s="203" t="s">
        <v>266</v>
      </c>
      <c r="X191" s="203" t="s">
        <v>266</v>
      </c>
      <c r="Z191" s="203" t="s">
        <v>266</v>
      </c>
      <c r="AA191" s="203" t="s">
        <v>266</v>
      </c>
      <c r="AB191" s="203" t="s">
        <v>266</v>
      </c>
      <c r="AC191" s="203" t="s">
        <v>266</v>
      </c>
      <c r="AD191" s="203" t="s">
        <v>266</v>
      </c>
      <c r="AE191" s="203" t="s">
        <v>266</v>
      </c>
      <c r="AF191" s="203" t="s">
        <v>266</v>
      </c>
      <c r="AH191">
        <v>1</v>
      </c>
      <c r="AI191">
        <v>5</v>
      </c>
    </row>
    <row r="192" spans="1:35" x14ac:dyDescent="0.25">
      <c r="A192" s="203" t="s">
        <v>266</v>
      </c>
      <c r="B192" s="203" t="s">
        <v>280</v>
      </c>
      <c r="C192" s="203"/>
      <c r="D192" s="203"/>
      <c r="E192" s="203"/>
      <c r="F192" s="203" t="s">
        <v>266</v>
      </c>
      <c r="G192" s="203" t="s">
        <v>266</v>
      </c>
      <c r="H192" s="203" t="s">
        <v>266</v>
      </c>
      <c r="J192" s="203" t="s">
        <v>266</v>
      </c>
      <c r="K192" s="203" t="s">
        <v>266</v>
      </c>
      <c r="L192" s="203" t="s">
        <v>266</v>
      </c>
      <c r="M192" s="203" t="s">
        <v>266</v>
      </c>
      <c r="N192" s="203" t="s">
        <v>266</v>
      </c>
      <c r="O192" s="203" t="s">
        <v>266</v>
      </c>
      <c r="P192" s="203" t="s">
        <v>266</v>
      </c>
      <c r="R192" s="203" t="s">
        <v>266</v>
      </c>
      <c r="S192" s="203" t="s">
        <v>266</v>
      </c>
      <c r="T192" s="203" t="s">
        <v>266</v>
      </c>
      <c r="U192" s="203" t="s">
        <v>266</v>
      </c>
      <c r="V192" s="203" t="s">
        <v>266</v>
      </c>
      <c r="W192" s="203" t="s">
        <v>266</v>
      </c>
      <c r="X192" s="203" t="s">
        <v>266</v>
      </c>
      <c r="Z192" s="203" t="s">
        <v>266</v>
      </c>
      <c r="AA192" s="203" t="s">
        <v>266</v>
      </c>
      <c r="AB192" s="203" t="s">
        <v>266</v>
      </c>
      <c r="AC192" s="203" t="s">
        <v>266</v>
      </c>
      <c r="AD192" s="203" t="s">
        <v>266</v>
      </c>
      <c r="AE192" s="203" t="s">
        <v>266</v>
      </c>
      <c r="AF192" s="203" t="s">
        <v>266</v>
      </c>
      <c r="AH192">
        <v>1</v>
      </c>
      <c r="AI192">
        <v>5</v>
      </c>
    </row>
    <row r="193" spans="1:35" x14ac:dyDescent="0.25">
      <c r="A193" s="203" t="s">
        <v>266</v>
      </c>
      <c r="B193" s="203" t="s">
        <v>280</v>
      </c>
      <c r="C193" s="203"/>
      <c r="D193" s="203"/>
      <c r="E193" s="203"/>
      <c r="F193" s="203" t="s">
        <v>266</v>
      </c>
      <c r="G193" s="203" t="s">
        <v>266</v>
      </c>
      <c r="H193" s="203" t="s">
        <v>266</v>
      </c>
      <c r="J193" s="203" t="s">
        <v>266</v>
      </c>
      <c r="K193" s="203" t="s">
        <v>266</v>
      </c>
      <c r="L193" s="203" t="s">
        <v>266</v>
      </c>
      <c r="M193" s="203" t="s">
        <v>266</v>
      </c>
      <c r="N193" s="203" t="s">
        <v>266</v>
      </c>
      <c r="O193" s="203" t="s">
        <v>266</v>
      </c>
      <c r="P193" s="203" t="s">
        <v>266</v>
      </c>
      <c r="R193" s="203" t="s">
        <v>266</v>
      </c>
      <c r="S193" s="203" t="s">
        <v>266</v>
      </c>
      <c r="T193" s="203" t="s">
        <v>266</v>
      </c>
      <c r="U193" s="203" t="s">
        <v>266</v>
      </c>
      <c r="V193" s="203" t="s">
        <v>266</v>
      </c>
      <c r="W193" s="203" t="s">
        <v>266</v>
      </c>
      <c r="X193" s="203" t="s">
        <v>266</v>
      </c>
      <c r="Z193" s="203" t="s">
        <v>266</v>
      </c>
      <c r="AA193" s="203" t="s">
        <v>266</v>
      </c>
      <c r="AB193" s="203" t="s">
        <v>266</v>
      </c>
      <c r="AC193" s="203" t="s">
        <v>266</v>
      </c>
      <c r="AD193" s="203" t="s">
        <v>266</v>
      </c>
      <c r="AE193" s="203" t="s">
        <v>266</v>
      </c>
      <c r="AF193" s="203" t="s">
        <v>266</v>
      </c>
      <c r="AH193">
        <v>1</v>
      </c>
      <c r="AI193">
        <v>5</v>
      </c>
    </row>
    <row r="194" spans="1:35" x14ac:dyDescent="0.25">
      <c r="A194" s="203" t="s">
        <v>266</v>
      </c>
      <c r="B194" s="203" t="s">
        <v>280</v>
      </c>
      <c r="C194" s="203"/>
      <c r="D194" s="203"/>
      <c r="E194" s="203"/>
      <c r="F194" s="203" t="s">
        <v>266</v>
      </c>
      <c r="G194" s="203" t="s">
        <v>266</v>
      </c>
      <c r="H194" s="203" t="s">
        <v>266</v>
      </c>
      <c r="J194" s="203" t="s">
        <v>266</v>
      </c>
      <c r="K194" s="203" t="s">
        <v>266</v>
      </c>
      <c r="L194" s="203" t="s">
        <v>266</v>
      </c>
      <c r="M194" s="203" t="s">
        <v>266</v>
      </c>
      <c r="N194" s="203" t="s">
        <v>266</v>
      </c>
      <c r="O194" s="203" t="s">
        <v>266</v>
      </c>
      <c r="P194" s="203" t="s">
        <v>266</v>
      </c>
      <c r="R194" s="203" t="s">
        <v>266</v>
      </c>
      <c r="S194" s="203" t="s">
        <v>266</v>
      </c>
      <c r="T194" s="203" t="s">
        <v>266</v>
      </c>
      <c r="U194" s="203" t="s">
        <v>266</v>
      </c>
      <c r="V194" s="203" t="s">
        <v>266</v>
      </c>
      <c r="W194" s="203" t="s">
        <v>266</v>
      </c>
      <c r="X194" s="203" t="s">
        <v>266</v>
      </c>
      <c r="Z194" s="203" t="s">
        <v>266</v>
      </c>
      <c r="AA194" s="203" t="s">
        <v>266</v>
      </c>
      <c r="AB194" s="203" t="s">
        <v>266</v>
      </c>
      <c r="AC194" s="203" t="s">
        <v>266</v>
      </c>
      <c r="AD194" s="203" t="s">
        <v>266</v>
      </c>
      <c r="AE194" s="203" t="s">
        <v>266</v>
      </c>
      <c r="AF194" s="203" t="s">
        <v>266</v>
      </c>
      <c r="AH194">
        <v>1</v>
      </c>
      <c r="AI194">
        <v>5</v>
      </c>
    </row>
    <row r="195" spans="1:35" x14ac:dyDescent="0.25">
      <c r="A195" s="203" t="s">
        <v>266</v>
      </c>
      <c r="B195" s="203" t="s">
        <v>280</v>
      </c>
      <c r="C195" s="203"/>
      <c r="D195" s="203"/>
      <c r="E195" s="203"/>
      <c r="F195" s="203" t="s">
        <v>266</v>
      </c>
      <c r="G195" s="203" t="s">
        <v>266</v>
      </c>
      <c r="H195" s="203" t="s">
        <v>266</v>
      </c>
      <c r="J195" s="203" t="s">
        <v>266</v>
      </c>
      <c r="K195" s="203" t="s">
        <v>266</v>
      </c>
      <c r="L195" s="203" t="s">
        <v>266</v>
      </c>
      <c r="M195" s="203" t="s">
        <v>266</v>
      </c>
      <c r="N195" s="203" t="s">
        <v>266</v>
      </c>
      <c r="O195" s="203" t="s">
        <v>266</v>
      </c>
      <c r="P195" s="203" t="s">
        <v>266</v>
      </c>
      <c r="R195" s="203" t="s">
        <v>266</v>
      </c>
      <c r="S195" s="203" t="s">
        <v>266</v>
      </c>
      <c r="T195" s="203" t="s">
        <v>266</v>
      </c>
      <c r="U195" s="203" t="s">
        <v>266</v>
      </c>
      <c r="V195" s="203" t="s">
        <v>266</v>
      </c>
      <c r="W195" s="203" t="s">
        <v>266</v>
      </c>
      <c r="X195" s="203" t="s">
        <v>266</v>
      </c>
      <c r="Z195" s="203" t="s">
        <v>266</v>
      </c>
      <c r="AA195" s="203" t="s">
        <v>266</v>
      </c>
      <c r="AB195" s="203" t="s">
        <v>266</v>
      </c>
      <c r="AC195" s="203" t="s">
        <v>266</v>
      </c>
      <c r="AD195" s="203" t="s">
        <v>266</v>
      </c>
      <c r="AE195" s="203" t="s">
        <v>266</v>
      </c>
      <c r="AF195" s="203" t="s">
        <v>266</v>
      </c>
      <c r="AH195">
        <v>1</v>
      </c>
      <c r="AI195">
        <v>5</v>
      </c>
    </row>
    <row r="196" spans="1:35" x14ac:dyDescent="0.25">
      <c r="A196" s="203" t="s">
        <v>266</v>
      </c>
      <c r="B196" s="203" t="s">
        <v>280</v>
      </c>
      <c r="C196" s="203"/>
      <c r="D196" s="203"/>
      <c r="E196" s="203"/>
      <c r="F196" s="203" t="s">
        <v>266</v>
      </c>
      <c r="G196" s="203" t="s">
        <v>266</v>
      </c>
      <c r="H196" s="203" t="s">
        <v>266</v>
      </c>
      <c r="J196" s="203" t="s">
        <v>266</v>
      </c>
      <c r="K196" s="203" t="s">
        <v>266</v>
      </c>
      <c r="L196" s="203" t="s">
        <v>266</v>
      </c>
      <c r="M196" s="203" t="s">
        <v>266</v>
      </c>
      <c r="N196" s="203" t="s">
        <v>266</v>
      </c>
      <c r="O196" s="203" t="s">
        <v>266</v>
      </c>
      <c r="P196" s="203" t="s">
        <v>266</v>
      </c>
      <c r="R196" s="203" t="s">
        <v>266</v>
      </c>
      <c r="S196" s="203" t="s">
        <v>266</v>
      </c>
      <c r="T196" s="203" t="s">
        <v>266</v>
      </c>
      <c r="U196" s="203" t="s">
        <v>266</v>
      </c>
      <c r="V196" s="203" t="s">
        <v>266</v>
      </c>
      <c r="W196" s="203" t="s">
        <v>266</v>
      </c>
      <c r="X196" s="203" t="s">
        <v>266</v>
      </c>
      <c r="Z196" s="203" t="s">
        <v>266</v>
      </c>
      <c r="AA196" s="203" t="s">
        <v>266</v>
      </c>
      <c r="AB196" s="203" t="s">
        <v>266</v>
      </c>
      <c r="AC196" s="203" t="s">
        <v>266</v>
      </c>
      <c r="AD196" s="203" t="s">
        <v>266</v>
      </c>
      <c r="AE196" s="203" t="s">
        <v>266</v>
      </c>
      <c r="AF196" s="203" t="s">
        <v>266</v>
      </c>
      <c r="AH196">
        <v>1</v>
      </c>
      <c r="AI196">
        <v>5</v>
      </c>
    </row>
    <row r="197" spans="1:35" ht="15.75" x14ac:dyDescent="0.25">
      <c r="A197" s="203" t="s">
        <v>266</v>
      </c>
      <c r="B197" s="203" t="s">
        <v>280</v>
      </c>
      <c r="C197" s="203"/>
      <c r="D197" s="323"/>
      <c r="E197" s="203"/>
      <c r="F197" s="203" t="s">
        <v>266</v>
      </c>
      <c r="G197" s="203" t="s">
        <v>266</v>
      </c>
      <c r="H197" s="203" t="s">
        <v>266</v>
      </c>
      <c r="J197" s="203" t="s">
        <v>266</v>
      </c>
      <c r="K197" s="203" t="s">
        <v>266</v>
      </c>
      <c r="L197" s="203" t="s">
        <v>266</v>
      </c>
      <c r="M197" s="203" t="s">
        <v>266</v>
      </c>
      <c r="N197" s="203" t="s">
        <v>266</v>
      </c>
      <c r="O197" s="203" t="s">
        <v>266</v>
      </c>
      <c r="P197" s="203" t="s">
        <v>266</v>
      </c>
      <c r="R197" s="203" t="s">
        <v>266</v>
      </c>
      <c r="S197" s="203" t="s">
        <v>266</v>
      </c>
      <c r="T197" s="203" t="s">
        <v>266</v>
      </c>
      <c r="U197" s="203" t="s">
        <v>266</v>
      </c>
      <c r="V197" s="203" t="s">
        <v>266</v>
      </c>
      <c r="W197" s="203" t="s">
        <v>266</v>
      </c>
      <c r="X197" s="203" t="s">
        <v>266</v>
      </c>
      <c r="Z197" s="203" t="s">
        <v>266</v>
      </c>
      <c r="AA197" s="203" t="s">
        <v>266</v>
      </c>
      <c r="AB197" s="203" t="s">
        <v>266</v>
      </c>
      <c r="AC197" s="203" t="s">
        <v>266</v>
      </c>
      <c r="AD197" s="203" t="s">
        <v>266</v>
      </c>
      <c r="AE197" s="203" t="s">
        <v>266</v>
      </c>
      <c r="AF197" s="203" t="s">
        <v>266</v>
      </c>
      <c r="AH197">
        <v>1</v>
      </c>
      <c r="AI197">
        <v>5</v>
      </c>
    </row>
    <row r="198" spans="1:35" x14ac:dyDescent="0.25">
      <c r="A198" s="203" t="s">
        <v>266</v>
      </c>
      <c r="B198" s="203" t="s">
        <v>280</v>
      </c>
      <c r="C198" s="203"/>
      <c r="D198" s="203"/>
      <c r="E198" s="203"/>
      <c r="F198" s="203" t="s">
        <v>266</v>
      </c>
      <c r="G198" s="203" t="s">
        <v>266</v>
      </c>
      <c r="H198" s="203" t="s">
        <v>266</v>
      </c>
      <c r="J198" s="203" t="s">
        <v>266</v>
      </c>
      <c r="K198" s="203" t="s">
        <v>266</v>
      </c>
      <c r="L198" s="203" t="s">
        <v>266</v>
      </c>
      <c r="M198" s="203" t="s">
        <v>266</v>
      </c>
      <c r="N198" s="203" t="s">
        <v>266</v>
      </c>
      <c r="O198" s="203" t="s">
        <v>266</v>
      </c>
      <c r="P198" s="203" t="s">
        <v>266</v>
      </c>
      <c r="R198" s="203" t="s">
        <v>266</v>
      </c>
      <c r="S198" s="203" t="s">
        <v>266</v>
      </c>
      <c r="T198" s="203" t="s">
        <v>266</v>
      </c>
      <c r="U198" s="203" t="s">
        <v>266</v>
      </c>
      <c r="V198" s="203" t="s">
        <v>266</v>
      </c>
      <c r="W198" s="203" t="s">
        <v>266</v>
      </c>
      <c r="X198" s="203" t="s">
        <v>266</v>
      </c>
      <c r="Z198" s="203" t="s">
        <v>266</v>
      </c>
      <c r="AA198" s="203" t="s">
        <v>266</v>
      </c>
      <c r="AB198" s="203" t="s">
        <v>266</v>
      </c>
      <c r="AC198" s="203" t="s">
        <v>266</v>
      </c>
      <c r="AD198" s="203" t="s">
        <v>266</v>
      </c>
      <c r="AE198" s="203" t="s">
        <v>266</v>
      </c>
      <c r="AF198" s="203" t="s">
        <v>266</v>
      </c>
      <c r="AH198">
        <v>1</v>
      </c>
      <c r="AI198">
        <v>5</v>
      </c>
    </row>
    <row r="199" spans="1:35" x14ac:dyDescent="0.25">
      <c r="A199" s="203" t="s">
        <v>266</v>
      </c>
      <c r="B199" s="203" t="s">
        <v>280</v>
      </c>
      <c r="C199" s="203"/>
      <c r="D199" s="203"/>
      <c r="E199" s="203"/>
      <c r="F199" s="203" t="s">
        <v>266</v>
      </c>
      <c r="G199" s="203" t="s">
        <v>266</v>
      </c>
      <c r="H199" s="203" t="s">
        <v>266</v>
      </c>
      <c r="J199" s="203" t="s">
        <v>266</v>
      </c>
      <c r="K199" s="203" t="s">
        <v>266</v>
      </c>
      <c r="L199" s="203" t="s">
        <v>266</v>
      </c>
      <c r="M199" s="203" t="s">
        <v>266</v>
      </c>
      <c r="N199" s="203" t="s">
        <v>266</v>
      </c>
      <c r="O199" s="203" t="s">
        <v>266</v>
      </c>
      <c r="P199" s="203" t="s">
        <v>266</v>
      </c>
      <c r="R199" s="203" t="s">
        <v>266</v>
      </c>
      <c r="S199" s="203" t="s">
        <v>266</v>
      </c>
      <c r="T199" s="203" t="s">
        <v>266</v>
      </c>
      <c r="U199" s="203" t="s">
        <v>266</v>
      </c>
      <c r="V199" s="203" t="s">
        <v>266</v>
      </c>
      <c r="W199" s="203" t="s">
        <v>266</v>
      </c>
      <c r="X199" s="203" t="s">
        <v>266</v>
      </c>
      <c r="Z199" s="203" t="s">
        <v>266</v>
      </c>
      <c r="AA199" s="203" t="s">
        <v>266</v>
      </c>
      <c r="AB199" s="203" t="s">
        <v>266</v>
      </c>
      <c r="AC199" s="203" t="s">
        <v>266</v>
      </c>
      <c r="AD199" s="203" t="s">
        <v>266</v>
      </c>
      <c r="AE199" s="203" t="s">
        <v>266</v>
      </c>
      <c r="AF199" s="203" t="s">
        <v>266</v>
      </c>
      <c r="AH199">
        <v>1</v>
      </c>
      <c r="AI199">
        <v>5</v>
      </c>
    </row>
    <row r="200" spans="1:35" x14ac:dyDescent="0.25">
      <c r="A200" s="203" t="s">
        <v>266</v>
      </c>
      <c r="B200" s="203" t="s">
        <v>280</v>
      </c>
      <c r="C200" s="203"/>
      <c r="D200" s="203"/>
      <c r="E200" s="203"/>
      <c r="F200" s="203" t="s">
        <v>266</v>
      </c>
      <c r="G200" s="203" t="s">
        <v>266</v>
      </c>
      <c r="H200" s="203" t="s">
        <v>266</v>
      </c>
      <c r="J200" s="203" t="s">
        <v>266</v>
      </c>
      <c r="K200" s="203" t="s">
        <v>266</v>
      </c>
      <c r="L200" s="203" t="s">
        <v>266</v>
      </c>
      <c r="M200" s="203" t="s">
        <v>266</v>
      </c>
      <c r="N200" s="203" t="s">
        <v>266</v>
      </c>
      <c r="O200" s="203" t="s">
        <v>266</v>
      </c>
      <c r="P200" s="203" t="s">
        <v>266</v>
      </c>
      <c r="R200" s="203" t="s">
        <v>266</v>
      </c>
      <c r="S200" s="203" t="s">
        <v>266</v>
      </c>
      <c r="T200" s="203" t="s">
        <v>266</v>
      </c>
      <c r="U200" s="203" t="s">
        <v>266</v>
      </c>
      <c r="V200" s="203" t="s">
        <v>266</v>
      </c>
      <c r="W200" s="203" t="s">
        <v>266</v>
      </c>
      <c r="X200" s="203" t="s">
        <v>266</v>
      </c>
      <c r="Z200" s="203" t="s">
        <v>266</v>
      </c>
      <c r="AA200" s="203" t="s">
        <v>266</v>
      </c>
      <c r="AB200" s="203" t="s">
        <v>266</v>
      </c>
      <c r="AC200" s="203" t="s">
        <v>266</v>
      </c>
      <c r="AD200" s="203" t="s">
        <v>266</v>
      </c>
      <c r="AE200" s="203" t="s">
        <v>266</v>
      </c>
      <c r="AF200" s="203" t="s">
        <v>266</v>
      </c>
      <c r="AH200">
        <v>1</v>
      </c>
      <c r="AI200">
        <v>5</v>
      </c>
    </row>
    <row r="201" spans="1:35" x14ac:dyDescent="0.25">
      <c r="A201" s="203" t="s">
        <v>266</v>
      </c>
      <c r="B201" s="203" t="s">
        <v>280</v>
      </c>
      <c r="C201" s="203"/>
      <c r="D201" s="203"/>
      <c r="E201" s="203"/>
      <c r="F201" s="203" t="s">
        <v>266</v>
      </c>
      <c r="G201" s="203" t="s">
        <v>266</v>
      </c>
      <c r="H201" s="203" t="s">
        <v>266</v>
      </c>
      <c r="J201" s="203" t="s">
        <v>266</v>
      </c>
      <c r="K201" s="203" t="s">
        <v>266</v>
      </c>
      <c r="L201" s="203" t="s">
        <v>266</v>
      </c>
      <c r="M201" s="203" t="s">
        <v>266</v>
      </c>
      <c r="N201" s="203" t="s">
        <v>266</v>
      </c>
      <c r="O201" s="203" t="s">
        <v>266</v>
      </c>
      <c r="P201" s="203" t="s">
        <v>266</v>
      </c>
      <c r="R201" s="203" t="s">
        <v>266</v>
      </c>
      <c r="S201" s="203" t="s">
        <v>266</v>
      </c>
      <c r="T201" s="203" t="s">
        <v>266</v>
      </c>
      <c r="U201" s="203" t="s">
        <v>266</v>
      </c>
      <c r="V201" s="203" t="s">
        <v>266</v>
      </c>
      <c r="W201" s="203" t="s">
        <v>266</v>
      </c>
      <c r="X201" s="203" t="s">
        <v>266</v>
      </c>
      <c r="Z201" s="203" t="s">
        <v>266</v>
      </c>
      <c r="AA201" s="203" t="s">
        <v>266</v>
      </c>
      <c r="AB201" s="203" t="s">
        <v>266</v>
      </c>
      <c r="AC201" s="203" t="s">
        <v>266</v>
      </c>
      <c r="AD201" s="203" t="s">
        <v>266</v>
      </c>
      <c r="AE201" s="203" t="s">
        <v>266</v>
      </c>
      <c r="AF201" s="203" t="s">
        <v>266</v>
      </c>
      <c r="AH201">
        <v>1</v>
      </c>
      <c r="AI201">
        <v>5</v>
      </c>
    </row>
    <row r="202" spans="1:35" x14ac:dyDescent="0.25">
      <c r="A202" s="203" t="s">
        <v>266</v>
      </c>
      <c r="B202" s="203" t="s">
        <v>280</v>
      </c>
      <c r="C202" s="203"/>
      <c r="D202" s="203"/>
      <c r="E202" s="203"/>
      <c r="F202" s="203" t="s">
        <v>266</v>
      </c>
      <c r="G202" s="203" t="s">
        <v>266</v>
      </c>
      <c r="H202" s="203" t="s">
        <v>266</v>
      </c>
      <c r="J202" s="203" t="s">
        <v>266</v>
      </c>
      <c r="K202" s="203" t="s">
        <v>266</v>
      </c>
      <c r="L202" s="203" t="s">
        <v>266</v>
      </c>
      <c r="M202" s="203" t="s">
        <v>266</v>
      </c>
      <c r="N202" s="203" t="s">
        <v>266</v>
      </c>
      <c r="O202" s="203" t="s">
        <v>266</v>
      </c>
      <c r="P202" s="203" t="s">
        <v>266</v>
      </c>
      <c r="R202" s="203" t="s">
        <v>266</v>
      </c>
      <c r="S202" s="203" t="s">
        <v>266</v>
      </c>
      <c r="T202" s="203" t="s">
        <v>266</v>
      </c>
      <c r="U202" s="203" t="s">
        <v>266</v>
      </c>
      <c r="V202" s="203" t="s">
        <v>266</v>
      </c>
      <c r="W202" s="203" t="s">
        <v>266</v>
      </c>
      <c r="X202" s="203" t="s">
        <v>266</v>
      </c>
      <c r="Z202" s="203" t="s">
        <v>266</v>
      </c>
      <c r="AA202" s="203" t="s">
        <v>266</v>
      </c>
      <c r="AB202" s="203" t="s">
        <v>266</v>
      </c>
      <c r="AC202" s="203" t="s">
        <v>266</v>
      </c>
      <c r="AD202" s="203" t="s">
        <v>266</v>
      </c>
      <c r="AE202" s="203" t="s">
        <v>266</v>
      </c>
      <c r="AF202" s="203" t="s">
        <v>266</v>
      </c>
      <c r="AH202">
        <v>1</v>
      </c>
      <c r="AI202">
        <v>5</v>
      </c>
    </row>
    <row r="203" spans="1:35" x14ac:dyDescent="0.25">
      <c r="A203" s="203" t="s">
        <v>266</v>
      </c>
      <c r="B203" s="203" t="s">
        <v>280</v>
      </c>
      <c r="C203" s="203"/>
      <c r="D203" s="203"/>
      <c r="E203" s="203"/>
      <c r="F203" s="203" t="s">
        <v>266</v>
      </c>
      <c r="G203" s="203" t="s">
        <v>266</v>
      </c>
      <c r="H203" s="203" t="s">
        <v>266</v>
      </c>
      <c r="J203" s="203" t="s">
        <v>266</v>
      </c>
      <c r="K203" s="203" t="s">
        <v>266</v>
      </c>
      <c r="L203" s="203" t="s">
        <v>266</v>
      </c>
      <c r="M203" s="203" t="s">
        <v>266</v>
      </c>
      <c r="N203" s="203" t="s">
        <v>266</v>
      </c>
      <c r="O203" s="203" t="s">
        <v>266</v>
      </c>
      <c r="P203" s="203" t="s">
        <v>266</v>
      </c>
      <c r="R203" s="203" t="s">
        <v>266</v>
      </c>
      <c r="S203" s="203" t="s">
        <v>266</v>
      </c>
      <c r="T203" s="203" t="s">
        <v>266</v>
      </c>
      <c r="U203" s="203" t="s">
        <v>266</v>
      </c>
      <c r="V203" s="203" t="s">
        <v>266</v>
      </c>
      <c r="W203" s="203" t="s">
        <v>266</v>
      </c>
      <c r="X203" s="203" t="s">
        <v>266</v>
      </c>
      <c r="Z203" s="203" t="s">
        <v>266</v>
      </c>
      <c r="AA203" s="203" t="s">
        <v>266</v>
      </c>
      <c r="AB203" s="203" t="s">
        <v>266</v>
      </c>
      <c r="AC203" s="203" t="s">
        <v>266</v>
      </c>
      <c r="AD203" s="203" t="s">
        <v>266</v>
      </c>
      <c r="AE203" s="203" t="s">
        <v>266</v>
      </c>
      <c r="AF203" s="203" t="s">
        <v>266</v>
      </c>
      <c r="AH203">
        <v>1</v>
      </c>
      <c r="AI203">
        <v>5</v>
      </c>
    </row>
    <row r="204" spans="1:35" x14ac:dyDescent="0.25">
      <c r="A204" s="203" t="s">
        <v>266</v>
      </c>
      <c r="B204" s="203" t="s">
        <v>280</v>
      </c>
      <c r="C204" s="203"/>
      <c r="D204" s="203"/>
      <c r="E204" s="203"/>
      <c r="F204" s="203" t="s">
        <v>266</v>
      </c>
      <c r="G204" s="203" t="s">
        <v>266</v>
      </c>
      <c r="H204" s="203" t="s">
        <v>266</v>
      </c>
      <c r="J204" s="203" t="s">
        <v>266</v>
      </c>
      <c r="K204" s="203" t="s">
        <v>266</v>
      </c>
      <c r="L204" s="203" t="s">
        <v>266</v>
      </c>
      <c r="M204" s="203" t="s">
        <v>266</v>
      </c>
      <c r="N204" s="203" t="s">
        <v>266</v>
      </c>
      <c r="O204" s="203" t="s">
        <v>266</v>
      </c>
      <c r="P204" s="203" t="s">
        <v>266</v>
      </c>
      <c r="R204" s="203" t="s">
        <v>266</v>
      </c>
      <c r="S204" s="203" t="s">
        <v>266</v>
      </c>
      <c r="T204" s="203" t="s">
        <v>266</v>
      </c>
      <c r="U204" s="203" t="s">
        <v>266</v>
      </c>
      <c r="V204" s="203" t="s">
        <v>266</v>
      </c>
      <c r="W204" s="203" t="s">
        <v>266</v>
      </c>
      <c r="X204" s="203" t="s">
        <v>266</v>
      </c>
      <c r="Z204" s="203" t="s">
        <v>266</v>
      </c>
      <c r="AA204" s="203" t="s">
        <v>266</v>
      </c>
      <c r="AB204" s="203" t="s">
        <v>266</v>
      </c>
      <c r="AC204" s="203" t="s">
        <v>266</v>
      </c>
      <c r="AD204" s="203" t="s">
        <v>266</v>
      </c>
      <c r="AE204" s="203" t="s">
        <v>266</v>
      </c>
      <c r="AF204" s="203" t="s">
        <v>266</v>
      </c>
      <c r="AH204">
        <v>1</v>
      </c>
      <c r="AI204">
        <v>5</v>
      </c>
    </row>
    <row r="205" spans="1:35" x14ac:dyDescent="0.25">
      <c r="A205" s="203" t="s">
        <v>266</v>
      </c>
      <c r="B205" s="203" t="s">
        <v>280</v>
      </c>
      <c r="C205" s="203"/>
      <c r="D205" s="203"/>
      <c r="E205" s="203"/>
      <c r="F205" s="203" t="s">
        <v>266</v>
      </c>
      <c r="G205" s="203" t="s">
        <v>266</v>
      </c>
      <c r="H205" s="203" t="s">
        <v>266</v>
      </c>
      <c r="J205" s="203" t="s">
        <v>266</v>
      </c>
      <c r="K205" s="203" t="s">
        <v>266</v>
      </c>
      <c r="L205" s="203" t="s">
        <v>266</v>
      </c>
      <c r="M205" s="203" t="s">
        <v>266</v>
      </c>
      <c r="N205" s="203" t="s">
        <v>266</v>
      </c>
      <c r="O205" s="203" t="s">
        <v>266</v>
      </c>
      <c r="P205" s="203" t="s">
        <v>266</v>
      </c>
      <c r="R205" s="203" t="s">
        <v>266</v>
      </c>
      <c r="S205" s="203" t="s">
        <v>266</v>
      </c>
      <c r="T205" s="203" t="s">
        <v>266</v>
      </c>
      <c r="U205" s="203" t="s">
        <v>266</v>
      </c>
      <c r="V205" s="203" t="s">
        <v>266</v>
      </c>
      <c r="W205" s="203" t="s">
        <v>266</v>
      </c>
      <c r="X205" s="203" t="s">
        <v>266</v>
      </c>
      <c r="Z205" s="203" t="s">
        <v>266</v>
      </c>
      <c r="AA205" s="203" t="s">
        <v>266</v>
      </c>
      <c r="AB205" s="203" t="s">
        <v>266</v>
      </c>
      <c r="AC205" s="203" t="s">
        <v>266</v>
      </c>
      <c r="AD205" s="203" t="s">
        <v>266</v>
      </c>
      <c r="AE205" s="203" t="s">
        <v>266</v>
      </c>
      <c r="AF205" s="203" t="s">
        <v>266</v>
      </c>
      <c r="AH205">
        <v>1</v>
      </c>
      <c r="AI205">
        <v>5</v>
      </c>
    </row>
    <row r="206" spans="1:35" x14ac:dyDescent="0.25">
      <c r="A206" s="203" t="s">
        <v>266</v>
      </c>
      <c r="B206" s="203" t="s">
        <v>280</v>
      </c>
      <c r="C206" s="203"/>
      <c r="D206" s="203"/>
      <c r="E206" s="203"/>
      <c r="F206" s="203" t="s">
        <v>266</v>
      </c>
      <c r="G206" s="203" t="s">
        <v>266</v>
      </c>
      <c r="H206" s="203" t="s">
        <v>266</v>
      </c>
      <c r="J206" s="203" t="s">
        <v>266</v>
      </c>
      <c r="K206" s="203" t="s">
        <v>266</v>
      </c>
      <c r="L206" s="203" t="s">
        <v>266</v>
      </c>
      <c r="M206" s="203" t="s">
        <v>266</v>
      </c>
      <c r="N206" s="203" t="s">
        <v>266</v>
      </c>
      <c r="O206" s="203" t="s">
        <v>266</v>
      </c>
      <c r="P206" s="203" t="s">
        <v>266</v>
      </c>
      <c r="R206" s="203" t="s">
        <v>266</v>
      </c>
      <c r="S206" s="203" t="s">
        <v>266</v>
      </c>
      <c r="T206" s="203" t="s">
        <v>266</v>
      </c>
      <c r="U206" s="203" t="s">
        <v>266</v>
      </c>
      <c r="V206" s="203" t="s">
        <v>266</v>
      </c>
      <c r="W206" s="203" t="s">
        <v>266</v>
      </c>
      <c r="X206" s="203" t="s">
        <v>266</v>
      </c>
      <c r="Z206" s="203" t="s">
        <v>266</v>
      </c>
      <c r="AA206" s="203" t="s">
        <v>266</v>
      </c>
      <c r="AB206" s="203" t="s">
        <v>266</v>
      </c>
      <c r="AC206" s="203" t="s">
        <v>266</v>
      </c>
      <c r="AD206" s="203" t="s">
        <v>266</v>
      </c>
      <c r="AE206" s="203" t="s">
        <v>266</v>
      </c>
      <c r="AF206" s="203" t="s">
        <v>266</v>
      </c>
      <c r="AH206">
        <v>1</v>
      </c>
      <c r="AI206">
        <v>5</v>
      </c>
    </row>
    <row r="207" spans="1:35" x14ac:dyDescent="0.25">
      <c r="A207" s="203" t="s">
        <v>266</v>
      </c>
      <c r="B207" s="203" t="s">
        <v>280</v>
      </c>
      <c r="C207" s="203"/>
      <c r="D207" s="203"/>
      <c r="E207" s="203"/>
      <c r="F207" s="203" t="s">
        <v>266</v>
      </c>
      <c r="G207" s="203" t="s">
        <v>266</v>
      </c>
      <c r="H207" s="203" t="s">
        <v>266</v>
      </c>
      <c r="J207" s="203" t="s">
        <v>266</v>
      </c>
      <c r="K207" s="203" t="s">
        <v>266</v>
      </c>
      <c r="L207" s="203" t="s">
        <v>266</v>
      </c>
      <c r="M207" s="203" t="s">
        <v>266</v>
      </c>
      <c r="N207" s="203" t="s">
        <v>266</v>
      </c>
      <c r="O207" s="203" t="s">
        <v>266</v>
      </c>
      <c r="P207" s="203" t="s">
        <v>266</v>
      </c>
      <c r="R207" s="203" t="s">
        <v>266</v>
      </c>
      <c r="S207" s="203" t="s">
        <v>266</v>
      </c>
      <c r="T207" s="203" t="s">
        <v>266</v>
      </c>
      <c r="U207" s="203" t="s">
        <v>266</v>
      </c>
      <c r="V207" s="203" t="s">
        <v>266</v>
      </c>
      <c r="W207" s="203" t="s">
        <v>266</v>
      </c>
      <c r="X207" s="203" t="s">
        <v>266</v>
      </c>
      <c r="Z207" s="203" t="s">
        <v>266</v>
      </c>
      <c r="AA207" s="203" t="s">
        <v>266</v>
      </c>
      <c r="AB207" s="203" t="s">
        <v>266</v>
      </c>
      <c r="AC207" s="203" t="s">
        <v>266</v>
      </c>
      <c r="AD207" s="203" t="s">
        <v>266</v>
      </c>
      <c r="AE207" s="203" t="s">
        <v>266</v>
      </c>
      <c r="AF207" s="203" t="s">
        <v>266</v>
      </c>
      <c r="AH207">
        <v>1</v>
      </c>
      <c r="AI207">
        <v>5</v>
      </c>
    </row>
    <row r="208" spans="1:35" x14ac:dyDescent="0.25">
      <c r="A208" s="203" t="s">
        <v>266</v>
      </c>
      <c r="B208" s="203" t="s">
        <v>280</v>
      </c>
      <c r="C208" s="203"/>
      <c r="D208" s="203"/>
      <c r="E208" s="203"/>
      <c r="F208" s="203" t="s">
        <v>266</v>
      </c>
      <c r="G208" s="203" t="s">
        <v>266</v>
      </c>
      <c r="H208" s="203" t="s">
        <v>266</v>
      </c>
      <c r="J208" s="203" t="s">
        <v>266</v>
      </c>
      <c r="K208" s="203" t="s">
        <v>266</v>
      </c>
      <c r="L208" s="203" t="s">
        <v>266</v>
      </c>
      <c r="M208" s="203" t="s">
        <v>266</v>
      </c>
      <c r="N208" s="203" t="s">
        <v>266</v>
      </c>
      <c r="O208" s="203" t="s">
        <v>266</v>
      </c>
      <c r="P208" s="203" t="s">
        <v>266</v>
      </c>
      <c r="R208" s="203" t="s">
        <v>266</v>
      </c>
      <c r="S208" s="203" t="s">
        <v>266</v>
      </c>
      <c r="T208" s="203" t="s">
        <v>266</v>
      </c>
      <c r="U208" s="203" t="s">
        <v>266</v>
      </c>
      <c r="V208" s="203" t="s">
        <v>266</v>
      </c>
      <c r="W208" s="203" t="s">
        <v>266</v>
      </c>
      <c r="X208" s="203" t="s">
        <v>266</v>
      </c>
      <c r="Z208" s="203" t="s">
        <v>266</v>
      </c>
      <c r="AA208" s="203" t="s">
        <v>266</v>
      </c>
      <c r="AB208" s="203" t="s">
        <v>266</v>
      </c>
      <c r="AC208" s="203" t="s">
        <v>266</v>
      </c>
      <c r="AD208" s="203" t="s">
        <v>266</v>
      </c>
      <c r="AE208" s="203" t="s">
        <v>266</v>
      </c>
      <c r="AF208" s="203" t="s">
        <v>266</v>
      </c>
      <c r="AH208">
        <v>1</v>
      </c>
      <c r="AI208">
        <v>5</v>
      </c>
    </row>
    <row r="209" spans="1:35" x14ac:dyDescent="0.25">
      <c r="A209" s="203" t="s">
        <v>266</v>
      </c>
      <c r="B209" s="203" t="s">
        <v>280</v>
      </c>
      <c r="C209" s="203"/>
      <c r="D209" s="203"/>
      <c r="E209" s="203"/>
      <c r="F209" s="203" t="s">
        <v>266</v>
      </c>
      <c r="G209" s="203" t="s">
        <v>266</v>
      </c>
      <c r="H209" s="203" t="s">
        <v>266</v>
      </c>
      <c r="J209" s="203" t="s">
        <v>266</v>
      </c>
      <c r="K209" s="203" t="s">
        <v>266</v>
      </c>
      <c r="L209" s="203" t="s">
        <v>266</v>
      </c>
      <c r="M209" s="203" t="s">
        <v>266</v>
      </c>
      <c r="N209" s="203" t="s">
        <v>266</v>
      </c>
      <c r="O209" s="203" t="s">
        <v>266</v>
      </c>
      <c r="P209" s="203" t="s">
        <v>266</v>
      </c>
      <c r="R209" s="203" t="s">
        <v>266</v>
      </c>
      <c r="S209" s="203" t="s">
        <v>266</v>
      </c>
      <c r="T209" s="203" t="s">
        <v>266</v>
      </c>
      <c r="U209" s="203" t="s">
        <v>266</v>
      </c>
      <c r="V209" s="203" t="s">
        <v>266</v>
      </c>
      <c r="W209" s="203" t="s">
        <v>266</v>
      </c>
      <c r="X209" s="203" t="s">
        <v>266</v>
      </c>
      <c r="Z209" s="203" t="s">
        <v>266</v>
      </c>
      <c r="AA209" s="203" t="s">
        <v>266</v>
      </c>
      <c r="AB209" s="203" t="s">
        <v>266</v>
      </c>
      <c r="AC209" s="203" t="s">
        <v>266</v>
      </c>
      <c r="AD209" s="203" t="s">
        <v>266</v>
      </c>
      <c r="AE209" s="203" t="s">
        <v>266</v>
      </c>
      <c r="AF209" s="203" t="s">
        <v>266</v>
      </c>
      <c r="AH209">
        <v>1</v>
      </c>
      <c r="AI209">
        <v>5</v>
      </c>
    </row>
    <row r="210" spans="1:35" x14ac:dyDescent="0.25">
      <c r="A210" s="203" t="s">
        <v>266</v>
      </c>
      <c r="B210" s="203" t="s">
        <v>280</v>
      </c>
      <c r="C210" s="203"/>
      <c r="D210" s="203"/>
      <c r="E210" s="203"/>
      <c r="F210" s="203" t="s">
        <v>266</v>
      </c>
      <c r="G210" s="203" t="s">
        <v>266</v>
      </c>
      <c r="H210" s="203" t="s">
        <v>266</v>
      </c>
      <c r="J210" s="203" t="s">
        <v>266</v>
      </c>
      <c r="K210" s="203" t="s">
        <v>266</v>
      </c>
      <c r="L210" s="203" t="s">
        <v>266</v>
      </c>
      <c r="M210" s="203" t="s">
        <v>266</v>
      </c>
      <c r="N210" s="203" t="s">
        <v>266</v>
      </c>
      <c r="O210" s="203" t="s">
        <v>266</v>
      </c>
      <c r="P210" s="203" t="s">
        <v>266</v>
      </c>
      <c r="R210" s="203" t="s">
        <v>266</v>
      </c>
      <c r="S210" s="203" t="s">
        <v>266</v>
      </c>
      <c r="T210" s="203" t="s">
        <v>266</v>
      </c>
      <c r="U210" s="203" t="s">
        <v>266</v>
      </c>
      <c r="V210" s="203" t="s">
        <v>266</v>
      </c>
      <c r="W210" s="203" t="s">
        <v>266</v>
      </c>
      <c r="X210" s="203" t="s">
        <v>266</v>
      </c>
      <c r="Z210" s="203" t="s">
        <v>266</v>
      </c>
      <c r="AA210" s="203" t="s">
        <v>266</v>
      </c>
      <c r="AB210" s="203" t="s">
        <v>266</v>
      </c>
      <c r="AC210" s="203" t="s">
        <v>266</v>
      </c>
      <c r="AD210" s="203" t="s">
        <v>266</v>
      </c>
      <c r="AE210" s="203" t="s">
        <v>266</v>
      </c>
      <c r="AF210" s="203" t="s">
        <v>266</v>
      </c>
      <c r="AH210">
        <v>1</v>
      </c>
      <c r="AI210">
        <v>5</v>
      </c>
    </row>
    <row r="211" spans="1:35" x14ac:dyDescent="0.25">
      <c r="A211" s="203" t="s">
        <v>266</v>
      </c>
      <c r="B211" s="203" t="s">
        <v>280</v>
      </c>
      <c r="C211" s="203"/>
      <c r="D211" s="203"/>
      <c r="E211" s="203"/>
      <c r="F211" s="203" t="s">
        <v>266</v>
      </c>
      <c r="G211" s="203" t="s">
        <v>266</v>
      </c>
      <c r="H211" s="203" t="s">
        <v>266</v>
      </c>
      <c r="J211" s="203" t="s">
        <v>266</v>
      </c>
      <c r="K211" s="203" t="s">
        <v>266</v>
      </c>
      <c r="L211" s="203" t="s">
        <v>266</v>
      </c>
      <c r="M211" s="203" t="s">
        <v>266</v>
      </c>
      <c r="N211" s="203" t="s">
        <v>266</v>
      </c>
      <c r="O211" s="203" t="s">
        <v>266</v>
      </c>
      <c r="P211" s="203" t="s">
        <v>266</v>
      </c>
      <c r="R211" s="203" t="s">
        <v>266</v>
      </c>
      <c r="S211" s="203" t="s">
        <v>266</v>
      </c>
      <c r="T211" s="203" t="s">
        <v>266</v>
      </c>
      <c r="U211" s="203" t="s">
        <v>266</v>
      </c>
      <c r="V211" s="203" t="s">
        <v>266</v>
      </c>
      <c r="W211" s="203" t="s">
        <v>266</v>
      </c>
      <c r="X211" s="203" t="s">
        <v>266</v>
      </c>
      <c r="Z211" s="203" t="s">
        <v>266</v>
      </c>
      <c r="AA211" s="203" t="s">
        <v>266</v>
      </c>
      <c r="AB211" s="203" t="s">
        <v>266</v>
      </c>
      <c r="AC211" s="203" t="s">
        <v>266</v>
      </c>
      <c r="AD211" s="203" t="s">
        <v>266</v>
      </c>
      <c r="AE211" s="203" t="s">
        <v>266</v>
      </c>
      <c r="AF211" s="203" t="s">
        <v>266</v>
      </c>
      <c r="AH211">
        <v>1</v>
      </c>
      <c r="AI211">
        <v>5</v>
      </c>
    </row>
    <row r="212" spans="1:35" x14ac:dyDescent="0.25">
      <c r="A212" s="203" t="s">
        <v>266</v>
      </c>
      <c r="B212" s="203" t="s">
        <v>280</v>
      </c>
      <c r="C212" s="203"/>
      <c r="D212" s="203"/>
      <c r="E212" s="203"/>
      <c r="F212" s="203" t="s">
        <v>266</v>
      </c>
      <c r="G212" s="203" t="s">
        <v>266</v>
      </c>
      <c r="H212" s="203" t="s">
        <v>266</v>
      </c>
      <c r="J212" s="203" t="s">
        <v>266</v>
      </c>
      <c r="K212" s="203" t="s">
        <v>266</v>
      </c>
      <c r="L212" s="203" t="s">
        <v>266</v>
      </c>
      <c r="M212" s="203" t="s">
        <v>266</v>
      </c>
      <c r="N212" s="203" t="s">
        <v>266</v>
      </c>
      <c r="O212" s="203" t="s">
        <v>266</v>
      </c>
      <c r="P212" s="203" t="s">
        <v>266</v>
      </c>
      <c r="R212" s="203" t="s">
        <v>266</v>
      </c>
      <c r="S212" s="203" t="s">
        <v>266</v>
      </c>
      <c r="T212" s="203" t="s">
        <v>266</v>
      </c>
      <c r="U212" s="203" t="s">
        <v>266</v>
      </c>
      <c r="V212" s="203" t="s">
        <v>266</v>
      </c>
      <c r="W212" s="203" t="s">
        <v>266</v>
      </c>
      <c r="X212" s="203" t="s">
        <v>266</v>
      </c>
      <c r="Z212" s="203" t="s">
        <v>266</v>
      </c>
      <c r="AA212" s="203" t="s">
        <v>266</v>
      </c>
      <c r="AB212" s="203" t="s">
        <v>266</v>
      </c>
      <c r="AC212" s="203" t="s">
        <v>266</v>
      </c>
      <c r="AD212" s="203" t="s">
        <v>266</v>
      </c>
      <c r="AE212" s="203" t="s">
        <v>266</v>
      </c>
      <c r="AF212" s="203" t="s">
        <v>266</v>
      </c>
      <c r="AH212">
        <v>1</v>
      </c>
      <c r="AI212">
        <v>5</v>
      </c>
    </row>
    <row r="213" spans="1:35" x14ac:dyDescent="0.25">
      <c r="A213" s="203" t="s">
        <v>266</v>
      </c>
      <c r="B213" s="203" t="s">
        <v>280</v>
      </c>
      <c r="C213" s="203"/>
      <c r="D213" s="203"/>
      <c r="E213" s="203"/>
      <c r="F213" s="203" t="s">
        <v>266</v>
      </c>
      <c r="G213" s="203" t="s">
        <v>266</v>
      </c>
      <c r="H213" s="203" t="s">
        <v>266</v>
      </c>
      <c r="J213" s="203" t="s">
        <v>266</v>
      </c>
      <c r="K213" s="203" t="s">
        <v>266</v>
      </c>
      <c r="L213" s="203" t="s">
        <v>266</v>
      </c>
      <c r="M213" s="203" t="s">
        <v>266</v>
      </c>
      <c r="N213" s="203" t="s">
        <v>266</v>
      </c>
      <c r="O213" s="203" t="s">
        <v>266</v>
      </c>
      <c r="P213" s="203" t="s">
        <v>266</v>
      </c>
      <c r="R213" s="203" t="s">
        <v>266</v>
      </c>
      <c r="S213" s="203" t="s">
        <v>266</v>
      </c>
      <c r="T213" s="203" t="s">
        <v>266</v>
      </c>
      <c r="U213" s="203" t="s">
        <v>266</v>
      </c>
      <c r="V213" s="203" t="s">
        <v>266</v>
      </c>
      <c r="W213" s="203" t="s">
        <v>266</v>
      </c>
      <c r="X213" s="203" t="s">
        <v>266</v>
      </c>
      <c r="Z213" s="203" t="s">
        <v>266</v>
      </c>
      <c r="AA213" s="203" t="s">
        <v>266</v>
      </c>
      <c r="AB213" s="203" t="s">
        <v>266</v>
      </c>
      <c r="AC213" s="203" t="s">
        <v>266</v>
      </c>
      <c r="AD213" s="203" t="s">
        <v>266</v>
      </c>
      <c r="AE213" s="203" t="s">
        <v>266</v>
      </c>
      <c r="AF213" s="203" t="s">
        <v>266</v>
      </c>
      <c r="AH213">
        <v>1</v>
      </c>
      <c r="AI213">
        <v>5</v>
      </c>
    </row>
    <row r="214" spans="1:35" x14ac:dyDescent="0.25">
      <c r="A214" s="203" t="s">
        <v>266</v>
      </c>
      <c r="B214" s="203" t="s">
        <v>280</v>
      </c>
      <c r="C214" s="203"/>
      <c r="D214" s="203"/>
      <c r="E214" s="203"/>
      <c r="F214" s="203" t="s">
        <v>266</v>
      </c>
      <c r="G214" s="203" t="s">
        <v>266</v>
      </c>
      <c r="H214" s="203" t="s">
        <v>266</v>
      </c>
      <c r="J214" s="203" t="s">
        <v>266</v>
      </c>
      <c r="K214" s="203" t="s">
        <v>266</v>
      </c>
      <c r="L214" s="203" t="s">
        <v>266</v>
      </c>
      <c r="M214" s="203" t="s">
        <v>266</v>
      </c>
      <c r="N214" s="203" t="s">
        <v>266</v>
      </c>
      <c r="O214" s="203" t="s">
        <v>266</v>
      </c>
      <c r="P214" s="203" t="s">
        <v>266</v>
      </c>
      <c r="R214" s="203" t="s">
        <v>266</v>
      </c>
      <c r="S214" s="203" t="s">
        <v>266</v>
      </c>
      <c r="T214" s="203" t="s">
        <v>266</v>
      </c>
      <c r="U214" s="203" t="s">
        <v>266</v>
      </c>
      <c r="V214" s="203" t="s">
        <v>266</v>
      </c>
      <c r="W214" s="203" t="s">
        <v>266</v>
      </c>
      <c r="X214" s="203" t="s">
        <v>266</v>
      </c>
      <c r="Z214" s="203" t="s">
        <v>266</v>
      </c>
      <c r="AA214" s="203" t="s">
        <v>266</v>
      </c>
      <c r="AB214" s="203" t="s">
        <v>266</v>
      </c>
      <c r="AC214" s="203" t="s">
        <v>266</v>
      </c>
      <c r="AD214" s="203" t="s">
        <v>266</v>
      </c>
      <c r="AE214" s="203" t="s">
        <v>266</v>
      </c>
      <c r="AF214" s="203" t="s">
        <v>266</v>
      </c>
      <c r="AH214">
        <v>1</v>
      </c>
      <c r="AI214">
        <v>5</v>
      </c>
    </row>
    <row r="215" spans="1:35" x14ac:dyDescent="0.25">
      <c r="A215" s="203" t="s">
        <v>266</v>
      </c>
      <c r="B215" s="203" t="s">
        <v>280</v>
      </c>
      <c r="C215" s="203"/>
      <c r="D215" s="203"/>
      <c r="E215" s="203"/>
      <c r="F215" s="203" t="s">
        <v>266</v>
      </c>
      <c r="G215" s="203" t="s">
        <v>266</v>
      </c>
      <c r="H215" s="203" t="s">
        <v>266</v>
      </c>
      <c r="J215" s="203" t="s">
        <v>266</v>
      </c>
      <c r="K215" s="203" t="s">
        <v>266</v>
      </c>
      <c r="L215" s="203" t="s">
        <v>266</v>
      </c>
      <c r="M215" s="203" t="s">
        <v>266</v>
      </c>
      <c r="N215" s="203" t="s">
        <v>266</v>
      </c>
      <c r="O215" s="203" t="s">
        <v>266</v>
      </c>
      <c r="P215" s="203" t="s">
        <v>266</v>
      </c>
      <c r="R215" s="203" t="s">
        <v>266</v>
      </c>
      <c r="S215" s="203" t="s">
        <v>266</v>
      </c>
      <c r="T215" s="203" t="s">
        <v>266</v>
      </c>
      <c r="U215" s="203" t="s">
        <v>266</v>
      </c>
      <c r="V215" s="203" t="s">
        <v>266</v>
      </c>
      <c r="W215" s="203" t="s">
        <v>266</v>
      </c>
      <c r="X215" s="203" t="s">
        <v>266</v>
      </c>
      <c r="Z215" s="203" t="s">
        <v>266</v>
      </c>
      <c r="AA215" s="203" t="s">
        <v>266</v>
      </c>
      <c r="AB215" s="203" t="s">
        <v>266</v>
      </c>
      <c r="AC215" s="203" t="s">
        <v>266</v>
      </c>
      <c r="AD215" s="203" t="s">
        <v>266</v>
      </c>
      <c r="AE215" s="203" t="s">
        <v>266</v>
      </c>
      <c r="AF215" s="203" t="s">
        <v>266</v>
      </c>
      <c r="AH215">
        <v>1</v>
      </c>
      <c r="AI215">
        <v>5</v>
      </c>
    </row>
    <row r="216" spans="1:35" x14ac:dyDescent="0.25">
      <c r="A216" s="203" t="s">
        <v>266</v>
      </c>
      <c r="B216" s="203" t="s">
        <v>280</v>
      </c>
      <c r="C216" s="203"/>
      <c r="D216" s="203"/>
      <c r="E216" s="203"/>
      <c r="F216" s="203" t="s">
        <v>266</v>
      </c>
      <c r="G216" s="203" t="s">
        <v>266</v>
      </c>
      <c r="H216" s="203" t="s">
        <v>266</v>
      </c>
      <c r="J216" s="203" t="s">
        <v>266</v>
      </c>
      <c r="K216" s="203" t="s">
        <v>266</v>
      </c>
      <c r="L216" s="203" t="s">
        <v>266</v>
      </c>
      <c r="M216" s="203" t="s">
        <v>266</v>
      </c>
      <c r="N216" s="203" t="s">
        <v>266</v>
      </c>
      <c r="O216" s="203" t="s">
        <v>266</v>
      </c>
      <c r="P216" s="203" t="s">
        <v>266</v>
      </c>
      <c r="R216" s="203" t="s">
        <v>266</v>
      </c>
      <c r="S216" s="203" t="s">
        <v>266</v>
      </c>
      <c r="T216" s="203" t="s">
        <v>266</v>
      </c>
      <c r="U216" s="203" t="s">
        <v>266</v>
      </c>
      <c r="V216" s="203" t="s">
        <v>266</v>
      </c>
      <c r="W216" s="203" t="s">
        <v>266</v>
      </c>
      <c r="X216" s="203" t="s">
        <v>266</v>
      </c>
      <c r="Z216" s="203" t="s">
        <v>266</v>
      </c>
      <c r="AA216" s="203" t="s">
        <v>266</v>
      </c>
      <c r="AB216" s="203" t="s">
        <v>266</v>
      </c>
      <c r="AC216" s="203" t="s">
        <v>266</v>
      </c>
      <c r="AD216" s="203" t="s">
        <v>266</v>
      </c>
      <c r="AE216" s="203" t="s">
        <v>266</v>
      </c>
      <c r="AF216" s="203" t="s">
        <v>266</v>
      </c>
      <c r="AH216">
        <v>1</v>
      </c>
      <c r="AI216">
        <v>5</v>
      </c>
    </row>
    <row r="217" spans="1:35" x14ac:dyDescent="0.25">
      <c r="A217" s="203" t="s">
        <v>266</v>
      </c>
      <c r="B217" s="203" t="s">
        <v>280</v>
      </c>
      <c r="C217" s="203"/>
      <c r="D217" s="203"/>
      <c r="E217" s="203"/>
      <c r="F217" s="203" t="s">
        <v>266</v>
      </c>
      <c r="G217" s="203" t="s">
        <v>266</v>
      </c>
      <c r="H217" s="203" t="s">
        <v>266</v>
      </c>
      <c r="J217" s="203" t="s">
        <v>266</v>
      </c>
      <c r="K217" s="203" t="s">
        <v>266</v>
      </c>
      <c r="L217" s="203" t="s">
        <v>266</v>
      </c>
      <c r="M217" s="203" t="s">
        <v>266</v>
      </c>
      <c r="N217" s="203" t="s">
        <v>266</v>
      </c>
      <c r="O217" s="203" t="s">
        <v>266</v>
      </c>
      <c r="P217" s="203" t="s">
        <v>266</v>
      </c>
      <c r="R217" s="203" t="s">
        <v>266</v>
      </c>
      <c r="S217" s="203" t="s">
        <v>266</v>
      </c>
      <c r="T217" s="203" t="s">
        <v>266</v>
      </c>
      <c r="U217" s="203" t="s">
        <v>266</v>
      </c>
      <c r="V217" s="203" t="s">
        <v>266</v>
      </c>
      <c r="W217" s="203" t="s">
        <v>266</v>
      </c>
      <c r="X217" s="203" t="s">
        <v>266</v>
      </c>
      <c r="Z217" s="203" t="s">
        <v>266</v>
      </c>
      <c r="AA217" s="203" t="s">
        <v>266</v>
      </c>
      <c r="AB217" s="203" t="s">
        <v>266</v>
      </c>
      <c r="AC217" s="203" t="s">
        <v>266</v>
      </c>
      <c r="AD217" s="203" t="s">
        <v>266</v>
      </c>
      <c r="AE217" s="203" t="s">
        <v>266</v>
      </c>
      <c r="AF217" s="203" t="s">
        <v>266</v>
      </c>
      <c r="AH217">
        <v>1</v>
      </c>
      <c r="AI217">
        <v>5</v>
      </c>
    </row>
    <row r="218" spans="1:35" x14ac:dyDescent="0.25">
      <c r="A218" s="203" t="s">
        <v>266</v>
      </c>
      <c r="B218" s="203" t="s">
        <v>280</v>
      </c>
      <c r="C218" s="203"/>
      <c r="D218" s="203"/>
      <c r="E218" s="203"/>
      <c r="F218" s="203" t="s">
        <v>266</v>
      </c>
      <c r="G218" s="203" t="s">
        <v>266</v>
      </c>
      <c r="H218" s="203" t="s">
        <v>266</v>
      </c>
      <c r="J218" s="203" t="s">
        <v>266</v>
      </c>
      <c r="K218" s="203" t="s">
        <v>266</v>
      </c>
      <c r="L218" s="203" t="s">
        <v>266</v>
      </c>
      <c r="M218" s="203" t="s">
        <v>266</v>
      </c>
      <c r="N218" s="203" t="s">
        <v>266</v>
      </c>
      <c r="O218" s="203" t="s">
        <v>266</v>
      </c>
      <c r="P218" s="203" t="s">
        <v>266</v>
      </c>
      <c r="R218" s="203" t="s">
        <v>266</v>
      </c>
      <c r="S218" s="203" t="s">
        <v>266</v>
      </c>
      <c r="T218" s="203" t="s">
        <v>266</v>
      </c>
      <c r="U218" s="203" t="s">
        <v>266</v>
      </c>
      <c r="V218" s="203" t="s">
        <v>266</v>
      </c>
      <c r="W218" s="203" t="s">
        <v>266</v>
      </c>
      <c r="X218" s="203" t="s">
        <v>266</v>
      </c>
      <c r="Z218" s="203" t="s">
        <v>266</v>
      </c>
      <c r="AA218" s="203" t="s">
        <v>266</v>
      </c>
      <c r="AB218" s="203" t="s">
        <v>266</v>
      </c>
      <c r="AC218" s="203" t="s">
        <v>266</v>
      </c>
      <c r="AD218" s="203" t="s">
        <v>266</v>
      </c>
      <c r="AE218" s="203" t="s">
        <v>266</v>
      </c>
      <c r="AF218" s="203" t="s">
        <v>266</v>
      </c>
      <c r="AH218">
        <v>1</v>
      </c>
      <c r="AI218">
        <v>5</v>
      </c>
    </row>
    <row r="219" spans="1:35" x14ac:dyDescent="0.25">
      <c r="A219" s="203" t="s">
        <v>266</v>
      </c>
      <c r="B219" s="203" t="s">
        <v>280</v>
      </c>
      <c r="C219" s="203"/>
      <c r="D219" s="203"/>
      <c r="E219" s="203"/>
      <c r="F219" s="203" t="s">
        <v>266</v>
      </c>
      <c r="G219" s="203" t="s">
        <v>266</v>
      </c>
      <c r="H219" s="203" t="s">
        <v>266</v>
      </c>
      <c r="J219" s="203" t="s">
        <v>266</v>
      </c>
      <c r="K219" s="203" t="s">
        <v>266</v>
      </c>
      <c r="L219" s="203" t="s">
        <v>266</v>
      </c>
      <c r="M219" s="203" t="s">
        <v>266</v>
      </c>
      <c r="N219" s="203" t="s">
        <v>266</v>
      </c>
      <c r="O219" s="203" t="s">
        <v>266</v>
      </c>
      <c r="P219" s="203" t="s">
        <v>266</v>
      </c>
      <c r="R219" s="203" t="s">
        <v>266</v>
      </c>
      <c r="S219" s="203" t="s">
        <v>266</v>
      </c>
      <c r="T219" s="203" t="s">
        <v>266</v>
      </c>
      <c r="U219" s="203" t="s">
        <v>266</v>
      </c>
      <c r="V219" s="203" t="s">
        <v>266</v>
      </c>
      <c r="W219" s="203" t="s">
        <v>266</v>
      </c>
      <c r="X219" s="203" t="s">
        <v>266</v>
      </c>
      <c r="Z219" s="203" t="s">
        <v>266</v>
      </c>
      <c r="AA219" s="203" t="s">
        <v>266</v>
      </c>
      <c r="AB219" s="203" t="s">
        <v>266</v>
      </c>
      <c r="AC219" s="203" t="s">
        <v>266</v>
      </c>
      <c r="AD219" s="203" t="s">
        <v>266</v>
      </c>
      <c r="AE219" s="203" t="s">
        <v>266</v>
      </c>
      <c r="AF219" s="203" t="s">
        <v>266</v>
      </c>
      <c r="AH219">
        <v>1</v>
      </c>
      <c r="AI219">
        <v>5</v>
      </c>
    </row>
    <row r="220" spans="1:35" x14ac:dyDescent="0.25">
      <c r="A220" s="203" t="s">
        <v>266</v>
      </c>
      <c r="B220" s="203" t="s">
        <v>280</v>
      </c>
      <c r="C220" s="203"/>
      <c r="D220" s="203"/>
      <c r="E220" s="203"/>
      <c r="F220" s="203" t="s">
        <v>266</v>
      </c>
      <c r="G220" s="203" t="s">
        <v>266</v>
      </c>
      <c r="H220" s="203" t="s">
        <v>266</v>
      </c>
      <c r="J220" s="203" t="s">
        <v>266</v>
      </c>
      <c r="K220" s="203" t="s">
        <v>266</v>
      </c>
      <c r="L220" s="203" t="s">
        <v>266</v>
      </c>
      <c r="M220" s="203" t="s">
        <v>266</v>
      </c>
      <c r="N220" s="203" t="s">
        <v>266</v>
      </c>
      <c r="O220" s="203" t="s">
        <v>266</v>
      </c>
      <c r="P220" s="203" t="s">
        <v>266</v>
      </c>
      <c r="R220" s="203" t="s">
        <v>266</v>
      </c>
      <c r="S220" s="203" t="s">
        <v>266</v>
      </c>
      <c r="T220" s="203" t="s">
        <v>266</v>
      </c>
      <c r="U220" s="203" t="s">
        <v>266</v>
      </c>
      <c r="V220" s="203" t="s">
        <v>266</v>
      </c>
      <c r="W220" s="203" t="s">
        <v>266</v>
      </c>
      <c r="X220" s="203" t="s">
        <v>266</v>
      </c>
      <c r="Z220" s="203" t="s">
        <v>266</v>
      </c>
      <c r="AA220" s="203" t="s">
        <v>266</v>
      </c>
      <c r="AB220" s="203" t="s">
        <v>266</v>
      </c>
      <c r="AC220" s="203" t="s">
        <v>266</v>
      </c>
      <c r="AD220" s="203" t="s">
        <v>266</v>
      </c>
      <c r="AE220" s="203" t="s">
        <v>266</v>
      </c>
      <c r="AF220" s="203" t="s">
        <v>266</v>
      </c>
      <c r="AH220">
        <v>1</v>
      </c>
      <c r="AI220">
        <v>5</v>
      </c>
    </row>
    <row r="221" spans="1:35" x14ac:dyDescent="0.25">
      <c r="A221" s="203" t="s">
        <v>266</v>
      </c>
      <c r="B221" s="203" t="s">
        <v>280</v>
      </c>
      <c r="C221" s="203"/>
      <c r="D221" s="203"/>
      <c r="E221" s="203"/>
      <c r="F221" s="203" t="s">
        <v>266</v>
      </c>
      <c r="G221" s="203" t="s">
        <v>266</v>
      </c>
      <c r="H221" s="203" t="s">
        <v>266</v>
      </c>
      <c r="J221" s="203" t="s">
        <v>266</v>
      </c>
      <c r="K221" s="203" t="s">
        <v>266</v>
      </c>
      <c r="L221" s="203" t="s">
        <v>266</v>
      </c>
      <c r="M221" s="203" t="s">
        <v>266</v>
      </c>
      <c r="N221" s="203" t="s">
        <v>266</v>
      </c>
      <c r="O221" s="203" t="s">
        <v>266</v>
      </c>
      <c r="P221" s="203" t="s">
        <v>266</v>
      </c>
      <c r="R221" s="203" t="s">
        <v>266</v>
      </c>
      <c r="S221" s="203" t="s">
        <v>266</v>
      </c>
      <c r="T221" s="203" t="s">
        <v>266</v>
      </c>
      <c r="U221" s="203" t="s">
        <v>266</v>
      </c>
      <c r="V221" s="203" t="s">
        <v>266</v>
      </c>
      <c r="W221" s="203" t="s">
        <v>266</v>
      </c>
      <c r="X221" s="203" t="s">
        <v>266</v>
      </c>
      <c r="Z221" s="203" t="s">
        <v>266</v>
      </c>
      <c r="AA221" s="203" t="s">
        <v>266</v>
      </c>
      <c r="AB221" s="203" t="s">
        <v>266</v>
      </c>
      <c r="AC221" s="203" t="s">
        <v>266</v>
      </c>
      <c r="AD221" s="203" t="s">
        <v>266</v>
      </c>
      <c r="AE221" s="203" t="s">
        <v>266</v>
      </c>
      <c r="AF221" s="203" t="s">
        <v>266</v>
      </c>
      <c r="AH221">
        <v>1</v>
      </c>
      <c r="AI221">
        <v>5</v>
      </c>
    </row>
  </sheetData>
  <sheetProtection algorithmName="SHA-512" hashValue="reSZ3HiQ6CtPbc2aFPn8oAvva+DTAg5mDLcP/dlVl02R2EE4h/ULZk2Tr7YD+n44ADtyK1cnm0gSOFmElZT1MA==" saltValue="Tdv0Epj6XH8l8cdA61zk0g==" spinCount="100000" sheet="1" objects="1" scenarios="1"/>
  <sortState xmlns:xlrd2="http://schemas.microsoft.com/office/spreadsheetml/2017/richdata2" ref="A3:AI221">
    <sortCondition ref="AH3:AH221"/>
    <sortCondition ref="AI3:AI221"/>
  </sortState>
  <mergeCells count="5">
    <mergeCell ref="R1:X1"/>
    <mergeCell ref="A1:H1"/>
    <mergeCell ref="Z1:AF1"/>
    <mergeCell ref="AN9:AP10"/>
    <mergeCell ref="J1:P1"/>
  </mergeCells>
  <phoneticPr fontId="6" type="noConversion"/>
  <dataValidations count="4">
    <dataValidation type="list" allowBlank="1" showInputMessage="1" showErrorMessage="1" sqref="A3:A221 Z3:AF221 R3:X221 J3:P221 F3:H221" xr:uid="{5B61A608-A815-47BC-A32F-60ACC08ACF0E}">
      <formula1>"Si, No"</formula1>
    </dataValidation>
    <dataValidation type="list" allowBlank="1" showInputMessage="1" showErrorMessage="1" sqref="B3:B221" xr:uid="{14BA6FA0-37AE-4331-80C3-B8D45436AD23}">
      <formula1>"Gel, Front, Tutto, Cucina, N/A"</formula1>
    </dataValidation>
    <dataValidation type="whole" operator="greaterThanOrEqual" allowBlank="1" showInputMessage="1" showErrorMessage="1" sqref="E56:E221" xr:uid="{CDB528BA-EAC9-46F3-B24C-3323E4569004}">
      <formula1>0</formula1>
    </dataValidation>
    <dataValidation type="textLength" operator="greaterThanOrEqual" allowBlank="1" showInputMessage="1" showErrorMessage="1" sqref="C54:D221" xr:uid="{C51771DF-80D7-44F9-9815-A45D96A6665B}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2" r:id="rId4" name="Button 12">
              <controlPr defaultSize="0" print="0" autoFill="0" autoPict="0" macro="[0]!Update_Workers">
                <anchor moveWithCells="1" sizeWithCells="1">
                  <from>
                    <xdr:col>36</xdr:col>
                    <xdr:colOff>19050</xdr:colOff>
                    <xdr:row>7</xdr:row>
                    <xdr:rowOff>180975</xdr:rowOff>
                  </from>
                  <to>
                    <xdr:col>39</xdr:col>
                    <xdr:colOff>19050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9E20-72ED-44D8-98D4-E982EF1EE42C}">
  <sheetPr codeName="LineareManager">
    <tabColor rgb="FF00B050"/>
    <pageSetUpPr fitToPage="1"/>
  </sheetPr>
  <dimension ref="A1:BY265"/>
  <sheetViews>
    <sheetView tabSelected="1" topLeftCell="B1" zoomScale="40" zoomScaleNormal="40" workbookViewId="0">
      <selection activeCell="F2" sqref="F2:F3"/>
    </sheetView>
  </sheetViews>
  <sheetFormatPr defaultRowHeight="26.25" x14ac:dyDescent="0.4"/>
  <cols>
    <col min="1" max="1" width="35.7109375" customWidth="1"/>
    <col min="2" max="2" width="13.7109375" customWidth="1"/>
    <col min="3" max="4" width="23.5703125" customWidth="1"/>
    <col min="5" max="5" width="9.42578125" customWidth="1"/>
    <col min="6" max="6" width="39.28515625" style="288" customWidth="1"/>
    <col min="7" max="7" width="36.42578125" customWidth="1"/>
    <col min="8" max="72" width="12.7109375" customWidth="1"/>
    <col min="73" max="73" width="2.7109375" customWidth="1"/>
  </cols>
  <sheetData>
    <row r="1" spans="1:77" ht="45" customHeight="1" x14ac:dyDescent="0.25">
      <c r="A1" s="462" t="s">
        <v>284</v>
      </c>
      <c r="B1" s="463"/>
      <c r="C1" s="463"/>
      <c r="D1" s="463"/>
      <c r="E1" s="464"/>
      <c r="F1" s="591" t="s">
        <v>285</v>
      </c>
      <c r="G1" s="592"/>
      <c r="H1" s="39" t="s">
        <v>1</v>
      </c>
      <c r="I1" s="39" t="s">
        <v>62</v>
      </c>
      <c r="J1" s="39" t="s">
        <v>2</v>
      </c>
      <c r="K1" s="39" t="s">
        <v>3</v>
      </c>
      <c r="L1" s="39" t="s">
        <v>4</v>
      </c>
      <c r="M1" s="39" t="s">
        <v>63</v>
      </c>
      <c r="N1" s="39" t="s">
        <v>5</v>
      </c>
      <c r="O1" s="39" t="s">
        <v>64</v>
      </c>
      <c r="P1" s="39" t="s">
        <v>6</v>
      </c>
      <c r="Q1" s="39" t="s">
        <v>65</v>
      </c>
      <c r="R1" s="39" t="s">
        <v>7</v>
      </c>
      <c r="S1" s="39" t="s">
        <v>66</v>
      </c>
      <c r="T1" s="39" t="s">
        <v>8</v>
      </c>
      <c r="U1" s="39" t="s">
        <v>9</v>
      </c>
      <c r="V1" s="39" t="s">
        <v>10</v>
      </c>
      <c r="W1" s="39" t="s">
        <v>11</v>
      </c>
      <c r="X1" s="39" t="s">
        <v>67</v>
      </c>
      <c r="Y1" s="39" t="s">
        <v>12</v>
      </c>
      <c r="Z1" s="39" t="s">
        <v>13</v>
      </c>
      <c r="AA1" s="39" t="s">
        <v>14</v>
      </c>
      <c r="AB1" s="39" t="s">
        <v>68</v>
      </c>
      <c r="AC1" s="39" t="s">
        <v>15</v>
      </c>
      <c r="AD1" s="39" t="s">
        <v>16</v>
      </c>
      <c r="AE1" s="39" t="s">
        <v>17</v>
      </c>
      <c r="AF1" s="39" t="s">
        <v>69</v>
      </c>
      <c r="AG1" s="39" t="s">
        <v>18</v>
      </c>
      <c r="AH1" s="39" t="s">
        <v>70</v>
      </c>
      <c r="AI1" s="39" t="s">
        <v>19</v>
      </c>
      <c r="AJ1" s="39" t="s">
        <v>71</v>
      </c>
      <c r="AK1" s="39" t="s">
        <v>20</v>
      </c>
      <c r="AL1" s="39" t="s">
        <v>72</v>
      </c>
      <c r="AM1" s="39" t="s">
        <v>21</v>
      </c>
      <c r="AN1" s="39" t="s">
        <v>61</v>
      </c>
      <c r="AO1" s="39" t="s">
        <v>22</v>
      </c>
      <c r="AP1" s="39" t="s">
        <v>23</v>
      </c>
      <c r="AQ1" s="39" t="s">
        <v>59</v>
      </c>
      <c r="AR1" s="39" t="s">
        <v>24</v>
      </c>
      <c r="AS1" s="39" t="s">
        <v>25</v>
      </c>
      <c r="AT1" s="39" t="s">
        <v>26</v>
      </c>
      <c r="AU1" s="39" t="s">
        <v>60</v>
      </c>
      <c r="AV1" s="39" t="s">
        <v>27</v>
      </c>
      <c r="AW1" s="39" t="s">
        <v>28</v>
      </c>
      <c r="AX1" s="39" t="s">
        <v>29</v>
      </c>
      <c r="AY1" s="39" t="s">
        <v>56</v>
      </c>
      <c r="AZ1" s="39" t="s">
        <v>30</v>
      </c>
      <c r="BA1" s="39" t="s">
        <v>31</v>
      </c>
      <c r="BB1" s="39" t="s">
        <v>57</v>
      </c>
      <c r="BC1" s="39" t="s">
        <v>32</v>
      </c>
      <c r="BD1" s="39" t="s">
        <v>58</v>
      </c>
      <c r="BE1" s="39" t="s">
        <v>33</v>
      </c>
      <c r="BF1" s="39" t="s">
        <v>74</v>
      </c>
      <c r="BG1" s="39" t="s">
        <v>73</v>
      </c>
      <c r="BH1" s="39" t="s">
        <v>75</v>
      </c>
      <c r="BI1" s="39" t="s">
        <v>76</v>
      </c>
      <c r="BJ1" s="39" t="s">
        <v>55</v>
      </c>
      <c r="BK1" s="39" t="s">
        <v>77</v>
      </c>
      <c r="BL1" s="39" t="s">
        <v>78</v>
      </c>
      <c r="BM1" s="39" t="s">
        <v>79</v>
      </c>
      <c r="BN1" s="39" t="s">
        <v>80</v>
      </c>
      <c r="BO1" s="39" t="s">
        <v>81</v>
      </c>
      <c r="BP1" s="39" t="s">
        <v>82</v>
      </c>
      <c r="BQ1" s="39" t="s">
        <v>83</v>
      </c>
      <c r="BR1" s="39" t="s">
        <v>84</v>
      </c>
      <c r="BS1" s="39" t="s">
        <v>62</v>
      </c>
      <c r="BT1" s="310" t="s">
        <v>3</v>
      </c>
      <c r="BU1" s="40"/>
    </row>
    <row r="2" spans="1:77" ht="32.1" customHeight="1" thickBot="1" x14ac:dyDescent="0.3">
      <c r="A2" s="249"/>
      <c r="B2" s="250"/>
      <c r="C2" s="250"/>
      <c r="D2" s="253"/>
      <c r="E2" s="579" t="str">
        <f>UPPER(TEXT(LUN!A1,"gggg g mmm"))</f>
        <v>LUNEDÌ 18 AGO</v>
      </c>
      <c r="F2" s="587"/>
      <c r="G2" s="593"/>
      <c r="V2" s="91"/>
      <c r="W2" s="91"/>
      <c r="X2" s="145"/>
      <c r="Y2" s="254"/>
      <c r="Z2" s="254"/>
      <c r="AA2" s="254"/>
      <c r="AB2" s="255"/>
      <c r="AC2" s="256"/>
      <c r="AD2" s="254"/>
      <c r="AE2" s="254"/>
      <c r="AF2" s="254"/>
      <c r="AG2" s="257"/>
      <c r="AH2" s="258"/>
      <c r="AI2" s="257"/>
      <c r="AJ2" s="257"/>
      <c r="AK2" s="257"/>
      <c r="AL2" s="257"/>
      <c r="AM2" s="257"/>
      <c r="AN2" s="257"/>
      <c r="AO2" s="259"/>
      <c r="AP2" s="259"/>
      <c r="AQ2" s="254"/>
      <c r="AR2" s="254"/>
      <c r="AS2" s="254"/>
      <c r="AT2" s="254"/>
      <c r="AU2" s="254"/>
      <c r="AV2" s="254"/>
      <c r="AW2" s="254"/>
      <c r="AX2" s="255"/>
      <c r="AY2" s="254"/>
      <c r="AZ2" s="260"/>
      <c r="BA2" s="261"/>
      <c r="BB2" s="260"/>
      <c r="BC2" s="257"/>
      <c r="BD2" s="257"/>
      <c r="BE2" s="257"/>
      <c r="BF2" s="259"/>
      <c r="BG2" s="259"/>
      <c r="BH2" s="257"/>
      <c r="BI2" s="259"/>
      <c r="BJ2" s="259"/>
      <c r="BK2" s="257"/>
      <c r="BL2" s="257"/>
      <c r="BM2" s="257"/>
      <c r="BN2" s="257"/>
      <c r="BO2" s="257"/>
      <c r="BP2" s="257"/>
      <c r="BQ2" s="257"/>
      <c r="BR2" s="257"/>
      <c r="BS2" s="257"/>
      <c r="BT2" s="311"/>
      <c r="BU2" s="130"/>
    </row>
    <row r="3" spans="1:77" s="65" customFormat="1" ht="24.95" customHeight="1" thickBot="1" x14ac:dyDescent="0.4">
      <c r="A3" s="325"/>
      <c r="B3" s="247">
        <f>IFERROR(D3-C3+IF(C3&gt;=D3,1),0)*24</f>
        <v>0</v>
      </c>
      <c r="C3" s="248" t="str">
        <f>IFERROR(TIMEVALUE(INDEX($H$1:$BT$1,MATCH("I",$H3:$BT3,0))),"OFF")</f>
        <v>OFF</v>
      </c>
      <c r="D3" s="248" t="str">
        <f>IFERROR(TIMEVALUE(INDEX($H$1:$BT$1,MATCH("F",$H3:$BT3,0))),"OFF")</f>
        <v>OFF</v>
      </c>
      <c r="E3" s="580"/>
      <c r="F3" s="586"/>
      <c r="G3" s="594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 s="131"/>
      <c r="Y3" s="133"/>
      <c r="Z3" s="133"/>
      <c r="AA3" s="133"/>
      <c r="AB3" s="133"/>
      <c r="AC3" s="133"/>
      <c r="AD3" s="133"/>
      <c r="AE3" s="133"/>
      <c r="AF3" s="133"/>
      <c r="AG3"/>
      <c r="AH3"/>
      <c r="AI3"/>
      <c r="AJ3"/>
      <c r="AK3"/>
      <c r="AL3"/>
      <c r="AM3"/>
      <c r="AN3"/>
      <c r="AO3"/>
      <c r="AP3"/>
      <c r="AQ3" s="133"/>
      <c r="AR3" s="133"/>
      <c r="AS3" s="133"/>
      <c r="AT3" s="133"/>
      <c r="AU3" s="133"/>
      <c r="AV3" s="133"/>
      <c r="AW3" s="133"/>
      <c r="AX3" s="133"/>
      <c r="AY3" s="13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 s="311"/>
      <c r="BU3" s="130"/>
      <c r="BV3"/>
      <c r="BW3"/>
      <c r="BX3"/>
      <c r="BY3"/>
    </row>
    <row r="4" spans="1:77" ht="32.1" customHeight="1" thickBot="1" x14ac:dyDescent="0.3">
      <c r="A4" s="249"/>
      <c r="B4" s="250"/>
      <c r="C4" s="251"/>
      <c r="D4" s="275"/>
      <c r="E4" s="580"/>
      <c r="F4" s="587"/>
      <c r="G4" s="594"/>
      <c r="I4" s="115"/>
      <c r="M4" s="90"/>
      <c r="U4" s="89"/>
      <c r="V4" s="90"/>
      <c r="W4" s="90"/>
      <c r="X4" s="131"/>
      <c r="Y4" s="133"/>
      <c r="Z4" s="133"/>
      <c r="AA4" s="134"/>
      <c r="AB4" s="134"/>
      <c r="AC4" s="133"/>
      <c r="AD4" s="134"/>
      <c r="AE4" s="133"/>
      <c r="AF4" s="133"/>
      <c r="AJ4" s="91"/>
      <c r="AL4" s="91"/>
      <c r="AM4" s="91"/>
      <c r="AN4" s="91"/>
      <c r="AO4" s="135"/>
      <c r="AP4" s="135"/>
      <c r="AQ4" s="136"/>
      <c r="AR4" s="136"/>
      <c r="AS4" s="136"/>
      <c r="AT4" s="85"/>
      <c r="AU4" s="85"/>
      <c r="AV4" s="85"/>
      <c r="AW4" s="133"/>
      <c r="AX4" s="133"/>
      <c r="AY4" s="133"/>
      <c r="BA4" s="91"/>
      <c r="BC4" s="91"/>
      <c r="BD4" s="91"/>
      <c r="BE4" s="135"/>
      <c r="BF4" s="135"/>
      <c r="BI4" s="135"/>
      <c r="BT4" s="311"/>
      <c r="BU4" s="130"/>
    </row>
    <row r="5" spans="1:77" ht="24.95" customHeight="1" thickBot="1" x14ac:dyDescent="0.3">
      <c r="A5" s="325"/>
      <c r="B5" s="247">
        <f>IFERROR(D5-C5+IF(C5&gt;=D5,1),0)*24</f>
        <v>0</v>
      </c>
      <c r="C5" s="248" t="str">
        <f>IFERROR(TIMEVALUE(INDEX($H$1:$BT$1,MATCH("I",$H5:$BT5,0))),"OFF")</f>
        <v>OFF</v>
      </c>
      <c r="D5" s="248" t="str">
        <f>IFERROR(TIMEVALUE(INDEX($H$1:$BT$1,MATCH("F",$H5:$BT5,0))),"OFF")</f>
        <v>OFF</v>
      </c>
      <c r="E5" s="580"/>
      <c r="F5" s="586"/>
      <c r="G5" s="594"/>
      <c r="X5" s="131"/>
      <c r="Y5" s="133"/>
      <c r="Z5" s="133"/>
      <c r="AA5" s="133"/>
      <c r="AB5" s="133"/>
      <c r="AC5" s="133"/>
      <c r="AD5" s="133"/>
      <c r="AE5" s="133"/>
      <c r="AF5" s="133"/>
      <c r="AQ5" s="133"/>
      <c r="AR5" s="133"/>
      <c r="AS5" s="133"/>
      <c r="AT5" s="133"/>
      <c r="AU5" s="133"/>
      <c r="AV5" s="133"/>
      <c r="AW5" s="133"/>
      <c r="AX5" s="133"/>
      <c r="AY5" s="133"/>
      <c r="BT5" s="311"/>
      <c r="BU5" s="130"/>
    </row>
    <row r="6" spans="1:77" ht="32.1" customHeight="1" thickBot="1" x14ac:dyDescent="0.3">
      <c r="A6" s="249"/>
      <c r="B6" s="250"/>
      <c r="C6" s="251"/>
      <c r="D6" s="251"/>
      <c r="E6" s="580"/>
      <c r="F6" s="587"/>
      <c r="G6" s="594"/>
      <c r="U6" s="89"/>
      <c r="X6" s="131"/>
      <c r="Y6" s="133"/>
      <c r="Z6" s="133"/>
      <c r="AA6" s="133"/>
      <c r="AB6" s="133"/>
      <c r="AC6" s="133"/>
      <c r="AD6" s="133"/>
      <c r="AE6" s="133"/>
      <c r="AF6" s="119"/>
      <c r="AG6" s="90"/>
      <c r="AH6" s="119"/>
      <c r="AI6" s="91"/>
      <c r="AJ6" s="91"/>
      <c r="AK6" s="90"/>
      <c r="AL6" s="91"/>
      <c r="AM6" s="91"/>
      <c r="AN6" s="91"/>
      <c r="AO6" s="90"/>
      <c r="AP6" s="90"/>
      <c r="AQ6" s="134"/>
      <c r="AR6" s="134"/>
      <c r="AS6" s="133"/>
      <c r="AT6" s="86"/>
      <c r="AU6" s="133"/>
      <c r="AV6" s="133"/>
      <c r="AW6" s="133"/>
      <c r="AX6" s="133"/>
      <c r="AY6" s="133"/>
      <c r="BB6" s="91"/>
      <c r="BD6" s="91"/>
      <c r="BE6" s="91"/>
      <c r="BT6" s="311"/>
      <c r="BU6" s="130"/>
    </row>
    <row r="7" spans="1:77" ht="24.75" customHeight="1" thickBot="1" x14ac:dyDescent="0.3">
      <c r="A7" s="325"/>
      <c r="B7" s="247">
        <f>IFERROR(D7-C7+IF(C7&gt;=D7,1),0)*24</f>
        <v>0</v>
      </c>
      <c r="C7" s="248" t="str">
        <f>IFERROR(TIMEVALUE(INDEX($H$1:$BT$1,MATCH("I",$H7:$BT7,0))),"OFF")</f>
        <v>OFF</v>
      </c>
      <c r="D7" s="248" t="str">
        <f>IFERROR(TIMEVALUE(INDEX($H$1:$BT$1,MATCH("F",$H7:$BT7,0))),"OFF")</f>
        <v>OFF</v>
      </c>
      <c r="E7" s="580"/>
      <c r="F7" s="586"/>
      <c r="G7" s="594"/>
      <c r="H7" s="289"/>
      <c r="X7" s="131"/>
      <c r="Y7" s="133"/>
      <c r="Z7" s="133"/>
      <c r="AA7" s="133"/>
      <c r="AB7" s="133"/>
      <c r="AC7" s="133"/>
      <c r="AD7" s="133"/>
      <c r="AE7" s="133"/>
      <c r="AF7" s="133"/>
      <c r="AQ7" s="133"/>
      <c r="AR7" s="133"/>
      <c r="AS7" s="133"/>
      <c r="AT7" s="133"/>
      <c r="AU7" s="133"/>
      <c r="AV7" s="133"/>
      <c r="AW7" s="133"/>
      <c r="AX7" s="133"/>
      <c r="AY7" s="133"/>
      <c r="BT7" s="311"/>
      <c r="BU7" s="130"/>
    </row>
    <row r="8" spans="1:77" ht="32.1" customHeight="1" thickBot="1" x14ac:dyDescent="0.3">
      <c r="A8" s="242"/>
      <c r="B8" s="243"/>
      <c r="C8" s="244"/>
      <c r="D8" s="285"/>
      <c r="E8" s="580"/>
      <c r="F8" s="570"/>
      <c r="G8" s="594"/>
      <c r="H8" s="290"/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1"/>
      <c r="V8" s="291"/>
      <c r="W8" s="291"/>
      <c r="X8" s="292"/>
      <c r="Y8" s="292"/>
      <c r="Z8" s="292"/>
      <c r="AA8" s="292"/>
      <c r="AB8" s="293"/>
      <c r="AC8" s="292"/>
      <c r="AD8" s="292"/>
      <c r="AE8" s="292"/>
      <c r="AF8" s="294"/>
      <c r="AG8" s="295"/>
      <c r="AH8" s="295"/>
      <c r="AI8" s="291"/>
      <c r="AJ8" s="291"/>
      <c r="AK8" s="291"/>
      <c r="AL8" s="291"/>
      <c r="AM8" s="295"/>
      <c r="AN8" s="295"/>
      <c r="AO8" s="296"/>
      <c r="AP8" s="296"/>
      <c r="AQ8" s="294"/>
      <c r="AR8" s="297"/>
      <c r="AS8" s="294"/>
      <c r="AT8" s="294"/>
      <c r="AU8" s="294"/>
      <c r="AV8" s="294"/>
      <c r="AW8" s="294"/>
      <c r="AX8" s="294"/>
      <c r="AY8" s="294"/>
      <c r="AZ8" s="291"/>
      <c r="BA8" s="291"/>
      <c r="BB8" s="295"/>
      <c r="BC8" s="298"/>
      <c r="BD8" s="295"/>
      <c r="BE8" s="298"/>
      <c r="BF8" s="291"/>
      <c r="BG8" s="291"/>
      <c r="BH8" s="291"/>
      <c r="BI8" s="291"/>
      <c r="BJ8" s="291"/>
      <c r="BK8" s="291"/>
      <c r="BL8" s="291"/>
      <c r="BM8" s="298"/>
      <c r="BN8" s="298"/>
      <c r="BO8" s="291"/>
      <c r="BP8" s="291"/>
      <c r="BQ8" s="291"/>
      <c r="BR8" s="291"/>
      <c r="BS8" s="291"/>
      <c r="BT8" s="312"/>
      <c r="BU8" s="130"/>
    </row>
    <row r="9" spans="1:77" ht="24.95" customHeight="1" thickBot="1" x14ac:dyDescent="0.3">
      <c r="A9" s="246"/>
      <c r="B9" s="247">
        <f>IFERROR(D9-C9+IF(C9&gt;=D9,1),0)*24</f>
        <v>0</v>
      </c>
      <c r="C9" s="248" t="str">
        <f>IFERROR(TIMEVALUE(INDEX($H$1:$BT$1,MATCH("I",$H9:$BT9,0))),"OFF")</f>
        <v>OFF</v>
      </c>
      <c r="D9" s="248" t="str">
        <f>IFERROR(TIMEVALUE(INDEX($H$1:$BT$1,MATCH("F",$H9:$BT9,0))),"OFF")</f>
        <v>OFF</v>
      </c>
      <c r="E9" s="580"/>
      <c r="F9" s="570"/>
      <c r="G9" s="594"/>
      <c r="W9" s="143"/>
      <c r="X9" s="131"/>
      <c r="Y9" s="131"/>
      <c r="Z9" s="131"/>
      <c r="AA9" s="131"/>
      <c r="AB9" s="131"/>
      <c r="AC9" s="131"/>
      <c r="AD9" s="131"/>
      <c r="AE9" s="131"/>
      <c r="AF9" s="133"/>
      <c r="AQ9" s="133"/>
      <c r="AR9" s="133"/>
      <c r="AS9" s="133"/>
      <c r="AT9" s="133"/>
      <c r="AU9" s="133"/>
      <c r="AV9" s="133"/>
      <c r="AW9" s="133"/>
      <c r="AX9" s="133"/>
      <c r="AY9" s="133"/>
      <c r="BT9" s="311"/>
      <c r="BU9" s="130"/>
    </row>
    <row r="10" spans="1:77" ht="32.1" customHeight="1" thickBot="1" x14ac:dyDescent="0.3">
      <c r="A10" s="252"/>
      <c r="B10" s="250"/>
      <c r="C10" s="251"/>
      <c r="D10" s="251"/>
      <c r="E10" s="580"/>
      <c r="F10" s="570"/>
      <c r="G10" s="594"/>
      <c r="W10" s="143"/>
      <c r="X10" s="144"/>
      <c r="Y10" s="145"/>
      <c r="Z10" s="131"/>
      <c r="AA10" s="131"/>
      <c r="AB10" s="86"/>
      <c r="AC10" s="131"/>
      <c r="AD10" s="145"/>
      <c r="AE10" s="146"/>
      <c r="AF10" s="93"/>
      <c r="AG10" s="90"/>
      <c r="AL10" s="89"/>
      <c r="AO10" s="135"/>
      <c r="AQ10" s="133"/>
      <c r="AR10" s="133"/>
      <c r="AS10" s="133"/>
      <c r="AT10" s="133"/>
      <c r="AU10" s="133"/>
      <c r="AV10" s="86"/>
      <c r="AW10" s="133"/>
      <c r="AX10" s="133"/>
      <c r="AY10" s="133"/>
      <c r="BA10" s="90"/>
      <c r="BT10" s="311"/>
      <c r="BU10" s="130"/>
    </row>
    <row r="11" spans="1:77" ht="24.95" customHeight="1" thickBot="1" x14ac:dyDescent="0.3">
      <c r="A11" s="246"/>
      <c r="B11" s="247">
        <f>IFERROR(D11-C11+IF(C11&gt;=D11,1),0)*24</f>
        <v>0</v>
      </c>
      <c r="C11" s="248" t="str">
        <f>IFERROR(TIMEVALUE(INDEX($H$1:$BT$1,MATCH("I",$H11:$BT11,0))),"OFF")</f>
        <v>OFF</v>
      </c>
      <c r="D11" s="248" t="str">
        <f>IFERROR(TIMEVALUE(INDEX($H$1:$BT$1,MATCH("F",$H11:$BT11,0))),"OFF")</f>
        <v>OFF</v>
      </c>
      <c r="E11" s="580"/>
      <c r="F11" s="570"/>
      <c r="G11" s="594"/>
      <c r="J11" s="147"/>
      <c r="X11" s="133"/>
      <c r="Y11" s="131"/>
      <c r="Z11" s="131"/>
      <c r="AA11" s="131"/>
      <c r="AB11" s="131"/>
      <c r="AC11" s="131"/>
      <c r="AD11" s="131"/>
      <c r="AE11" s="131"/>
      <c r="AF11" s="133"/>
      <c r="AQ11" s="133"/>
      <c r="AR11" s="133"/>
      <c r="AS11" s="133"/>
      <c r="AT11" s="133"/>
      <c r="AU11" s="133"/>
      <c r="AV11" s="133"/>
      <c r="AW11" s="133"/>
      <c r="AX11" s="133"/>
      <c r="AY11" s="133"/>
      <c r="BT11" s="311"/>
      <c r="BU11" s="130"/>
    </row>
    <row r="12" spans="1:77" ht="32.1" customHeight="1" thickBot="1" x14ac:dyDescent="0.3">
      <c r="A12" s="249"/>
      <c r="B12" s="250"/>
      <c r="C12" s="251"/>
      <c r="D12" s="251"/>
      <c r="E12" s="580"/>
      <c r="F12" s="587"/>
      <c r="G12" s="594"/>
      <c r="Q12" s="89"/>
      <c r="U12" s="90"/>
      <c r="V12" s="90"/>
      <c r="W12" s="90"/>
      <c r="X12" s="133"/>
      <c r="Y12" s="133"/>
      <c r="Z12" s="133"/>
      <c r="AA12" s="133"/>
      <c r="AB12" s="86"/>
      <c r="AC12" s="86"/>
      <c r="AD12" s="133"/>
      <c r="AE12" s="133"/>
      <c r="AF12" s="133"/>
      <c r="AH12" s="90"/>
      <c r="AK12" s="91"/>
      <c r="AL12" s="91"/>
      <c r="AO12" s="90"/>
      <c r="AP12" s="91"/>
      <c r="AQ12" s="133"/>
      <c r="AR12" s="86"/>
      <c r="AS12" s="133"/>
      <c r="AT12" s="133"/>
      <c r="AU12" s="92"/>
      <c r="AV12" s="134"/>
      <c r="AW12" s="86"/>
      <c r="AX12" s="86"/>
      <c r="AY12" s="133"/>
      <c r="BA12" s="91"/>
      <c r="BI12" s="89"/>
      <c r="BJ12" s="89"/>
      <c r="BT12" s="311"/>
      <c r="BU12" s="130"/>
    </row>
    <row r="13" spans="1:77" ht="24.95" customHeight="1" thickBot="1" x14ac:dyDescent="0.3">
      <c r="A13" s="246"/>
      <c r="B13" s="247">
        <f>IFERROR(D13-C13+IF(C13&gt;=D13,1),0)*24</f>
        <v>0</v>
      </c>
      <c r="C13" s="248" t="str">
        <f>IFERROR(TIMEVALUE(INDEX($H$1:$BT$1,MATCH("I",$H13:$BT13,0))),"OFF")</f>
        <v>OFF</v>
      </c>
      <c r="D13" s="248" t="str">
        <f>IFERROR(TIMEVALUE(INDEX($H$1:$BT$1,MATCH("F",$H13:$BT13,0))),"OFF")</f>
        <v>OFF</v>
      </c>
      <c r="E13" s="580"/>
      <c r="F13" s="586"/>
      <c r="G13" s="594"/>
      <c r="X13" s="133"/>
      <c r="Y13" s="133"/>
      <c r="Z13" s="133"/>
      <c r="AA13" s="133"/>
      <c r="AB13" s="133"/>
      <c r="AC13" s="133"/>
      <c r="AD13" s="133"/>
      <c r="AE13" s="133"/>
      <c r="AF13" s="133"/>
      <c r="AQ13" s="133"/>
      <c r="AR13" s="133"/>
      <c r="AS13" s="133"/>
      <c r="AT13" s="133"/>
      <c r="AU13" s="133"/>
      <c r="AV13" s="133"/>
      <c r="AW13" s="133"/>
      <c r="AX13" s="133"/>
      <c r="AY13" s="133"/>
      <c r="BT13" s="311"/>
      <c r="BU13" s="130"/>
    </row>
    <row r="14" spans="1:77" ht="32.1" customHeight="1" thickBot="1" x14ac:dyDescent="0.3">
      <c r="A14" s="249"/>
      <c r="B14" s="250"/>
      <c r="C14" s="251"/>
      <c r="D14" s="251"/>
      <c r="E14" s="580"/>
      <c r="F14" s="570"/>
      <c r="G14" s="594"/>
      <c r="X14" s="133"/>
      <c r="Y14" s="133"/>
      <c r="Z14" s="133"/>
      <c r="AA14" s="133"/>
      <c r="AB14" s="133"/>
      <c r="AC14" s="133"/>
      <c r="AD14" s="133"/>
      <c r="AE14" s="133"/>
      <c r="AF14" s="133"/>
      <c r="AH14" s="90"/>
      <c r="AI14" s="55"/>
      <c r="AJ14" s="90"/>
      <c r="AP14" s="90"/>
      <c r="AQ14" s="133"/>
      <c r="AR14" s="133"/>
      <c r="AS14" s="133"/>
      <c r="AT14" s="133"/>
      <c r="AU14" s="133"/>
      <c r="AV14" s="85"/>
      <c r="AW14" s="86"/>
      <c r="AX14" s="86"/>
      <c r="AY14" s="86"/>
      <c r="AZ14" s="91"/>
      <c r="BA14" s="91"/>
      <c r="BB14" s="91"/>
      <c r="BT14" s="311"/>
      <c r="BU14" s="130"/>
    </row>
    <row r="15" spans="1:77" ht="24.75" customHeight="1" thickBot="1" x14ac:dyDescent="0.3">
      <c r="A15" s="246"/>
      <c r="B15" s="247">
        <f>IFERROR(D15-C15+IF(C15&gt;=D15,1),0)*24</f>
        <v>0</v>
      </c>
      <c r="C15" s="248" t="str">
        <f>IFERROR(TIMEVALUE(INDEX($H$1:$BT$1,MATCH("I",$H15:$BT15,0))),"OFF")</f>
        <v>OFF</v>
      </c>
      <c r="D15" s="248" t="str">
        <f>IFERROR(TIMEVALUE(INDEX($H$1:$BT$1,MATCH("F",$H15:$BT15,0))),"OFF")</f>
        <v>OFF</v>
      </c>
      <c r="E15" s="580"/>
      <c r="F15" s="570"/>
      <c r="G15" s="594"/>
      <c r="X15" s="133"/>
      <c r="Y15" s="133"/>
      <c r="Z15" s="133"/>
      <c r="AA15" s="133"/>
      <c r="AB15" s="133"/>
      <c r="AC15" s="133"/>
      <c r="AD15" s="133"/>
      <c r="AE15" s="133"/>
      <c r="AF15" s="133"/>
      <c r="AQ15" s="133"/>
      <c r="AR15" s="133"/>
      <c r="AS15" s="133"/>
      <c r="AT15" s="133"/>
      <c r="AU15" s="133"/>
      <c r="AV15" s="133"/>
      <c r="AW15" s="133"/>
      <c r="AX15" s="133"/>
      <c r="AY15" s="133"/>
      <c r="BT15" s="311"/>
      <c r="BU15" s="130"/>
    </row>
    <row r="16" spans="1:77" ht="32.1" customHeight="1" thickBot="1" x14ac:dyDescent="0.3">
      <c r="A16" s="103"/>
      <c r="B16" s="104"/>
      <c r="C16" s="105"/>
      <c r="D16" s="105"/>
      <c r="E16" s="580"/>
      <c r="F16" s="570"/>
      <c r="G16" s="594"/>
      <c r="Q16" s="89"/>
      <c r="R16" s="89"/>
      <c r="T16" s="89"/>
      <c r="X16" s="133"/>
      <c r="Y16" s="86"/>
      <c r="Z16" s="85"/>
      <c r="AA16" s="86"/>
      <c r="AB16" s="86"/>
      <c r="AC16" s="133"/>
      <c r="AD16" s="86"/>
      <c r="AE16" s="97"/>
      <c r="AF16" s="97"/>
      <c r="AO16" s="135"/>
      <c r="AQ16" s="133"/>
      <c r="AR16" s="133"/>
      <c r="AS16" s="133"/>
      <c r="AT16" s="133"/>
      <c r="AU16" s="133"/>
      <c r="AV16" s="133"/>
      <c r="AW16" s="133"/>
      <c r="AX16" s="133"/>
      <c r="AY16" s="133"/>
      <c r="BT16" s="311"/>
      <c r="BU16" s="130"/>
    </row>
    <row r="17" spans="1:77" ht="24.95" customHeight="1" thickBot="1" x14ac:dyDescent="0.3">
      <c r="A17" s="246"/>
      <c r="B17" s="247">
        <f>IFERROR(D17-C17+IF(C17&gt;=D17,1),0)*24</f>
        <v>0</v>
      </c>
      <c r="C17" s="248" t="str">
        <f>IFERROR(TIMEVALUE(INDEX($H$1:$BT$1,MATCH("I",$H17:$BT17,0))),"OFF")</f>
        <v>OFF</v>
      </c>
      <c r="D17" s="248" t="str">
        <f>IFERROR(TIMEVALUE(INDEX($H$1:$BT$1,MATCH("F",$H17:$BT17,0))),"OFF")</f>
        <v>OFF</v>
      </c>
      <c r="E17" s="580"/>
      <c r="F17" s="570"/>
      <c r="G17" s="594"/>
      <c r="X17" s="133"/>
      <c r="Y17" s="133"/>
      <c r="Z17" s="133"/>
      <c r="AA17" s="133"/>
      <c r="AB17" s="133"/>
      <c r="AC17" s="133"/>
      <c r="AD17" s="133"/>
      <c r="AE17" s="133"/>
      <c r="AF17" s="133"/>
      <c r="AQ17" s="133"/>
      <c r="AR17" s="133"/>
      <c r="AS17" s="133"/>
      <c r="AT17" s="133"/>
      <c r="AU17" s="133"/>
      <c r="AV17" s="133"/>
      <c r="AW17" s="133"/>
      <c r="AX17" s="133"/>
      <c r="AY17" s="133"/>
      <c r="BT17" s="311"/>
      <c r="BU17" s="130"/>
    </row>
    <row r="18" spans="1:77" ht="32.1" customHeight="1" thickBot="1" x14ac:dyDescent="0.3">
      <c r="A18" s="249"/>
      <c r="B18" s="250"/>
      <c r="C18" s="251"/>
      <c r="D18" s="251"/>
      <c r="E18" s="580"/>
      <c r="F18" s="570"/>
      <c r="G18" s="594"/>
      <c r="R18" s="89"/>
      <c r="U18" s="90"/>
      <c r="V18" s="90"/>
      <c r="W18" s="90"/>
      <c r="X18" s="133"/>
      <c r="Y18" s="136"/>
      <c r="Z18" s="86"/>
      <c r="AA18" s="133"/>
      <c r="AB18" s="86"/>
      <c r="AC18" s="133"/>
      <c r="AD18" s="92"/>
      <c r="AE18" s="133"/>
      <c r="AF18" s="133"/>
      <c r="AG18" s="90"/>
      <c r="AJ18" s="91"/>
      <c r="AK18" s="91"/>
      <c r="AL18" s="91"/>
      <c r="AQ18" s="133"/>
      <c r="AR18" s="133"/>
      <c r="AS18" s="133"/>
      <c r="AT18" s="133"/>
      <c r="AU18" s="133"/>
      <c r="AV18" s="133"/>
      <c r="AW18" s="133"/>
      <c r="AX18" s="133"/>
      <c r="AY18" s="85"/>
      <c r="AZ18" s="91"/>
      <c r="BT18" s="311"/>
      <c r="BU18" s="130"/>
    </row>
    <row r="19" spans="1:77" ht="24.95" customHeight="1" thickBot="1" x14ac:dyDescent="0.3">
      <c r="A19" s="246"/>
      <c r="B19" s="247">
        <f>IFERROR(D19-C19+IF(C19&gt;=D19,1),0)*24</f>
        <v>0</v>
      </c>
      <c r="C19" s="248" t="str">
        <f>IFERROR(TIMEVALUE(INDEX($H$1:$BT$1,MATCH("I",$H19:$BT19,0))),"OFF")</f>
        <v>OFF</v>
      </c>
      <c r="D19" s="248" t="str">
        <f>IFERROR(TIMEVALUE(INDEX($H$1:$BT$1,MATCH("F",$H19:$BT19,0))),"OFF")</f>
        <v>OFF</v>
      </c>
      <c r="E19" s="580"/>
      <c r="F19" s="570"/>
      <c r="G19" s="594"/>
      <c r="X19" s="133"/>
      <c r="Y19" s="133"/>
      <c r="Z19" s="133"/>
      <c r="AA19" s="133"/>
      <c r="AB19" s="133"/>
      <c r="AC19" s="133"/>
      <c r="AD19" s="133"/>
      <c r="AE19" s="133"/>
      <c r="AF19" s="133"/>
      <c r="AQ19" s="133"/>
      <c r="AR19" s="133"/>
      <c r="AS19" s="133"/>
      <c r="AT19" s="133"/>
      <c r="AU19" s="133"/>
      <c r="AV19" s="133"/>
      <c r="AW19" s="133"/>
      <c r="AX19" s="133"/>
      <c r="AY19" s="133"/>
      <c r="BT19" s="311"/>
      <c r="BU19" s="130"/>
    </row>
    <row r="20" spans="1:77" ht="32.1" customHeight="1" thickBot="1" x14ac:dyDescent="0.3">
      <c r="A20" s="249"/>
      <c r="B20" s="250"/>
      <c r="C20" s="251"/>
      <c r="D20" s="251"/>
      <c r="E20" s="580"/>
      <c r="F20" s="570"/>
      <c r="G20" s="594"/>
      <c r="X20" s="133"/>
      <c r="Y20" s="133"/>
      <c r="Z20" s="133"/>
      <c r="AA20" s="133"/>
      <c r="AB20" s="133"/>
      <c r="AC20" s="86"/>
      <c r="AD20" s="86"/>
      <c r="AE20" s="133"/>
      <c r="AF20" s="86"/>
      <c r="AG20" s="90"/>
      <c r="AK20" s="91"/>
      <c r="AL20" s="91"/>
      <c r="AM20" s="90"/>
      <c r="AO20" s="91"/>
      <c r="AQ20" s="133"/>
      <c r="AR20" s="92"/>
      <c r="AS20" s="133"/>
      <c r="AT20" s="133"/>
      <c r="AU20" s="133"/>
      <c r="AV20" s="133"/>
      <c r="AW20" s="133"/>
      <c r="AX20" s="133"/>
      <c r="AY20" s="133"/>
      <c r="BT20" s="311"/>
      <c r="BU20" s="130"/>
    </row>
    <row r="21" spans="1:77" ht="24.95" customHeight="1" thickBot="1" x14ac:dyDescent="0.3">
      <c r="A21" s="246"/>
      <c r="B21" s="247">
        <f>IFERROR(D21-C21+IF(C21&gt;=D21,1),0)*24</f>
        <v>0</v>
      </c>
      <c r="C21" s="248" t="str">
        <f>IFERROR(TIMEVALUE(INDEX($H$1:$BT$1,MATCH("I",$H21:$BT21,0))),"OFF")</f>
        <v>OFF</v>
      </c>
      <c r="D21" s="248" t="str">
        <f>IFERROR(TIMEVALUE(INDEX($H$1:$BT$1,MATCH("F",$H21:$BT21,0))),"OFF")</f>
        <v>OFF</v>
      </c>
      <c r="E21" s="580"/>
      <c r="F21" s="570"/>
      <c r="G21" s="594"/>
      <c r="X21" s="133"/>
      <c r="Y21" s="133"/>
      <c r="Z21" s="133"/>
      <c r="AA21" s="133"/>
      <c r="AB21" s="133"/>
      <c r="AC21" s="133"/>
      <c r="AD21" s="133"/>
      <c r="AE21" s="133"/>
      <c r="AF21" s="133"/>
      <c r="AQ21" s="133"/>
      <c r="AR21" s="133"/>
      <c r="AS21" s="133"/>
      <c r="AT21" s="133"/>
      <c r="AU21" s="133"/>
      <c r="AV21" s="133"/>
      <c r="AW21" s="133"/>
      <c r="AX21" s="133"/>
      <c r="AY21" s="133"/>
      <c r="BT21" s="311"/>
      <c r="BU21" s="130"/>
    </row>
    <row r="22" spans="1:77" ht="32.1" customHeight="1" thickBot="1" x14ac:dyDescent="0.3">
      <c r="A22" s="98"/>
      <c r="B22" s="99"/>
      <c r="C22" s="100"/>
      <c r="D22" s="100"/>
      <c r="E22" s="581"/>
      <c r="F22" s="286"/>
      <c r="G22" s="594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9"/>
      <c r="Y22" s="149"/>
      <c r="Z22" s="149"/>
      <c r="AA22" s="149"/>
      <c r="AB22" s="149"/>
      <c r="AC22" s="149"/>
      <c r="AD22" s="149"/>
      <c r="AE22" s="149"/>
      <c r="AF22" s="149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9"/>
      <c r="AR22" s="149"/>
      <c r="AS22" s="149"/>
      <c r="AT22" s="149"/>
      <c r="AU22" s="149"/>
      <c r="AV22" s="149"/>
      <c r="AW22" s="150"/>
      <c r="AX22" s="150"/>
      <c r="AY22" s="149"/>
      <c r="AZ22" s="148"/>
      <c r="BA22" s="113"/>
      <c r="BB22" s="148"/>
      <c r="BC22" s="148"/>
      <c r="BD22" s="148"/>
      <c r="BE22" s="113"/>
      <c r="BF22" s="148"/>
      <c r="BG22" s="113"/>
      <c r="BH22" s="148"/>
      <c r="BI22" s="148"/>
      <c r="BJ22" s="148"/>
      <c r="BK22" s="148"/>
      <c r="BL22" s="148"/>
      <c r="BM22" s="148"/>
      <c r="BN22" s="148"/>
      <c r="BO22" s="148"/>
      <c r="BP22" s="148"/>
      <c r="BQ22" s="148"/>
      <c r="BR22" s="148"/>
      <c r="BS22" s="148"/>
      <c r="BT22" s="313"/>
      <c r="BU22" s="130"/>
    </row>
    <row r="23" spans="1:77" ht="32.1" customHeight="1" x14ac:dyDescent="0.25">
      <c r="A23" s="103"/>
      <c r="B23" s="104"/>
      <c r="C23" s="104"/>
      <c r="D23" s="245"/>
      <c r="E23" s="579" t="str">
        <f>UPPER(TEXT(LUN!A1+1,"gggg g mmm"))</f>
        <v>MARTEDÌ 19 AGO</v>
      </c>
      <c r="F23" s="585"/>
      <c r="G23" s="595"/>
      <c r="V23" s="91"/>
      <c r="W23" s="91"/>
      <c r="X23" s="145"/>
      <c r="Y23" s="133"/>
      <c r="Z23" s="133"/>
      <c r="AA23" s="133"/>
      <c r="AB23" s="86"/>
      <c r="AC23" s="314"/>
      <c r="AD23" s="133"/>
      <c r="AE23" s="133"/>
      <c r="AF23" s="133"/>
      <c r="AH23" s="315"/>
      <c r="AO23" s="135"/>
      <c r="AP23" s="135"/>
      <c r="AQ23" s="133"/>
      <c r="AR23" s="133"/>
      <c r="AS23" s="133"/>
      <c r="AT23" s="133"/>
      <c r="AU23" s="133"/>
      <c r="AV23" s="133"/>
      <c r="AW23" s="133"/>
      <c r="AX23" s="86"/>
      <c r="AY23" s="133"/>
      <c r="AZ23" s="91"/>
      <c r="BA23" s="90"/>
      <c r="BB23" s="91"/>
      <c r="BF23" s="135"/>
      <c r="BG23" s="135"/>
      <c r="BI23" s="135"/>
      <c r="BJ23" s="135"/>
      <c r="BT23" s="311"/>
      <c r="BU23" s="130"/>
    </row>
    <row r="24" spans="1:77" s="65" customFormat="1" ht="24.95" customHeight="1" x14ac:dyDescent="0.35">
      <c r="A24" s="325"/>
      <c r="B24" s="247">
        <f>IFERROR(D24-C24+IF(C24&gt;=D24,1),0)*24</f>
        <v>0</v>
      </c>
      <c r="C24" s="248" t="str">
        <f>IFERROR(TIMEVALUE(INDEX($H$1:$BT$1,MATCH("I",$H24:$BT24,0))),"OFF")</f>
        <v>OFF</v>
      </c>
      <c r="D24" s="248" t="str">
        <f>IFERROR(TIMEVALUE(INDEX($H$1:$BT$1,MATCH("F",$H24:$BT24,0))),"OFF")</f>
        <v>OFF</v>
      </c>
      <c r="E24" s="580"/>
      <c r="F24" s="586"/>
      <c r="G24" s="596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 s="131"/>
      <c r="Y24" s="133"/>
      <c r="Z24" s="133"/>
      <c r="AA24" s="133"/>
      <c r="AB24" s="133"/>
      <c r="AC24" s="133"/>
      <c r="AD24" s="133"/>
      <c r="AE24" s="133"/>
      <c r="AF24" s="133"/>
      <c r="AG24"/>
      <c r="AH24"/>
      <c r="AI24" s="133"/>
      <c r="AJ24"/>
      <c r="AK24"/>
      <c r="AL24"/>
      <c r="AM24"/>
      <c r="AN24"/>
      <c r="AO24"/>
      <c r="AP24"/>
      <c r="AQ24" s="133"/>
      <c r="AR24" s="133"/>
      <c r="AS24" s="133"/>
      <c r="AT24" s="133"/>
      <c r="AU24" s="133"/>
      <c r="AV24" s="133"/>
      <c r="AW24" s="133"/>
      <c r="AX24" s="133"/>
      <c r="AY24" s="133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 s="311"/>
      <c r="BU24" s="130"/>
      <c r="BV24"/>
      <c r="BW24"/>
      <c r="BX24"/>
      <c r="BY24"/>
    </row>
    <row r="25" spans="1:77" ht="32.1" customHeight="1" x14ac:dyDescent="0.25">
      <c r="A25" s="249"/>
      <c r="B25" s="250"/>
      <c r="C25" s="251"/>
      <c r="D25" s="275"/>
      <c r="E25" s="580"/>
      <c r="F25" s="587"/>
      <c r="G25" s="596"/>
      <c r="H25" s="289"/>
      <c r="M25" s="90"/>
      <c r="R25" s="119"/>
      <c r="U25" s="89"/>
      <c r="V25" s="90"/>
      <c r="W25" s="90"/>
      <c r="X25" s="131"/>
      <c r="Y25" s="133"/>
      <c r="Z25" s="133"/>
      <c r="AA25" s="134"/>
      <c r="AB25" s="134"/>
      <c r="AC25" s="133"/>
      <c r="AD25" s="134"/>
      <c r="AE25" s="133"/>
      <c r="AF25" s="133"/>
      <c r="AJ25" s="91"/>
      <c r="AL25" s="91"/>
      <c r="AM25" s="91"/>
      <c r="AN25" s="91"/>
      <c r="AO25" s="135"/>
      <c r="AP25" s="135"/>
      <c r="AQ25" s="136"/>
      <c r="AR25" s="136"/>
      <c r="AS25" s="136"/>
      <c r="AT25" s="85"/>
      <c r="AU25" s="85"/>
      <c r="AV25" s="85"/>
      <c r="AW25" s="133"/>
      <c r="AX25" s="133"/>
      <c r="AY25" s="133"/>
      <c r="BA25" s="91"/>
      <c r="BC25" s="91"/>
      <c r="BD25" s="91"/>
      <c r="BE25" s="135"/>
      <c r="BF25" s="135"/>
      <c r="BI25" s="135"/>
      <c r="BT25" s="311"/>
      <c r="BU25" s="130"/>
    </row>
    <row r="26" spans="1:77" ht="24.95" customHeight="1" x14ac:dyDescent="0.25">
      <c r="A26" s="325"/>
      <c r="B26" s="247">
        <f>IFERROR(D26-C26+IF(C26&gt;=D26,1),0)*24</f>
        <v>0</v>
      </c>
      <c r="C26" s="248" t="str">
        <f>IFERROR(TIMEVALUE(INDEX($H$1:$BT$1,MATCH("I",$H26:$BT26,0))),"OFF")</f>
        <v>OFF</v>
      </c>
      <c r="D26" s="248" t="str">
        <f>IFERROR(TIMEVALUE(INDEX($H$1:$BT$1,MATCH("F",$H26:$BT26,0))),"OFF")</f>
        <v>OFF</v>
      </c>
      <c r="E26" s="580"/>
      <c r="F26" s="586"/>
      <c r="G26" s="596"/>
      <c r="H26" s="289"/>
      <c r="X26" s="131"/>
      <c r="Y26" s="133"/>
      <c r="Z26" s="133"/>
      <c r="AA26" s="133"/>
      <c r="AB26" s="133"/>
      <c r="AC26" s="133"/>
      <c r="AD26" s="133"/>
      <c r="AE26" s="133"/>
      <c r="AF26" s="133"/>
      <c r="AQ26" s="133"/>
      <c r="AR26" s="133"/>
      <c r="AS26" s="133"/>
      <c r="AT26" s="133"/>
      <c r="AU26" s="133"/>
      <c r="AV26" s="133"/>
      <c r="AW26" s="133"/>
      <c r="AX26" s="133"/>
      <c r="AY26" s="133"/>
      <c r="BT26" s="311"/>
      <c r="BU26" s="130"/>
    </row>
    <row r="27" spans="1:77" ht="32.1" customHeight="1" x14ac:dyDescent="0.25">
      <c r="A27" s="249"/>
      <c r="B27" s="250"/>
      <c r="C27" s="251"/>
      <c r="D27" s="251"/>
      <c r="E27" s="580"/>
      <c r="F27" s="587"/>
      <c r="G27" s="596"/>
      <c r="H27" s="289"/>
      <c r="U27" s="115"/>
      <c r="X27" s="131"/>
      <c r="Y27" s="133"/>
      <c r="Z27" s="133"/>
      <c r="AA27" s="133"/>
      <c r="AB27" s="133"/>
      <c r="AC27" s="133"/>
      <c r="AD27" s="133"/>
      <c r="AE27" s="133"/>
      <c r="AF27" s="119"/>
      <c r="AG27" s="90"/>
      <c r="AH27" s="119"/>
      <c r="AI27" s="91"/>
      <c r="AJ27" s="91"/>
      <c r="AK27" s="90"/>
      <c r="AL27" s="91"/>
      <c r="AM27" s="91"/>
      <c r="AN27" s="91"/>
      <c r="AO27" s="90"/>
      <c r="AP27" s="90"/>
      <c r="AQ27" s="134"/>
      <c r="AR27" s="134"/>
      <c r="AS27" s="133"/>
      <c r="AT27" s="86"/>
      <c r="AU27" s="133"/>
      <c r="AV27" s="133"/>
      <c r="AW27" s="133"/>
      <c r="AX27" s="133"/>
      <c r="AY27" s="133"/>
      <c r="BB27" s="91"/>
      <c r="BD27" s="91"/>
      <c r="BE27" s="91"/>
      <c r="BT27" s="311"/>
      <c r="BU27" s="130"/>
    </row>
    <row r="28" spans="1:77" ht="24.75" customHeight="1" x14ac:dyDescent="0.25">
      <c r="A28" s="325"/>
      <c r="B28" s="247">
        <f>IFERROR(D28-C28+IF(C28&gt;=D28,1),0)*24</f>
        <v>0</v>
      </c>
      <c r="C28" s="248" t="str">
        <f>IFERROR(TIMEVALUE(INDEX($H$1:$BT$1,MATCH("I",$H28:$BT28,0))),"OFF")</f>
        <v>OFF</v>
      </c>
      <c r="D28" s="248" t="str">
        <f>IFERROR(TIMEVALUE(INDEX($H$1:$BT$1,MATCH("F",$H28:$BT28,0))),"OFF")</f>
        <v>OFF</v>
      </c>
      <c r="E28" s="580"/>
      <c r="F28" s="586"/>
      <c r="G28" s="596"/>
      <c r="H28" s="289"/>
      <c r="X28" s="131"/>
      <c r="Y28" s="133"/>
      <c r="Z28" s="133"/>
      <c r="AA28" s="133"/>
      <c r="AB28" s="133"/>
      <c r="AC28" s="133"/>
      <c r="AD28" s="133"/>
      <c r="AE28" s="133"/>
      <c r="AF28" s="133"/>
      <c r="AQ28" s="133"/>
      <c r="AR28" s="133"/>
      <c r="AS28" s="133"/>
      <c r="AT28" s="133"/>
      <c r="AU28" s="133"/>
      <c r="AV28" s="133"/>
      <c r="AW28" s="133"/>
      <c r="AX28" s="133"/>
      <c r="AY28" s="133"/>
      <c r="BT28" s="311"/>
      <c r="BU28" s="130"/>
    </row>
    <row r="29" spans="1:77" ht="32.1" customHeight="1" x14ac:dyDescent="0.25">
      <c r="A29" s="242"/>
      <c r="B29" s="243"/>
      <c r="C29" s="244"/>
      <c r="D29" s="285"/>
      <c r="E29" s="580"/>
      <c r="F29" s="570"/>
      <c r="G29" s="596"/>
      <c r="H29" s="290"/>
      <c r="I29" s="291"/>
      <c r="J29" s="291"/>
      <c r="K29" s="291"/>
      <c r="L29" s="291"/>
      <c r="M29" s="291"/>
      <c r="N29" s="291"/>
      <c r="O29" s="291"/>
      <c r="P29" s="291"/>
      <c r="Q29" s="291"/>
      <c r="R29" s="299"/>
      <c r="S29" s="291"/>
      <c r="T29" s="291"/>
      <c r="U29" s="291"/>
      <c r="V29" s="291"/>
      <c r="W29" s="291"/>
      <c r="X29" s="292"/>
      <c r="Y29" s="292"/>
      <c r="Z29" s="292"/>
      <c r="AA29" s="292"/>
      <c r="AB29" s="293"/>
      <c r="AC29" s="292"/>
      <c r="AD29" s="292"/>
      <c r="AE29" s="292"/>
      <c r="AF29" s="294"/>
      <c r="AG29" s="295"/>
      <c r="AH29" s="295"/>
      <c r="AI29" s="291"/>
      <c r="AJ29" s="291"/>
      <c r="AK29" s="291"/>
      <c r="AL29" s="291"/>
      <c r="AM29" s="295"/>
      <c r="AN29" s="295"/>
      <c r="AO29" s="296"/>
      <c r="AP29" s="296"/>
      <c r="AQ29" s="294"/>
      <c r="AR29" s="297"/>
      <c r="AS29" s="294"/>
      <c r="AT29" s="294"/>
      <c r="AU29" s="294"/>
      <c r="AV29" s="294"/>
      <c r="AW29" s="294"/>
      <c r="AX29" s="294"/>
      <c r="AY29" s="294"/>
      <c r="AZ29" s="291"/>
      <c r="BA29" s="291"/>
      <c r="BB29" s="295"/>
      <c r="BC29" s="298"/>
      <c r="BD29" s="295"/>
      <c r="BE29" s="298"/>
      <c r="BF29" s="291"/>
      <c r="BG29" s="291"/>
      <c r="BH29" s="291"/>
      <c r="BI29" s="291"/>
      <c r="BJ29" s="291"/>
      <c r="BK29" s="291"/>
      <c r="BL29" s="291"/>
      <c r="BM29" s="298"/>
      <c r="BN29" s="298"/>
      <c r="BO29" s="291"/>
      <c r="BP29" s="291"/>
      <c r="BQ29" s="291"/>
      <c r="BR29" s="291"/>
      <c r="BS29" s="291"/>
      <c r="BT29" s="312"/>
      <c r="BU29" s="130"/>
    </row>
    <row r="30" spans="1:77" ht="24.95" customHeight="1" x14ac:dyDescent="0.25">
      <c r="A30" s="246"/>
      <c r="B30" s="247">
        <f>IFERROR(D30-C30+IF(C30&gt;=D30,1),0)*24</f>
        <v>0</v>
      </c>
      <c r="C30" s="248" t="str">
        <f>IFERROR(TIMEVALUE(INDEX($H$1:$BT$1,MATCH("I",$H30:$BT30,0))),"OFF")</f>
        <v>OFF</v>
      </c>
      <c r="D30" s="248" t="str">
        <f>IFERROR(TIMEVALUE(INDEX($H$1:$BT$1,MATCH("F",$H30:$BT30,0))),"OFF")</f>
        <v>OFF</v>
      </c>
      <c r="E30" s="580"/>
      <c r="F30" s="570"/>
      <c r="G30" s="596"/>
      <c r="W30" s="143"/>
      <c r="X30" s="131"/>
      <c r="Y30" s="131"/>
      <c r="Z30" s="131"/>
      <c r="AA30" s="131"/>
      <c r="AB30" s="131"/>
      <c r="AC30" s="131"/>
      <c r="AD30" s="131"/>
      <c r="AE30" s="131"/>
      <c r="AF30" s="133"/>
      <c r="AQ30" s="133"/>
      <c r="AR30" s="133"/>
      <c r="AS30" s="133"/>
      <c r="AT30" s="133"/>
      <c r="AU30" s="133"/>
      <c r="AV30" s="133"/>
      <c r="AW30" s="133"/>
      <c r="AX30" s="133"/>
      <c r="AY30" s="133"/>
      <c r="BT30" s="311"/>
      <c r="BU30" s="130"/>
    </row>
    <row r="31" spans="1:77" ht="32.1" customHeight="1" x14ac:dyDescent="0.25">
      <c r="A31" s="252"/>
      <c r="B31" s="250"/>
      <c r="C31" s="251"/>
      <c r="D31" s="251"/>
      <c r="E31" s="580"/>
      <c r="F31" s="570"/>
      <c r="G31" s="596"/>
      <c r="W31" s="143"/>
      <c r="X31" s="144"/>
      <c r="Y31" s="145"/>
      <c r="Z31" s="131"/>
      <c r="AA31" s="131"/>
      <c r="AB31" s="86"/>
      <c r="AC31" s="131"/>
      <c r="AD31" s="145"/>
      <c r="AE31" s="146"/>
      <c r="AF31" s="93"/>
      <c r="AG31" s="90"/>
      <c r="AL31" s="89"/>
      <c r="AO31" s="135"/>
      <c r="AQ31" s="133"/>
      <c r="AR31" s="133"/>
      <c r="AS31" s="133"/>
      <c r="AT31" s="133"/>
      <c r="AU31" s="133"/>
      <c r="AV31" s="86"/>
      <c r="AW31" s="133"/>
      <c r="AX31" s="133"/>
      <c r="AY31" s="133"/>
      <c r="BA31" s="90"/>
      <c r="BT31" s="311"/>
      <c r="BU31" s="130"/>
    </row>
    <row r="32" spans="1:77" ht="24.95" customHeight="1" x14ac:dyDescent="0.25">
      <c r="A32" s="246"/>
      <c r="B32" s="247">
        <f>IFERROR(D32-C32+IF(C32&gt;=D32,1),0)*24</f>
        <v>0</v>
      </c>
      <c r="C32" s="248" t="str">
        <f>IFERROR(TIMEVALUE(INDEX($H$1:$BT$1,MATCH("I",$H32:$BT32,0))),"OFF")</f>
        <v>OFF</v>
      </c>
      <c r="D32" s="248" t="str">
        <f>IFERROR(TIMEVALUE(INDEX($H$1:$BT$1,MATCH("F",$H32:$BT32,0))),"OFF")</f>
        <v>OFF</v>
      </c>
      <c r="E32" s="580"/>
      <c r="F32" s="570"/>
      <c r="G32" s="596"/>
      <c r="J32" s="147"/>
      <c r="X32" s="133"/>
      <c r="Y32" s="131"/>
      <c r="Z32" s="131"/>
      <c r="AA32" s="131"/>
      <c r="AB32" s="131"/>
      <c r="AC32" s="131"/>
      <c r="AD32" s="131"/>
      <c r="AE32" s="131"/>
      <c r="AF32" s="133"/>
      <c r="AQ32" s="133"/>
      <c r="AR32" s="133"/>
      <c r="AS32" s="133"/>
      <c r="AT32" s="133"/>
      <c r="AU32" s="133"/>
      <c r="AV32" s="133"/>
      <c r="AW32" s="133"/>
      <c r="AX32" s="133"/>
      <c r="AY32" s="133"/>
      <c r="BT32" s="311"/>
      <c r="BU32" s="130"/>
    </row>
    <row r="33" spans="1:77" ht="32.1" customHeight="1" x14ac:dyDescent="0.25">
      <c r="A33" s="249"/>
      <c r="B33" s="250"/>
      <c r="C33" s="251"/>
      <c r="D33" s="251"/>
      <c r="E33" s="580"/>
      <c r="F33" s="570"/>
      <c r="G33" s="596"/>
      <c r="Q33" s="89"/>
      <c r="U33" s="90"/>
      <c r="V33" s="90"/>
      <c r="W33" s="90"/>
      <c r="X33" s="133"/>
      <c r="Y33" s="133"/>
      <c r="Z33" s="133"/>
      <c r="AA33" s="133"/>
      <c r="AB33" s="86"/>
      <c r="AC33" s="86"/>
      <c r="AD33" s="133"/>
      <c r="AE33" s="133"/>
      <c r="AF33" s="133"/>
      <c r="AH33" s="90"/>
      <c r="AK33" s="91"/>
      <c r="AL33" s="91"/>
      <c r="AO33" s="90"/>
      <c r="AP33" s="91"/>
      <c r="AQ33" s="133"/>
      <c r="AR33" s="86"/>
      <c r="AS33" s="133"/>
      <c r="AT33" s="133"/>
      <c r="AU33" s="86"/>
      <c r="AV33" s="134"/>
      <c r="AW33" s="86"/>
      <c r="AX33" s="86"/>
      <c r="AY33" s="133"/>
      <c r="BA33" s="91"/>
      <c r="BI33" s="89"/>
      <c r="BJ33" s="89"/>
      <c r="BT33" s="311"/>
      <c r="BU33" s="130"/>
    </row>
    <row r="34" spans="1:77" ht="24.95" customHeight="1" x14ac:dyDescent="0.25">
      <c r="A34" s="246"/>
      <c r="B34" s="247">
        <f>IFERROR(D34-C34+IF(C34&gt;=D34,1),0)*24</f>
        <v>0</v>
      </c>
      <c r="C34" s="248" t="str">
        <f>IFERROR(TIMEVALUE(INDEX($H$1:$BT$1,MATCH("I",$H34:$BT34,0))),"OFF")</f>
        <v>OFF</v>
      </c>
      <c r="D34" s="248" t="str">
        <f>IFERROR(TIMEVALUE(INDEX($H$1:$BT$1,MATCH("F",$H34:$BT34,0))),"OFF")</f>
        <v>OFF</v>
      </c>
      <c r="E34" s="580"/>
      <c r="F34" s="570"/>
      <c r="G34" s="596"/>
      <c r="X34" s="133"/>
      <c r="Y34" s="133"/>
      <c r="Z34" s="133"/>
      <c r="AA34" s="133"/>
      <c r="AB34" s="133"/>
      <c r="AC34" s="133"/>
      <c r="AD34" s="133"/>
      <c r="AE34" s="133"/>
      <c r="AF34" s="133"/>
      <c r="AQ34" s="133"/>
      <c r="AR34" s="133"/>
      <c r="AS34" s="133"/>
      <c r="AT34" s="133"/>
      <c r="AU34" s="133"/>
      <c r="AV34" s="133"/>
      <c r="AW34" s="133"/>
      <c r="AX34" s="133"/>
      <c r="AY34" s="133"/>
      <c r="BT34" s="311"/>
      <c r="BU34" s="130"/>
    </row>
    <row r="35" spans="1:77" ht="32.1" customHeight="1" x14ac:dyDescent="0.25">
      <c r="A35" s="249"/>
      <c r="B35" s="250"/>
      <c r="C35" s="251"/>
      <c r="D35" s="251"/>
      <c r="E35" s="580"/>
      <c r="F35" s="570"/>
      <c r="G35" s="596"/>
      <c r="X35" s="133"/>
      <c r="Y35" s="133"/>
      <c r="Z35" s="133"/>
      <c r="AA35" s="133"/>
      <c r="AB35" s="133"/>
      <c r="AC35" s="133"/>
      <c r="AD35" s="133"/>
      <c r="AE35" s="133"/>
      <c r="AF35" s="133"/>
      <c r="AH35" s="90"/>
      <c r="AI35" s="55"/>
      <c r="AJ35" s="90"/>
      <c r="AP35" s="90"/>
      <c r="AQ35" s="133"/>
      <c r="AR35" s="133"/>
      <c r="AS35" s="133"/>
      <c r="AT35" s="133"/>
      <c r="AU35" s="133"/>
      <c r="AV35" s="85"/>
      <c r="AW35" s="86"/>
      <c r="AX35" s="86"/>
      <c r="AY35" s="86"/>
      <c r="AZ35" s="91"/>
      <c r="BA35" s="91"/>
      <c r="BB35" s="91"/>
      <c r="BT35" s="311"/>
      <c r="BU35" s="130"/>
    </row>
    <row r="36" spans="1:77" ht="24.75" customHeight="1" x14ac:dyDescent="0.25">
      <c r="A36" s="246"/>
      <c r="B36" s="247">
        <f>IFERROR(D36-C36+IF(C36&gt;=D36,1),0)*24</f>
        <v>0</v>
      </c>
      <c r="C36" s="248" t="str">
        <f>IFERROR(TIMEVALUE(INDEX($H$1:$BT$1,MATCH("I",$H36:$BT36,0))),"OFF")</f>
        <v>OFF</v>
      </c>
      <c r="D36" s="248" t="str">
        <f>IFERROR(TIMEVALUE(INDEX($H$1:$BT$1,MATCH("F",$H36:$BT36,0))),"OFF")</f>
        <v>OFF</v>
      </c>
      <c r="E36" s="580"/>
      <c r="F36" s="570"/>
      <c r="G36" s="596"/>
      <c r="X36" s="133"/>
      <c r="Y36" s="133"/>
      <c r="Z36" s="133"/>
      <c r="AA36" s="133"/>
      <c r="AB36" s="133"/>
      <c r="AC36" s="133"/>
      <c r="AD36" s="133"/>
      <c r="AE36" s="133"/>
      <c r="AF36" s="133"/>
      <c r="AQ36" s="133"/>
      <c r="AR36" s="133"/>
      <c r="AS36" s="133"/>
      <c r="AT36" s="133"/>
      <c r="AU36" s="133"/>
      <c r="AV36" s="133"/>
      <c r="AW36" s="133"/>
      <c r="AX36" s="133"/>
      <c r="AY36" s="133"/>
      <c r="BT36" s="311"/>
      <c r="BU36" s="130"/>
    </row>
    <row r="37" spans="1:77" ht="32.1" customHeight="1" x14ac:dyDescent="0.25">
      <c r="A37" s="103"/>
      <c r="B37" s="104"/>
      <c r="C37" s="105"/>
      <c r="D37" s="105"/>
      <c r="E37" s="580"/>
      <c r="F37" s="570"/>
      <c r="G37" s="596"/>
      <c r="Q37" s="89"/>
      <c r="R37" s="89"/>
      <c r="T37" s="89"/>
      <c r="X37" s="133"/>
      <c r="Y37" s="86"/>
      <c r="Z37" s="85"/>
      <c r="AA37" s="86"/>
      <c r="AB37" s="86"/>
      <c r="AC37" s="133"/>
      <c r="AD37" s="86"/>
      <c r="AE37" s="97"/>
      <c r="AF37" s="97"/>
      <c r="AO37" s="135"/>
      <c r="AQ37" s="133"/>
      <c r="AR37" s="133"/>
      <c r="AS37" s="133"/>
      <c r="AT37" s="133"/>
      <c r="AU37" s="133"/>
      <c r="AV37" s="133"/>
      <c r="AW37" s="133"/>
      <c r="AX37" s="133"/>
      <c r="AY37" s="133"/>
      <c r="BT37" s="311"/>
      <c r="BU37" s="130"/>
    </row>
    <row r="38" spans="1:77" ht="24.95" customHeight="1" x14ac:dyDescent="0.25">
      <c r="A38" s="246"/>
      <c r="B38" s="247">
        <f>IFERROR(D38-C38+IF(C38&gt;=D38,1),0)*24</f>
        <v>0</v>
      </c>
      <c r="C38" s="248" t="str">
        <f>IFERROR(TIMEVALUE(INDEX($H$1:$BT$1,MATCH("I",$H38:$BT38,0))),"OFF")</f>
        <v>OFF</v>
      </c>
      <c r="D38" s="248" t="str">
        <f>IFERROR(TIMEVALUE(INDEX($H$1:$BT$1,MATCH("F",$H38:$BT38,0))),"OFF")</f>
        <v>OFF</v>
      </c>
      <c r="E38" s="580"/>
      <c r="F38" s="570"/>
      <c r="G38" s="596"/>
      <c r="X38" s="133"/>
      <c r="Y38" s="133"/>
      <c r="Z38" s="133"/>
      <c r="AA38" s="133"/>
      <c r="AB38" s="133"/>
      <c r="AC38" s="133"/>
      <c r="AD38" s="133"/>
      <c r="AE38" s="133"/>
      <c r="AF38" s="133"/>
      <c r="AQ38" s="133"/>
      <c r="AR38" s="133"/>
      <c r="AS38" s="133"/>
      <c r="AT38" s="133"/>
      <c r="AU38" s="133"/>
      <c r="AV38" s="133"/>
      <c r="AW38" s="133"/>
      <c r="AX38" s="133"/>
      <c r="AY38" s="133"/>
      <c r="BT38" s="311"/>
      <c r="BU38" s="130"/>
    </row>
    <row r="39" spans="1:77" ht="32.1" customHeight="1" x14ac:dyDescent="0.25">
      <c r="A39" s="249"/>
      <c r="B39" s="266"/>
      <c r="C39" s="251"/>
      <c r="D39" s="251"/>
      <c r="E39" s="580"/>
      <c r="F39" s="570"/>
      <c r="G39" s="596"/>
      <c r="R39" s="89"/>
      <c r="U39" s="90"/>
      <c r="V39" s="90"/>
      <c r="W39" s="90"/>
      <c r="X39" s="133"/>
      <c r="Y39" s="136"/>
      <c r="Z39" s="86"/>
      <c r="AA39" s="133"/>
      <c r="AB39" s="86"/>
      <c r="AC39" s="133"/>
      <c r="AD39" s="92"/>
      <c r="AE39" s="133"/>
      <c r="AF39" s="133"/>
      <c r="AG39" s="90"/>
      <c r="AJ39" s="91"/>
      <c r="AK39" s="91"/>
      <c r="AL39" s="91"/>
      <c r="AQ39" s="133"/>
      <c r="AR39" s="133"/>
      <c r="AS39" s="133"/>
      <c r="AT39" s="133"/>
      <c r="AU39" s="133"/>
      <c r="AV39" s="133"/>
      <c r="AW39" s="133"/>
      <c r="AX39" s="133"/>
      <c r="AY39" s="85"/>
      <c r="AZ39" s="91"/>
      <c r="BT39" s="311"/>
      <c r="BU39" s="130"/>
    </row>
    <row r="40" spans="1:77" ht="24.95" customHeight="1" x14ac:dyDescent="0.25">
      <c r="A40" s="246"/>
      <c r="B40" s="247">
        <f>IFERROR(D40-C40+IF(C40&gt;=D40,1),0)*24</f>
        <v>0</v>
      </c>
      <c r="C40" s="248" t="str">
        <f>IFERROR(TIMEVALUE(INDEX($H$1:$BT$1,MATCH("I",$H40:$BT40,0))),"OFF")</f>
        <v>OFF</v>
      </c>
      <c r="D40" s="248" t="str">
        <f>IFERROR(TIMEVALUE(INDEX($H$1:$BT$1,MATCH("F",$H40:$BT40,0))),"OFF")</f>
        <v>OFF</v>
      </c>
      <c r="E40" s="580"/>
      <c r="F40" s="570"/>
      <c r="G40" s="596"/>
      <c r="X40" s="133"/>
      <c r="Y40" s="133"/>
      <c r="Z40" s="133"/>
      <c r="AA40" s="133"/>
      <c r="AB40" s="133"/>
      <c r="AC40" s="133"/>
      <c r="AD40" s="133"/>
      <c r="AE40" s="133"/>
      <c r="AF40" s="133"/>
      <c r="AQ40" s="133"/>
      <c r="AR40" s="133"/>
      <c r="AS40" s="133"/>
      <c r="AT40" s="133"/>
      <c r="AU40" s="133"/>
      <c r="AV40" s="133"/>
      <c r="AW40" s="133"/>
      <c r="AX40" s="133"/>
      <c r="AY40" s="133"/>
      <c r="BT40" s="311"/>
      <c r="BU40" s="130"/>
    </row>
    <row r="41" spans="1:77" ht="32.1" customHeight="1" x14ac:dyDescent="0.25">
      <c r="A41" s="249"/>
      <c r="B41" s="250"/>
      <c r="C41" s="251"/>
      <c r="D41" s="251"/>
      <c r="E41" s="580"/>
      <c r="F41" s="570"/>
      <c r="G41" s="596"/>
      <c r="X41" s="133"/>
      <c r="Y41" s="133"/>
      <c r="Z41" s="133"/>
      <c r="AA41" s="133"/>
      <c r="AB41" s="133"/>
      <c r="AC41" s="86"/>
      <c r="AD41" s="86"/>
      <c r="AE41" s="133"/>
      <c r="AF41" s="86"/>
      <c r="AG41" s="90"/>
      <c r="AK41" s="91"/>
      <c r="AL41" s="91"/>
      <c r="AM41" s="90"/>
      <c r="AO41" s="91"/>
      <c r="AQ41" s="133"/>
      <c r="AR41" s="92"/>
      <c r="AS41" s="133"/>
      <c r="AT41" s="133"/>
      <c r="AU41" s="133"/>
      <c r="AV41" s="133"/>
      <c r="AW41" s="133"/>
      <c r="AX41" s="133"/>
      <c r="AY41" s="133"/>
      <c r="BT41" s="311"/>
      <c r="BU41" s="130"/>
    </row>
    <row r="42" spans="1:77" ht="24.95" customHeight="1" x14ac:dyDescent="0.25">
      <c r="A42" s="246"/>
      <c r="B42" s="247">
        <f>IFERROR(D42-C42+IF(C42&gt;=D42,1),0)*24</f>
        <v>0</v>
      </c>
      <c r="C42" s="248" t="str">
        <f>IFERROR(TIMEVALUE(INDEX($H$1:$BT$1,MATCH("I",$H42:$BT42,0))),"OFF")</f>
        <v>OFF</v>
      </c>
      <c r="D42" s="248" t="str">
        <f>IFERROR(TIMEVALUE(INDEX($H$1:$BT$1,MATCH("F",$H42:$BT42,0))),"OFF")</f>
        <v>OFF</v>
      </c>
      <c r="E42" s="580"/>
      <c r="F42" s="570"/>
      <c r="G42" s="596"/>
      <c r="X42" s="133"/>
      <c r="Y42" s="133"/>
      <c r="Z42" s="133"/>
      <c r="AA42" s="133"/>
      <c r="AB42" s="133"/>
      <c r="AC42" s="133"/>
      <c r="AD42" s="133"/>
      <c r="AE42" s="133"/>
      <c r="AF42" s="133"/>
      <c r="AQ42" s="133"/>
      <c r="AR42" s="133"/>
      <c r="AS42" s="133"/>
      <c r="AT42" s="133"/>
      <c r="AU42" s="133"/>
      <c r="AV42" s="133"/>
      <c r="AW42" s="133"/>
      <c r="AX42" s="133"/>
      <c r="AY42" s="133"/>
      <c r="BT42" s="311"/>
      <c r="BU42" s="130"/>
    </row>
    <row r="43" spans="1:77" ht="32.1" customHeight="1" thickBot="1" x14ac:dyDescent="0.3">
      <c r="A43" s="98"/>
      <c r="B43" s="99"/>
      <c r="C43" s="100"/>
      <c r="D43" s="100"/>
      <c r="E43" s="581"/>
      <c r="F43" s="286"/>
      <c r="G43" s="597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9"/>
      <c r="Y43" s="149"/>
      <c r="Z43" s="149"/>
      <c r="AA43" s="149"/>
      <c r="AB43" s="149"/>
      <c r="AC43" s="149"/>
      <c r="AD43" s="149"/>
      <c r="AE43" s="149"/>
      <c r="AF43" s="149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9"/>
      <c r="AR43" s="149"/>
      <c r="AS43" s="149"/>
      <c r="AT43" s="149"/>
      <c r="AU43" s="149"/>
      <c r="AV43" s="149"/>
      <c r="AW43" s="150"/>
      <c r="AX43" s="150"/>
      <c r="AY43" s="149"/>
      <c r="AZ43" s="148"/>
      <c r="BA43" s="113"/>
      <c r="BB43" s="148"/>
      <c r="BC43" s="148"/>
      <c r="BD43" s="148"/>
      <c r="BE43" s="113"/>
      <c r="BF43" s="148"/>
      <c r="BG43" s="113"/>
      <c r="BH43" s="148"/>
      <c r="BI43" s="148"/>
      <c r="BJ43" s="148"/>
      <c r="BK43" s="148"/>
      <c r="BL43" s="148"/>
      <c r="BM43" s="148"/>
      <c r="BN43" s="148"/>
      <c r="BO43" s="148"/>
      <c r="BP43" s="148"/>
      <c r="BQ43" s="148"/>
      <c r="BR43" s="148"/>
      <c r="BS43" s="148"/>
      <c r="BT43" s="313"/>
      <c r="BU43" s="130"/>
    </row>
    <row r="44" spans="1:77" ht="32.1" customHeight="1" x14ac:dyDescent="0.25">
      <c r="A44" s="103"/>
      <c r="B44" s="104"/>
      <c r="C44" s="104"/>
      <c r="D44" s="245"/>
      <c r="E44" s="579" t="str">
        <f>UPPER(TEXT(LUN!A1+2,"gggg g mmm"))</f>
        <v>MERCOLEDÌ 20 AGO</v>
      </c>
      <c r="F44" s="585"/>
      <c r="G44" s="595"/>
      <c r="V44" s="91"/>
      <c r="W44" s="91"/>
      <c r="X44" s="145"/>
      <c r="Y44" s="133"/>
      <c r="Z44" s="133"/>
      <c r="AA44" s="133"/>
      <c r="AB44" s="86"/>
      <c r="AC44" s="314"/>
      <c r="AD44" s="133"/>
      <c r="AE44" s="133"/>
      <c r="AF44" s="133"/>
      <c r="AH44" s="315"/>
      <c r="AO44" s="135"/>
      <c r="AP44" s="135"/>
      <c r="AQ44" s="133"/>
      <c r="AR44" s="133"/>
      <c r="AS44" s="133"/>
      <c r="AT44" s="133"/>
      <c r="AU44" s="133"/>
      <c r="AV44" s="133"/>
      <c r="AW44" s="133"/>
      <c r="AX44" s="86"/>
      <c r="AY44" s="133"/>
      <c r="AZ44" s="91"/>
      <c r="BA44" s="90"/>
      <c r="BB44" s="91"/>
      <c r="BF44" s="135"/>
      <c r="BG44" s="135"/>
      <c r="BI44" s="135"/>
      <c r="BJ44" s="135"/>
      <c r="BT44" s="311"/>
      <c r="BU44" s="130"/>
    </row>
    <row r="45" spans="1:77" s="65" customFormat="1" ht="24.95" customHeight="1" x14ac:dyDescent="0.35">
      <c r="A45" s="325"/>
      <c r="B45" s="247">
        <f>IFERROR(D45-C45+IF(C45&gt;=D45,1),0)*24</f>
        <v>0</v>
      </c>
      <c r="C45" s="248" t="str">
        <f>IFERROR(TIMEVALUE(INDEX($H$1:$BT$1,MATCH("I",$H45:$BT45,0))),"OFF")</f>
        <v>OFF</v>
      </c>
      <c r="D45" s="248" t="str">
        <f>IFERROR(TIMEVALUE(INDEX($H$1:$BT$1,MATCH("F",$H45:$BT45,0))),"OFF")</f>
        <v>OFF</v>
      </c>
      <c r="E45" s="580"/>
      <c r="F45" s="586"/>
      <c r="G45" s="596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 s="131"/>
      <c r="Y45" s="133"/>
      <c r="Z45" s="133"/>
      <c r="AA45" s="133"/>
      <c r="AB45" s="133"/>
      <c r="AC45" s="133"/>
      <c r="AD45" s="133"/>
      <c r="AE45" s="133"/>
      <c r="AF45" s="133"/>
      <c r="AG45"/>
      <c r="AH45"/>
      <c r="AI45" s="133"/>
      <c r="AJ45"/>
      <c r="AK45"/>
      <c r="AL45"/>
      <c r="AM45"/>
      <c r="AN45"/>
      <c r="AO45"/>
      <c r="AP45"/>
      <c r="AQ45" s="133"/>
      <c r="AR45" s="133"/>
      <c r="AS45" s="133"/>
      <c r="AT45" s="133"/>
      <c r="AU45" s="133"/>
      <c r="AV45" s="133"/>
      <c r="AW45" s="133"/>
      <c r="AX45" s="133"/>
      <c r="AY45" s="133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 s="311"/>
      <c r="BU45" s="130"/>
      <c r="BV45"/>
      <c r="BW45"/>
      <c r="BX45"/>
      <c r="BY45"/>
    </row>
    <row r="46" spans="1:77" ht="32.1" customHeight="1" x14ac:dyDescent="0.25">
      <c r="A46" s="249"/>
      <c r="B46" s="250"/>
      <c r="C46" s="251"/>
      <c r="D46" s="275"/>
      <c r="E46" s="580"/>
      <c r="F46" s="587"/>
      <c r="G46" s="596"/>
      <c r="M46" s="90"/>
      <c r="U46" s="89"/>
      <c r="V46" s="90"/>
      <c r="W46" s="90"/>
      <c r="X46" s="131"/>
      <c r="Y46" s="133"/>
      <c r="Z46" s="133"/>
      <c r="AA46" s="134"/>
      <c r="AB46" s="134"/>
      <c r="AC46" s="133"/>
      <c r="AD46" s="134"/>
      <c r="AE46" s="133"/>
      <c r="AF46" s="133"/>
      <c r="AJ46" s="91"/>
      <c r="AL46" s="91"/>
      <c r="AM46" s="91"/>
      <c r="AN46" s="91"/>
      <c r="AO46" s="135"/>
      <c r="AP46" s="135"/>
      <c r="AQ46" s="136"/>
      <c r="AR46" s="136"/>
      <c r="AS46" s="136"/>
      <c r="AT46" s="85"/>
      <c r="AU46" s="319"/>
      <c r="AV46" s="85"/>
      <c r="AW46" s="133"/>
      <c r="AX46" s="133"/>
      <c r="AY46" s="133"/>
      <c r="BA46" s="91"/>
      <c r="BC46" s="91"/>
      <c r="BD46" s="91"/>
      <c r="BE46" s="135"/>
      <c r="BF46" s="135"/>
      <c r="BI46" s="135"/>
      <c r="BT46" s="311"/>
      <c r="BU46" s="130"/>
    </row>
    <row r="47" spans="1:77" ht="24.95" customHeight="1" x14ac:dyDescent="0.25">
      <c r="A47" s="325"/>
      <c r="B47" s="247">
        <f>IFERROR(D47-C47+IF(C47&gt;=D47,1),0)*24</f>
        <v>0</v>
      </c>
      <c r="C47" s="248" t="str">
        <f>IFERROR(TIMEVALUE(INDEX($H$1:$BT$1,MATCH("I",$H47:$BT47,0))),"OFF")</f>
        <v>OFF</v>
      </c>
      <c r="D47" s="248" t="str">
        <f>IFERROR(TIMEVALUE(INDEX($H$1:$BT$1,MATCH("F",$H47:$BT47,0))),"OFF")</f>
        <v>OFF</v>
      </c>
      <c r="E47" s="580"/>
      <c r="F47" s="588"/>
      <c r="G47" s="596"/>
      <c r="X47" s="131"/>
      <c r="Y47" s="133"/>
      <c r="Z47" s="133"/>
      <c r="AA47" s="133"/>
      <c r="AB47" s="133"/>
      <c r="AC47" s="133"/>
      <c r="AD47" s="133"/>
      <c r="AE47" s="133"/>
      <c r="AF47" s="133"/>
      <c r="AQ47" s="133"/>
      <c r="AR47" s="133"/>
      <c r="AS47" s="133"/>
      <c r="AT47" s="133"/>
      <c r="AU47" s="133"/>
      <c r="AV47" s="133"/>
      <c r="AW47" s="133"/>
      <c r="AX47" s="133"/>
      <c r="AY47" s="133"/>
      <c r="BT47" s="311"/>
      <c r="BU47" s="130"/>
    </row>
    <row r="48" spans="1:77" ht="32.1" customHeight="1" x14ac:dyDescent="0.25">
      <c r="A48" s="249"/>
      <c r="B48" s="250"/>
      <c r="C48" s="251"/>
      <c r="D48" s="251"/>
      <c r="E48" s="580"/>
      <c r="F48" s="587"/>
      <c r="G48" s="596"/>
      <c r="H48" s="289"/>
      <c r="U48" s="89"/>
      <c r="X48" s="131"/>
      <c r="Y48" s="133"/>
      <c r="Z48" s="133"/>
      <c r="AA48" s="133"/>
      <c r="AB48" s="133"/>
      <c r="AC48" s="133"/>
      <c r="AD48" s="133"/>
      <c r="AE48" s="133"/>
      <c r="AF48" s="119"/>
      <c r="AG48" s="90"/>
      <c r="AH48" s="119"/>
      <c r="AI48" s="194"/>
      <c r="AJ48" s="91"/>
      <c r="AK48" s="90"/>
      <c r="AL48" s="200"/>
      <c r="AM48" s="91"/>
      <c r="AN48" s="91"/>
      <c r="AO48" s="90"/>
      <c r="AP48" s="90"/>
      <c r="AQ48" s="134"/>
      <c r="AR48" s="134"/>
      <c r="AS48" s="133"/>
      <c r="AT48" s="86"/>
      <c r="AU48" s="133"/>
      <c r="AV48" s="133"/>
      <c r="AW48" s="133"/>
      <c r="AX48" s="133"/>
      <c r="AY48" s="133"/>
      <c r="BA48" s="91"/>
      <c r="BB48" s="91"/>
      <c r="BD48" s="91"/>
      <c r="BE48" s="91"/>
      <c r="BT48" s="311"/>
      <c r="BU48" s="130"/>
    </row>
    <row r="49" spans="1:73" ht="24.75" customHeight="1" x14ac:dyDescent="0.25">
      <c r="A49" s="325"/>
      <c r="B49" s="247">
        <f>IFERROR(D49-C49+IF(C49&gt;=D49,1),0)*24</f>
        <v>0</v>
      </c>
      <c r="C49" s="248" t="str">
        <f>IFERROR(TIMEVALUE(INDEX($H$1:$BT$1,MATCH("I",$H49:$BT49,0))),"OFF")</f>
        <v>OFF</v>
      </c>
      <c r="D49" s="248" t="str">
        <f>IFERROR(TIMEVALUE(INDEX($H$1:$BT$1,MATCH("F",$H49:$BT49,0))),"OFF")</f>
        <v>OFF</v>
      </c>
      <c r="E49" s="580"/>
      <c r="F49" s="586"/>
      <c r="G49" s="596"/>
      <c r="H49" s="289"/>
      <c r="X49" s="131"/>
      <c r="Y49" s="133"/>
      <c r="Z49" s="133"/>
      <c r="AA49" s="133"/>
      <c r="AB49" s="133"/>
      <c r="AC49" s="133"/>
      <c r="AD49" s="133"/>
      <c r="AE49" s="133"/>
      <c r="AF49" s="133"/>
      <c r="AQ49" s="133"/>
      <c r="AR49" s="133"/>
      <c r="AS49" s="133"/>
      <c r="AT49" s="133"/>
      <c r="AU49" s="133"/>
      <c r="AV49" s="133"/>
      <c r="AW49" s="133"/>
      <c r="AX49" s="133"/>
      <c r="AY49" s="133"/>
      <c r="BT49" s="311"/>
      <c r="BU49" s="130"/>
    </row>
    <row r="50" spans="1:73" ht="32.1" customHeight="1" x14ac:dyDescent="0.25">
      <c r="A50" s="242"/>
      <c r="B50" s="243"/>
      <c r="C50" s="244"/>
      <c r="D50" s="244"/>
      <c r="E50" s="580"/>
      <c r="F50" s="601"/>
      <c r="G50" s="596"/>
      <c r="H50" s="289"/>
      <c r="X50" s="131"/>
      <c r="Y50" s="131"/>
      <c r="Z50" s="131"/>
      <c r="AA50" s="131"/>
      <c r="AB50" s="144"/>
      <c r="AC50" s="131"/>
      <c r="AD50" s="131"/>
      <c r="AE50" s="131"/>
      <c r="AF50" s="133"/>
      <c r="AG50" s="90"/>
      <c r="AH50" s="90"/>
      <c r="AJ50" s="115"/>
      <c r="AK50" s="194"/>
      <c r="AM50" s="90"/>
      <c r="AN50" s="90"/>
      <c r="AO50" s="138"/>
      <c r="AP50" s="138"/>
      <c r="AQ50" s="133"/>
      <c r="AR50" s="97"/>
      <c r="AS50" s="133"/>
      <c r="AT50" s="86"/>
      <c r="AU50" s="133"/>
      <c r="AV50" s="133"/>
      <c r="AW50" s="133"/>
      <c r="AX50" s="133"/>
      <c r="AY50" s="133"/>
      <c r="BA50" s="119"/>
      <c r="BB50" s="90"/>
      <c r="BC50" s="119"/>
      <c r="BD50" s="90"/>
      <c r="BE50" s="115"/>
      <c r="BM50" s="119"/>
      <c r="BN50" s="119"/>
      <c r="BT50" s="311"/>
      <c r="BU50" s="130"/>
    </row>
    <row r="51" spans="1:73" ht="24.95" customHeight="1" x14ac:dyDescent="0.25">
      <c r="A51" s="325"/>
      <c r="B51" s="247">
        <f>IFERROR(D51-C51+IF(C51&gt;=D51,1),0)*24</f>
        <v>0</v>
      </c>
      <c r="C51" s="248" t="str">
        <f>IFERROR(TIMEVALUE(INDEX($H$1:$BT$1,MATCH("I",$H51:$BT51,0))),"OFF")</f>
        <v>OFF</v>
      </c>
      <c r="D51" s="248" t="str">
        <f>IFERROR(TIMEVALUE(INDEX($H$1:$BT$1,MATCH("F",$H51:$BT51,0))),"OFF")</f>
        <v>OFF</v>
      </c>
      <c r="E51" s="580"/>
      <c r="F51" s="602"/>
      <c r="G51" s="596"/>
      <c r="H51" s="289"/>
      <c r="W51" s="143"/>
      <c r="X51" s="131"/>
      <c r="Y51" s="131"/>
      <c r="Z51" s="131"/>
      <c r="AA51" s="131"/>
      <c r="AB51" s="131"/>
      <c r="AC51" s="131"/>
      <c r="AD51" s="131"/>
      <c r="AE51" s="131"/>
      <c r="AF51" s="133"/>
      <c r="AQ51" s="133"/>
      <c r="AR51" s="133"/>
      <c r="AS51" s="133"/>
      <c r="AT51" s="133"/>
      <c r="AU51" s="133"/>
      <c r="AV51" s="133"/>
      <c r="AW51" s="133"/>
      <c r="AX51" s="133"/>
      <c r="AY51" s="133"/>
      <c r="BT51" s="311"/>
      <c r="BU51" s="130"/>
    </row>
    <row r="52" spans="1:73" ht="32.1" customHeight="1" x14ac:dyDescent="0.25">
      <c r="A52" s="252"/>
      <c r="B52" s="250"/>
      <c r="C52" s="251"/>
      <c r="D52" s="275"/>
      <c r="E52" s="580"/>
      <c r="F52" s="570"/>
      <c r="G52" s="596"/>
      <c r="H52" s="290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9"/>
      <c r="T52" s="291"/>
      <c r="U52" s="291"/>
      <c r="V52" s="291"/>
      <c r="W52" s="300"/>
      <c r="X52" s="301"/>
      <c r="Y52" s="302"/>
      <c r="Z52" s="292"/>
      <c r="AA52" s="292"/>
      <c r="AB52" s="303"/>
      <c r="AC52" s="302"/>
      <c r="AD52" s="302"/>
      <c r="AE52" s="304"/>
      <c r="AF52" s="305"/>
      <c r="AG52" s="295"/>
      <c r="AH52" s="291"/>
      <c r="AI52" s="291"/>
      <c r="AJ52" s="291"/>
      <c r="AK52" s="291"/>
      <c r="AL52" s="306"/>
      <c r="AM52" s="291"/>
      <c r="AN52" s="295"/>
      <c r="AO52" s="295"/>
      <c r="AP52" s="295"/>
      <c r="AQ52" s="294"/>
      <c r="AR52" s="294"/>
      <c r="AS52" s="294"/>
      <c r="AT52" s="294"/>
      <c r="AU52" s="294"/>
      <c r="AV52" s="303"/>
      <c r="AW52" s="294"/>
      <c r="AX52" s="294"/>
      <c r="AY52" s="294"/>
      <c r="AZ52" s="291"/>
      <c r="BA52" s="295"/>
      <c r="BB52" s="291"/>
      <c r="BC52" s="291"/>
      <c r="BD52" s="291"/>
      <c r="BE52" s="291"/>
      <c r="BF52" s="291"/>
      <c r="BG52" s="291"/>
      <c r="BH52" s="291"/>
      <c r="BI52" s="291"/>
      <c r="BJ52" s="291"/>
      <c r="BK52" s="291"/>
      <c r="BL52" s="291"/>
      <c r="BM52" s="291"/>
      <c r="BN52" s="291"/>
      <c r="BO52" s="291"/>
      <c r="BP52" s="291"/>
      <c r="BQ52" s="291"/>
      <c r="BR52" s="291"/>
      <c r="BS52" s="291"/>
      <c r="BT52" s="312"/>
      <c r="BU52" s="130"/>
    </row>
    <row r="53" spans="1:73" ht="24.95" customHeight="1" x14ac:dyDescent="0.25">
      <c r="A53" s="246"/>
      <c r="B53" s="247">
        <f>IFERROR(D53-C53+IF(C53&gt;=D53,1),0)*24</f>
        <v>0</v>
      </c>
      <c r="C53" s="248" t="str">
        <f>IFERROR(TIMEVALUE(INDEX($H$1:$BT$1,MATCH("I",$H53:$BT53,0))),"OFF")</f>
        <v>OFF</v>
      </c>
      <c r="D53" s="248" t="str">
        <f>IFERROR(TIMEVALUE(INDEX($H$1:$BT$1,MATCH("F",$H53:$BT53,0))),"OFF")</f>
        <v>OFF</v>
      </c>
      <c r="E53" s="580"/>
      <c r="F53" s="570"/>
      <c r="G53" s="596"/>
      <c r="J53" s="147"/>
      <c r="X53" s="133"/>
      <c r="Y53" s="131"/>
      <c r="Z53" s="131"/>
      <c r="AA53" s="131"/>
      <c r="AB53" s="131"/>
      <c r="AC53" s="131"/>
      <c r="AD53" s="131"/>
      <c r="AE53" s="131"/>
      <c r="AF53" s="133"/>
      <c r="AQ53" s="133"/>
      <c r="AR53" s="133"/>
      <c r="AS53" s="133"/>
      <c r="AT53" s="133"/>
      <c r="AU53" s="133"/>
      <c r="AV53" s="133"/>
      <c r="AW53" s="133"/>
      <c r="AX53" s="133"/>
      <c r="AY53" s="133"/>
      <c r="BT53" s="311"/>
      <c r="BU53" s="130"/>
    </row>
    <row r="54" spans="1:73" ht="32.1" customHeight="1" x14ac:dyDescent="0.25">
      <c r="A54" s="249"/>
      <c r="B54" s="250"/>
      <c r="C54" s="251"/>
      <c r="D54" s="251"/>
      <c r="E54" s="580"/>
      <c r="F54" s="570"/>
      <c r="G54" s="596"/>
      <c r="Q54" s="89"/>
      <c r="U54" s="90"/>
      <c r="V54" s="90"/>
      <c r="W54" s="90"/>
      <c r="X54" s="133"/>
      <c r="Y54" s="133"/>
      <c r="Z54" s="133"/>
      <c r="AA54" s="133"/>
      <c r="AB54" s="86"/>
      <c r="AC54" s="86"/>
      <c r="AD54" s="133"/>
      <c r="AE54" s="133"/>
      <c r="AF54" s="133"/>
      <c r="AH54" s="90"/>
      <c r="AK54" s="91"/>
      <c r="AL54" s="91"/>
      <c r="AO54" s="90"/>
      <c r="AP54" s="91"/>
      <c r="AQ54" s="133"/>
      <c r="AR54" s="86"/>
      <c r="AS54" s="133"/>
      <c r="AT54" s="133"/>
      <c r="AU54" s="92"/>
      <c r="AV54" s="134"/>
      <c r="AW54" s="86"/>
      <c r="AX54" s="86"/>
      <c r="AY54" s="133"/>
      <c r="BA54" s="91"/>
      <c r="BI54" s="89"/>
      <c r="BJ54" s="89"/>
      <c r="BT54" s="311"/>
      <c r="BU54" s="130"/>
    </row>
    <row r="55" spans="1:73" ht="24.95" customHeight="1" x14ac:dyDescent="0.25">
      <c r="A55" s="246"/>
      <c r="B55" s="247">
        <f>IFERROR(D55-C55+IF(C55&gt;=D55,1),0)*24</f>
        <v>0</v>
      </c>
      <c r="C55" s="248" t="str">
        <f>IFERROR(TIMEVALUE(INDEX($H$1:$BT$1,MATCH("I",$H55:$BT55,0))),"OFF")</f>
        <v>OFF</v>
      </c>
      <c r="D55" s="248" t="str">
        <f>IFERROR(TIMEVALUE(INDEX($H$1:$BT$1,MATCH("F",$H55:$BT55,0))),"OFF")</f>
        <v>OFF</v>
      </c>
      <c r="E55" s="580"/>
      <c r="F55" s="570"/>
      <c r="G55" s="596"/>
      <c r="X55" s="133"/>
      <c r="Y55" s="133"/>
      <c r="Z55" s="133"/>
      <c r="AA55" s="133"/>
      <c r="AB55" s="133"/>
      <c r="AC55" s="133"/>
      <c r="AD55" s="133"/>
      <c r="AE55" s="133"/>
      <c r="AF55" s="133"/>
      <c r="AQ55" s="133"/>
      <c r="AR55" s="133"/>
      <c r="AS55" s="133"/>
      <c r="AT55" s="133"/>
      <c r="AU55" s="133"/>
      <c r="AV55" s="133"/>
      <c r="AW55" s="133"/>
      <c r="AX55" s="133"/>
      <c r="AY55" s="133"/>
      <c r="BT55" s="311"/>
      <c r="BU55" s="130"/>
    </row>
    <row r="56" spans="1:73" ht="32.1" customHeight="1" x14ac:dyDescent="0.25">
      <c r="A56" s="249"/>
      <c r="B56" s="250"/>
      <c r="C56" s="251"/>
      <c r="D56" s="251"/>
      <c r="E56" s="580"/>
      <c r="F56" s="570"/>
      <c r="G56" s="596"/>
      <c r="X56" s="133"/>
      <c r="Y56" s="133"/>
      <c r="Z56" s="133"/>
      <c r="AA56" s="133"/>
      <c r="AB56" s="133"/>
      <c r="AC56" s="133"/>
      <c r="AD56" s="133"/>
      <c r="AE56" s="133"/>
      <c r="AF56" s="133"/>
      <c r="AH56" s="90"/>
      <c r="AI56" s="55"/>
      <c r="AJ56" s="90"/>
      <c r="AP56" s="90"/>
      <c r="AQ56" s="133"/>
      <c r="AR56" s="133"/>
      <c r="AS56" s="133"/>
      <c r="AT56" s="133"/>
      <c r="AU56" s="133"/>
      <c r="AV56" s="85"/>
      <c r="AW56" s="86"/>
      <c r="AX56" s="86"/>
      <c r="AY56" s="86"/>
      <c r="AZ56" s="91"/>
      <c r="BA56" s="91"/>
      <c r="BB56" s="91"/>
      <c r="BT56" s="311"/>
      <c r="BU56" s="130"/>
    </row>
    <row r="57" spans="1:73" ht="24.75" customHeight="1" x14ac:dyDescent="0.25">
      <c r="A57" s="246"/>
      <c r="B57" s="247">
        <f>IFERROR(D57-C57+IF(C57&gt;=D57,1),0)*24</f>
        <v>0</v>
      </c>
      <c r="C57" s="248" t="str">
        <f>IFERROR(TIMEVALUE(INDEX($H$1:$BT$1,MATCH("I",$H57:$BT57,0))),"OFF")</f>
        <v>OFF</v>
      </c>
      <c r="D57" s="248" t="str">
        <f>IFERROR(TIMEVALUE(INDEX($H$1:$BT$1,MATCH("F",$H57:$BT57,0))),"OFF")</f>
        <v>OFF</v>
      </c>
      <c r="E57" s="580"/>
      <c r="F57" s="570"/>
      <c r="G57" s="596"/>
      <c r="X57" s="133"/>
      <c r="Y57" s="133"/>
      <c r="Z57" s="133"/>
      <c r="AA57" s="133"/>
      <c r="AB57" s="133"/>
      <c r="AC57" s="133"/>
      <c r="AD57" s="133"/>
      <c r="AE57" s="133"/>
      <c r="AF57" s="133"/>
      <c r="AQ57" s="133"/>
      <c r="AR57" s="133"/>
      <c r="AS57" s="133"/>
      <c r="AT57" s="133"/>
      <c r="AU57" s="133"/>
      <c r="AV57" s="133"/>
      <c r="AW57" s="133"/>
      <c r="AX57" s="133"/>
      <c r="AY57" s="133"/>
      <c r="BT57" s="311"/>
      <c r="BU57" s="130"/>
    </row>
    <row r="58" spans="1:73" ht="32.1" customHeight="1" x14ac:dyDescent="0.25">
      <c r="A58" s="103"/>
      <c r="B58" s="104"/>
      <c r="C58" s="105"/>
      <c r="D58" s="105"/>
      <c r="E58" s="580"/>
      <c r="F58" s="570"/>
      <c r="G58" s="596"/>
      <c r="Q58" s="89"/>
      <c r="R58" s="89"/>
      <c r="T58" s="89"/>
      <c r="X58" s="133"/>
      <c r="Y58" s="86"/>
      <c r="Z58" s="85"/>
      <c r="AA58" s="86"/>
      <c r="AB58" s="86"/>
      <c r="AC58" s="133"/>
      <c r="AD58" s="86"/>
      <c r="AE58" s="97"/>
      <c r="AF58" s="97"/>
      <c r="AO58" s="135"/>
      <c r="AQ58" s="133"/>
      <c r="AR58" s="133"/>
      <c r="AS58" s="133"/>
      <c r="AT58" s="133"/>
      <c r="AU58" s="133"/>
      <c r="AV58" s="133"/>
      <c r="AW58" s="133"/>
      <c r="AX58" s="133"/>
      <c r="AY58" s="133"/>
      <c r="BT58" s="311"/>
      <c r="BU58" s="130"/>
    </row>
    <row r="59" spans="1:73" ht="24.95" customHeight="1" x14ac:dyDescent="0.25">
      <c r="A59" s="246"/>
      <c r="B59" s="247">
        <f>IFERROR(D59-C59+IF(C59&gt;=D59,1),0)*24</f>
        <v>0</v>
      </c>
      <c r="C59" s="248" t="str">
        <f>IFERROR(TIMEVALUE(INDEX($H$1:$BT$1,MATCH("I",$H59:$BT59,0))),"OFF")</f>
        <v>OFF</v>
      </c>
      <c r="D59" s="248" t="str">
        <f>IFERROR(TIMEVALUE(INDEX($H$1:$BT$1,MATCH("F",$H59:$BT59,0))),"OFF")</f>
        <v>OFF</v>
      </c>
      <c r="E59" s="580"/>
      <c r="F59" s="570"/>
      <c r="G59" s="596"/>
      <c r="X59" s="133"/>
      <c r="Y59" s="133"/>
      <c r="Z59" s="133"/>
      <c r="AA59" s="133"/>
      <c r="AB59" s="133"/>
      <c r="AC59" s="133"/>
      <c r="AD59" s="133"/>
      <c r="AE59" s="133"/>
      <c r="AF59" s="133"/>
      <c r="AQ59" s="133"/>
      <c r="AR59" s="133"/>
      <c r="AS59" s="133"/>
      <c r="AT59" s="133"/>
      <c r="AU59" s="133"/>
      <c r="AV59" s="133"/>
      <c r="AW59" s="133"/>
      <c r="AX59" s="133"/>
      <c r="AY59" s="133"/>
      <c r="BT59" s="311"/>
      <c r="BU59" s="130"/>
    </row>
    <row r="60" spans="1:73" ht="32.1" customHeight="1" x14ac:dyDescent="0.25">
      <c r="A60" s="249"/>
      <c r="B60" s="250"/>
      <c r="C60" s="251"/>
      <c r="D60" s="251"/>
      <c r="E60" s="580"/>
      <c r="F60" s="570"/>
      <c r="G60" s="596"/>
      <c r="R60" s="89"/>
      <c r="U60" s="90"/>
      <c r="V60" s="90"/>
      <c r="W60" s="90"/>
      <c r="X60" s="133"/>
      <c r="Y60" s="136"/>
      <c r="Z60" s="86"/>
      <c r="AA60" s="133"/>
      <c r="AB60" s="86"/>
      <c r="AC60" s="133"/>
      <c r="AD60" s="92"/>
      <c r="AE60" s="133"/>
      <c r="AF60" s="133"/>
      <c r="AG60" s="90"/>
      <c r="AJ60" s="91"/>
      <c r="AK60" s="91"/>
      <c r="AL60" s="91"/>
      <c r="AQ60" s="133"/>
      <c r="AR60" s="133"/>
      <c r="AS60" s="133"/>
      <c r="AT60" s="133"/>
      <c r="AU60" s="133"/>
      <c r="AV60" s="133"/>
      <c r="AW60" s="133"/>
      <c r="AX60" s="133"/>
      <c r="AY60" s="85"/>
      <c r="AZ60" s="91"/>
      <c r="BT60" s="311"/>
      <c r="BU60" s="130"/>
    </row>
    <row r="61" spans="1:73" ht="24.95" customHeight="1" x14ac:dyDescent="0.25">
      <c r="A61" s="246"/>
      <c r="B61" s="247">
        <f>IFERROR(D61-C61+IF(C61&gt;=D61,1),0)*24</f>
        <v>0</v>
      </c>
      <c r="C61" s="248" t="str">
        <f>IFERROR(TIMEVALUE(INDEX($H$1:$BT$1,MATCH("I",$H61:$BT61,0))),"OFF")</f>
        <v>OFF</v>
      </c>
      <c r="D61" s="248" t="str">
        <f>IFERROR(TIMEVALUE(INDEX($H$1:$BT$1,MATCH("F",$H61:$BT61,0))),"OFF")</f>
        <v>OFF</v>
      </c>
      <c r="E61" s="580"/>
      <c r="F61" s="570"/>
      <c r="G61" s="596"/>
      <c r="X61" s="133"/>
      <c r="Y61" s="133"/>
      <c r="Z61" s="133"/>
      <c r="AA61" s="133"/>
      <c r="AB61" s="133"/>
      <c r="AC61" s="133"/>
      <c r="AD61" s="133"/>
      <c r="AE61" s="133"/>
      <c r="AF61" s="133"/>
      <c r="AQ61" s="133"/>
      <c r="AR61" s="133"/>
      <c r="AS61" s="133"/>
      <c r="AT61" s="133"/>
      <c r="AU61" s="133"/>
      <c r="AV61" s="133"/>
      <c r="AW61" s="133"/>
      <c r="AX61" s="133"/>
      <c r="AY61" s="133"/>
      <c r="BT61" s="311"/>
      <c r="BU61" s="130"/>
    </row>
    <row r="62" spans="1:73" ht="32.1" customHeight="1" x14ac:dyDescent="0.25">
      <c r="A62" s="249"/>
      <c r="B62" s="250"/>
      <c r="C62" s="251"/>
      <c r="D62" s="251"/>
      <c r="E62" s="580"/>
      <c r="F62" s="570"/>
      <c r="G62" s="596"/>
      <c r="X62" s="133"/>
      <c r="Y62" s="133"/>
      <c r="Z62" s="133"/>
      <c r="AA62" s="133"/>
      <c r="AB62" s="133"/>
      <c r="AC62" s="86"/>
      <c r="AD62" s="86"/>
      <c r="AE62" s="133"/>
      <c r="AF62" s="86"/>
      <c r="AG62" s="90"/>
      <c r="AK62" s="91"/>
      <c r="AL62" s="91"/>
      <c r="AM62" s="90"/>
      <c r="AO62" s="91"/>
      <c r="AQ62" s="133"/>
      <c r="AR62" s="92"/>
      <c r="AS62" s="133"/>
      <c r="AT62" s="133"/>
      <c r="AU62" s="133"/>
      <c r="AV62" s="133"/>
      <c r="AW62" s="133"/>
      <c r="AX62" s="133"/>
      <c r="AY62" s="133"/>
      <c r="BT62" s="311"/>
      <c r="BU62" s="130"/>
    </row>
    <row r="63" spans="1:73" ht="24.95" customHeight="1" x14ac:dyDescent="0.25">
      <c r="A63" s="246"/>
      <c r="B63" s="247">
        <f>IFERROR(D63-C63+IF(C63&gt;=D63,1),0)*24</f>
        <v>0</v>
      </c>
      <c r="C63" s="248" t="str">
        <f>IFERROR(TIMEVALUE(INDEX($H$1:$BT$1,MATCH("I",$H63:$BT63,0))),"OFF")</f>
        <v>OFF</v>
      </c>
      <c r="D63" s="248" t="str">
        <f>IFERROR(TIMEVALUE(INDEX($H$1:$BT$1,MATCH("F",$H63:$BT63,0))),"OFF")</f>
        <v>OFF</v>
      </c>
      <c r="E63" s="580"/>
      <c r="F63" s="570"/>
      <c r="G63" s="596"/>
      <c r="X63" s="133"/>
      <c r="Y63" s="133"/>
      <c r="Z63" s="133"/>
      <c r="AA63" s="133"/>
      <c r="AB63" s="133"/>
      <c r="AC63" s="133"/>
      <c r="AD63" s="133"/>
      <c r="AE63" s="133"/>
      <c r="AF63" s="133"/>
      <c r="AQ63" s="133"/>
      <c r="AR63" s="133"/>
      <c r="AS63" s="133"/>
      <c r="AT63" s="133"/>
      <c r="AU63" s="133"/>
      <c r="AV63" s="133"/>
      <c r="AW63" s="133"/>
      <c r="AX63" s="133"/>
      <c r="AY63" s="133"/>
      <c r="BT63" s="311"/>
      <c r="BU63" s="130"/>
    </row>
    <row r="64" spans="1:73" ht="32.1" customHeight="1" thickBot="1" x14ac:dyDescent="0.3">
      <c r="A64" s="98"/>
      <c r="B64" s="99"/>
      <c r="C64" s="100"/>
      <c r="D64" s="100"/>
      <c r="E64" s="581"/>
      <c r="F64" s="286"/>
      <c r="G64" s="597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9"/>
      <c r="Y64" s="149"/>
      <c r="Z64" s="149"/>
      <c r="AA64" s="149"/>
      <c r="AB64" s="149"/>
      <c r="AC64" s="149"/>
      <c r="AD64" s="149"/>
      <c r="AE64" s="149"/>
      <c r="AF64" s="149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9"/>
      <c r="AR64" s="149"/>
      <c r="AS64" s="149"/>
      <c r="AT64" s="149"/>
      <c r="AU64" s="149"/>
      <c r="AV64" s="149"/>
      <c r="AW64" s="150"/>
      <c r="AX64" s="150"/>
      <c r="AY64" s="149"/>
      <c r="AZ64" s="148"/>
      <c r="BA64" s="113"/>
      <c r="BB64" s="148"/>
      <c r="BC64" s="148"/>
      <c r="BD64" s="148"/>
      <c r="BE64" s="113"/>
      <c r="BF64" s="148"/>
      <c r="BG64" s="113"/>
      <c r="BH64" s="148"/>
      <c r="BI64" s="148"/>
      <c r="BJ64" s="148"/>
      <c r="BK64" s="148"/>
      <c r="BL64" s="148"/>
      <c r="BM64" s="148"/>
      <c r="BN64" s="148"/>
      <c r="BO64" s="148"/>
      <c r="BP64" s="148"/>
      <c r="BQ64" s="148"/>
      <c r="BR64" s="148"/>
      <c r="BS64" s="148"/>
      <c r="BT64" s="313"/>
      <c r="BU64" s="130"/>
    </row>
    <row r="65" spans="1:77" ht="32.1" customHeight="1" x14ac:dyDescent="0.25">
      <c r="A65" s="103"/>
      <c r="B65" s="104"/>
      <c r="C65" s="104"/>
      <c r="D65" s="245"/>
      <c r="E65" s="579" t="str">
        <f>UPPER(TEXT(LUN!A1+3,"gggg g mmm"))</f>
        <v>GIOVEDÌ 21 AGO</v>
      </c>
      <c r="F65" s="585"/>
      <c r="G65" s="595"/>
      <c r="V65" s="91"/>
      <c r="W65" s="91"/>
      <c r="X65" s="145"/>
      <c r="Y65" s="133"/>
      <c r="Z65" s="133"/>
      <c r="AA65" s="133"/>
      <c r="AB65" s="86"/>
      <c r="AC65" s="314"/>
      <c r="AD65" s="133"/>
      <c r="AE65" s="133"/>
      <c r="AF65" s="133"/>
      <c r="AH65" s="315"/>
      <c r="AO65" s="135"/>
      <c r="AP65" s="135"/>
      <c r="AQ65" s="133"/>
      <c r="AR65" s="133"/>
      <c r="AS65" s="133"/>
      <c r="AT65" s="133"/>
      <c r="AU65" s="133"/>
      <c r="AV65" s="133"/>
      <c r="AW65" s="133"/>
      <c r="AX65" s="86"/>
      <c r="AY65" s="133"/>
      <c r="AZ65" s="91"/>
      <c r="BA65" s="90"/>
      <c r="BB65" s="91"/>
      <c r="BF65" s="135"/>
      <c r="BG65" s="135"/>
      <c r="BI65" s="135"/>
      <c r="BJ65" s="135"/>
      <c r="BT65" s="311"/>
      <c r="BU65" s="130"/>
    </row>
    <row r="66" spans="1:77" s="65" customFormat="1" ht="24.95" customHeight="1" x14ac:dyDescent="0.35">
      <c r="A66" s="325"/>
      <c r="B66" s="247">
        <f>IFERROR(D66-C66+IF(C66&gt;=D66,1),0)*24</f>
        <v>0</v>
      </c>
      <c r="C66" s="248" t="str">
        <f>IFERROR(TIMEVALUE(INDEX($H$1:$BT$1,MATCH("I",$H66:$BT66,0))),"OFF")</f>
        <v>OFF</v>
      </c>
      <c r="D66" s="248" t="str">
        <f>IFERROR(TIMEVALUE(INDEX($H$1:$BT$1,MATCH("F",$H66:$BT66,0))),"OFF")</f>
        <v>OFF</v>
      </c>
      <c r="E66" s="580"/>
      <c r="F66" s="586"/>
      <c r="G66" s="59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 s="131"/>
      <c r="Y66" s="133"/>
      <c r="Z66" s="133"/>
      <c r="AA66" s="133"/>
      <c r="AB66" s="133"/>
      <c r="AC66" s="133"/>
      <c r="AD66" s="133"/>
      <c r="AE66" s="133"/>
      <c r="AF66" s="133"/>
      <c r="AG66"/>
      <c r="AH66"/>
      <c r="AI66"/>
      <c r="AJ66"/>
      <c r="AK66"/>
      <c r="AL66"/>
      <c r="AM66"/>
      <c r="AN66"/>
      <c r="AO66"/>
      <c r="AP66"/>
      <c r="AQ66" s="133"/>
      <c r="AR66" s="133"/>
      <c r="AS66" s="133"/>
      <c r="AT66" s="133"/>
      <c r="AU66" s="133"/>
      <c r="AV66" s="133"/>
      <c r="AW66" s="133"/>
      <c r="AX66" s="133"/>
      <c r="AY66" s="133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 s="311"/>
      <c r="BU66" s="130"/>
      <c r="BV66"/>
      <c r="BW66"/>
      <c r="BX66"/>
      <c r="BY66"/>
    </row>
    <row r="67" spans="1:77" ht="32.1" customHeight="1" x14ac:dyDescent="0.25">
      <c r="A67" s="249"/>
      <c r="B67" s="250"/>
      <c r="C67" s="251"/>
      <c r="D67" s="275"/>
      <c r="E67" s="580"/>
      <c r="F67" s="587"/>
      <c r="G67" s="596"/>
      <c r="I67" s="119"/>
      <c r="M67" s="90"/>
      <c r="U67" s="89"/>
      <c r="V67" s="90"/>
      <c r="W67" s="90"/>
      <c r="X67" s="131"/>
      <c r="Y67" s="133"/>
      <c r="Z67" s="133"/>
      <c r="AA67" s="134"/>
      <c r="AB67" s="134"/>
      <c r="AC67" s="133"/>
      <c r="AD67" s="134"/>
      <c r="AE67" s="133"/>
      <c r="AF67" s="133"/>
      <c r="AJ67" s="91"/>
      <c r="AL67" s="91"/>
      <c r="AM67" s="91"/>
      <c r="AN67" s="91"/>
      <c r="AO67" s="135"/>
      <c r="AP67" s="135"/>
      <c r="AQ67" s="136"/>
      <c r="AR67" s="136"/>
      <c r="AS67" s="136"/>
      <c r="AT67" s="85"/>
      <c r="AU67" s="85"/>
      <c r="AV67" s="85"/>
      <c r="AW67" s="133"/>
      <c r="AX67" s="133"/>
      <c r="AY67" s="133"/>
      <c r="BA67" s="91"/>
      <c r="BC67" s="91"/>
      <c r="BD67" s="91"/>
      <c r="BE67" s="135"/>
      <c r="BF67" s="135"/>
      <c r="BI67" s="135"/>
      <c r="BT67" s="311"/>
      <c r="BU67" s="130"/>
    </row>
    <row r="68" spans="1:77" ht="24.95" customHeight="1" x14ac:dyDescent="0.25">
      <c r="A68" s="325"/>
      <c r="B68" s="247">
        <f>IFERROR(D68-C68+IF(C68&gt;=D68,1),0)*24</f>
        <v>0</v>
      </c>
      <c r="C68" s="248" t="str">
        <f>IFERROR(TIMEVALUE(INDEX($H$1:$BT$1,MATCH("I",$H68:$BT68,0))),"OFF")</f>
        <v>OFF</v>
      </c>
      <c r="D68" s="248" t="str">
        <f>IFERROR(TIMEVALUE(INDEX($H$1:$BT$1,MATCH("F",$H68:$BT68,0))),"OFF")</f>
        <v>OFF</v>
      </c>
      <c r="E68" s="580"/>
      <c r="F68" s="586"/>
      <c r="G68" s="596"/>
      <c r="X68" s="131"/>
      <c r="Y68" s="133"/>
      <c r="Z68" s="133"/>
      <c r="AA68" s="133"/>
      <c r="AB68" s="133"/>
      <c r="AC68" s="133"/>
      <c r="AD68" s="133"/>
      <c r="AE68" s="133"/>
      <c r="AF68" s="133"/>
      <c r="AQ68" s="133"/>
      <c r="AR68" s="133"/>
      <c r="AS68" s="133"/>
      <c r="AT68" s="133"/>
      <c r="AU68" s="133"/>
      <c r="AV68" s="133"/>
      <c r="AW68" s="133"/>
      <c r="AX68" s="133"/>
      <c r="AY68" s="133"/>
      <c r="BT68" s="311"/>
      <c r="BU68" s="130"/>
    </row>
    <row r="69" spans="1:77" ht="32.1" customHeight="1" x14ac:dyDescent="0.25">
      <c r="A69" s="249"/>
      <c r="B69" s="250"/>
      <c r="C69" s="251"/>
      <c r="D69" s="275"/>
      <c r="E69" s="580"/>
      <c r="F69" s="590"/>
      <c r="G69" s="596"/>
      <c r="U69" s="89"/>
      <c r="X69" s="131"/>
      <c r="Y69" s="133"/>
      <c r="Z69" s="133"/>
      <c r="AA69" s="133"/>
      <c r="AB69" s="133"/>
      <c r="AC69" s="133"/>
      <c r="AD69" s="133"/>
      <c r="AE69" s="133"/>
      <c r="AF69" s="119"/>
      <c r="AG69" s="90"/>
      <c r="AH69" s="119"/>
      <c r="AI69" s="91"/>
      <c r="AJ69" s="91"/>
      <c r="AK69" s="90"/>
      <c r="AL69" s="200"/>
      <c r="AM69" s="200"/>
      <c r="AN69" s="200"/>
      <c r="AO69" s="135"/>
      <c r="AP69" s="135"/>
      <c r="AQ69" s="134"/>
      <c r="AR69" s="134"/>
      <c r="AS69" s="86"/>
      <c r="AT69" s="86"/>
      <c r="AU69" s="133"/>
      <c r="AV69" s="133"/>
      <c r="AW69" s="133"/>
      <c r="AX69" s="133"/>
      <c r="AY69" s="133"/>
      <c r="BB69" s="90"/>
      <c r="BD69" s="91"/>
      <c r="BE69" s="91"/>
      <c r="BT69" s="311"/>
      <c r="BU69" s="130"/>
    </row>
    <row r="70" spans="1:77" ht="24.75" customHeight="1" x14ac:dyDescent="0.25">
      <c r="A70" s="246"/>
      <c r="B70" s="247">
        <f>IFERROR(D70-C70+IF(C70&gt;=D70,1),0)*24</f>
        <v>0</v>
      </c>
      <c r="C70" s="248" t="str">
        <f>IFERROR(TIMEVALUE(INDEX($H$1:$BT$1,MATCH("I",$H70:$BT70,0))),"OFF")</f>
        <v>OFF</v>
      </c>
      <c r="D70" s="248" t="str">
        <f>IFERROR(TIMEVALUE(INDEX($H$1:$BT$1,MATCH("F",$H70:$BT70,0))),"OFF")</f>
        <v>OFF</v>
      </c>
      <c r="E70" s="580"/>
      <c r="F70" s="588"/>
      <c r="G70" s="596"/>
      <c r="X70" s="131"/>
      <c r="Y70" s="133"/>
      <c r="Z70" s="133"/>
      <c r="AA70" s="133"/>
      <c r="AB70" s="133"/>
      <c r="AC70" s="133"/>
      <c r="AD70" s="133"/>
      <c r="AE70" s="133"/>
      <c r="AF70" s="133"/>
      <c r="AQ70" s="133"/>
      <c r="AR70" s="133"/>
      <c r="AS70" s="133"/>
      <c r="AT70" s="133"/>
      <c r="AU70" s="133"/>
      <c r="AV70" s="133"/>
      <c r="AW70" s="133"/>
      <c r="AX70" s="133"/>
      <c r="AY70" s="133"/>
      <c r="BT70" s="311"/>
      <c r="BU70" s="130"/>
    </row>
    <row r="71" spans="1:77" ht="32.1" customHeight="1" x14ac:dyDescent="0.25">
      <c r="A71" s="242"/>
      <c r="B71" s="243"/>
      <c r="C71" s="244"/>
      <c r="D71" s="244"/>
      <c r="E71" s="580"/>
      <c r="F71" s="587"/>
      <c r="G71" s="596"/>
      <c r="X71" s="131"/>
      <c r="Y71" s="131"/>
      <c r="Z71" s="131"/>
      <c r="AA71" s="131"/>
      <c r="AB71" s="137"/>
      <c r="AC71" s="131"/>
      <c r="AD71" s="131"/>
      <c r="AE71" s="131"/>
      <c r="AF71" s="133"/>
      <c r="AG71" s="90"/>
      <c r="AH71" s="115"/>
      <c r="AI71" s="115"/>
      <c r="AM71" s="90"/>
      <c r="AN71" s="90"/>
      <c r="AO71" s="138"/>
      <c r="AP71" s="138"/>
      <c r="AQ71" s="133"/>
      <c r="AR71" s="97"/>
      <c r="AS71" s="133"/>
      <c r="AT71" s="133"/>
      <c r="AU71" s="133"/>
      <c r="AV71" s="133"/>
      <c r="AW71" s="133"/>
      <c r="AX71" s="133"/>
      <c r="AY71" s="133"/>
      <c r="AZ71" s="91"/>
      <c r="BB71" s="91"/>
      <c r="BC71" s="90"/>
      <c r="BM71" s="119"/>
      <c r="BT71" s="311"/>
      <c r="BU71" s="130"/>
    </row>
    <row r="72" spans="1:77" ht="24.95" customHeight="1" x14ac:dyDescent="0.25">
      <c r="A72" s="325"/>
      <c r="B72" s="247">
        <f>IFERROR(D72-C72+IF(C72&gt;=D72,1),0)*24</f>
        <v>0</v>
      </c>
      <c r="C72" s="248" t="str">
        <f>IFERROR(TIMEVALUE(INDEX($H$1:$BT$1,MATCH("I",$H72:$BT72,0))),"OFF")</f>
        <v>OFF</v>
      </c>
      <c r="D72" s="248" t="str">
        <f>IFERROR(TIMEVALUE(INDEX($H$1:$BT$1,MATCH("F",$H72:$BT72,0))),"OFF")</f>
        <v>OFF</v>
      </c>
      <c r="E72" s="580"/>
      <c r="F72" s="588"/>
      <c r="G72" s="596"/>
      <c r="H72" s="289"/>
      <c r="W72" s="143"/>
      <c r="X72" s="131"/>
      <c r="Y72" s="131"/>
      <c r="Z72" s="131"/>
      <c r="AA72" s="131"/>
      <c r="AB72" s="131"/>
      <c r="AC72" s="131"/>
      <c r="AD72" s="131"/>
      <c r="AE72" s="131"/>
      <c r="AF72" s="133"/>
      <c r="AQ72" s="133"/>
      <c r="AR72" s="133"/>
      <c r="AS72" s="133"/>
      <c r="AT72" s="133"/>
      <c r="AU72" s="133"/>
      <c r="AV72" s="133"/>
      <c r="AW72" s="133"/>
      <c r="AX72" s="133"/>
      <c r="AY72" s="133"/>
      <c r="BT72" s="311"/>
      <c r="BU72" s="130"/>
    </row>
    <row r="73" spans="1:77" ht="32.1" customHeight="1" x14ac:dyDescent="0.25">
      <c r="A73" s="252"/>
      <c r="B73" s="250"/>
      <c r="C73" s="251"/>
      <c r="D73" s="251"/>
      <c r="E73" s="580"/>
      <c r="F73" s="587"/>
      <c r="G73" s="596"/>
      <c r="H73" s="289"/>
      <c r="W73" s="143"/>
      <c r="X73" s="144"/>
      <c r="Y73" s="145"/>
      <c r="Z73" s="131"/>
      <c r="AA73" s="131"/>
      <c r="AB73" s="86"/>
      <c r="AC73" s="131"/>
      <c r="AD73" s="145"/>
      <c r="AE73" s="146"/>
      <c r="AF73" s="93"/>
      <c r="AG73" s="90"/>
      <c r="AL73" s="89"/>
      <c r="AO73" s="135"/>
      <c r="AQ73" s="133"/>
      <c r="AR73" s="133"/>
      <c r="AS73" s="133"/>
      <c r="AT73" s="133"/>
      <c r="AU73" s="133"/>
      <c r="AV73" s="86"/>
      <c r="AW73" s="133"/>
      <c r="AX73" s="133"/>
      <c r="AY73" s="133"/>
      <c r="BA73" s="90"/>
      <c r="BH73" s="200"/>
      <c r="BI73" s="91"/>
      <c r="BJ73" s="91"/>
      <c r="BT73" s="311"/>
      <c r="BU73" s="130"/>
    </row>
    <row r="74" spans="1:77" ht="24.95" customHeight="1" x14ac:dyDescent="0.25">
      <c r="A74" s="325"/>
      <c r="B74" s="247">
        <f>IFERROR(D74-C74+IF(C74&gt;=D74,1),0)*24</f>
        <v>0</v>
      </c>
      <c r="C74" s="248" t="str">
        <f>IFERROR(TIMEVALUE(INDEX($H$1:$BT$1,MATCH("I",$H74:$BT74,0))),"OFF")</f>
        <v>OFF</v>
      </c>
      <c r="D74" s="248" t="str">
        <f>IFERROR(TIMEVALUE(INDEX($H$1:$BT$1,MATCH("F",$H74:$BT74,0))),"OFF")</f>
        <v>OFF</v>
      </c>
      <c r="E74" s="580"/>
      <c r="F74" s="586"/>
      <c r="G74" s="596"/>
      <c r="H74" s="289"/>
      <c r="J74" s="147"/>
      <c r="X74" s="133"/>
      <c r="Y74" s="131"/>
      <c r="Z74" s="131"/>
      <c r="AA74" s="131"/>
      <c r="AB74" s="131"/>
      <c r="AC74" s="131"/>
      <c r="AD74" s="131"/>
      <c r="AE74" s="131"/>
      <c r="AF74" s="133"/>
      <c r="AQ74" s="133"/>
      <c r="AR74" s="133"/>
      <c r="AS74" s="133"/>
      <c r="AT74" s="133"/>
      <c r="AU74" s="133"/>
      <c r="AV74" s="133"/>
      <c r="AW74" s="133"/>
      <c r="AX74" s="133"/>
      <c r="AY74" s="133"/>
      <c r="BT74" s="311"/>
      <c r="BU74" s="130"/>
    </row>
    <row r="75" spans="1:77" ht="32.1" customHeight="1" x14ac:dyDescent="0.25">
      <c r="A75" s="249"/>
      <c r="B75" s="250"/>
      <c r="C75" s="251"/>
      <c r="D75" s="275"/>
      <c r="E75" s="580"/>
      <c r="F75" s="570"/>
      <c r="G75" s="596"/>
      <c r="H75" s="290"/>
      <c r="I75" s="291"/>
      <c r="J75" s="291"/>
      <c r="K75" s="291"/>
      <c r="L75" s="291"/>
      <c r="M75" s="291"/>
      <c r="N75" s="291"/>
      <c r="O75" s="291"/>
      <c r="P75" s="291"/>
      <c r="Q75" s="306"/>
      <c r="R75" s="291"/>
      <c r="S75" s="291"/>
      <c r="T75" s="291"/>
      <c r="U75" s="295"/>
      <c r="V75" s="295"/>
      <c r="W75" s="295"/>
      <c r="X75" s="294"/>
      <c r="Y75" s="294"/>
      <c r="Z75" s="294"/>
      <c r="AA75" s="294"/>
      <c r="AB75" s="303"/>
      <c r="AC75" s="303"/>
      <c r="AD75" s="294"/>
      <c r="AE75" s="294"/>
      <c r="AF75" s="294"/>
      <c r="AG75" s="291"/>
      <c r="AH75" s="295"/>
      <c r="AI75" s="291"/>
      <c r="AJ75" s="291"/>
      <c r="AK75" s="307"/>
      <c r="AL75" s="307"/>
      <c r="AM75" s="291"/>
      <c r="AN75" s="291"/>
      <c r="AO75" s="295"/>
      <c r="AP75" s="307"/>
      <c r="AQ75" s="294"/>
      <c r="AR75" s="303"/>
      <c r="AS75" s="294"/>
      <c r="AT75" s="294"/>
      <c r="AU75" s="308"/>
      <c r="AV75" s="309"/>
      <c r="AW75" s="303"/>
      <c r="AX75" s="303"/>
      <c r="AY75" s="294"/>
      <c r="AZ75" s="291"/>
      <c r="BA75" s="307"/>
      <c r="BB75" s="291"/>
      <c r="BC75" s="291"/>
      <c r="BD75" s="291"/>
      <c r="BE75" s="291"/>
      <c r="BF75" s="291"/>
      <c r="BG75" s="291"/>
      <c r="BH75" s="295"/>
      <c r="BI75" s="295"/>
      <c r="BJ75" s="306"/>
      <c r="BK75" s="291"/>
      <c r="BL75" s="291"/>
      <c r="BM75" s="291"/>
      <c r="BN75" s="291"/>
      <c r="BO75" s="298"/>
      <c r="BP75" s="298"/>
      <c r="BQ75" s="291"/>
      <c r="BR75" s="291"/>
      <c r="BS75" s="291"/>
      <c r="BT75" s="312"/>
      <c r="BU75" s="130"/>
    </row>
    <row r="76" spans="1:77" ht="24.95" customHeight="1" x14ac:dyDescent="0.25">
      <c r="A76" s="246"/>
      <c r="B76" s="247">
        <f>IFERROR(D76-C76+IF(C76&gt;=D76,1),0)*24</f>
        <v>0</v>
      </c>
      <c r="C76" s="248" t="str">
        <f>IFERROR(TIMEVALUE(INDEX($H$1:$BT$1,MATCH("I",$H76:$BT76,0))),"OFF")</f>
        <v>OFF</v>
      </c>
      <c r="D76" s="248" t="str">
        <f>IFERROR(TIMEVALUE(INDEX($H$1:$BT$1,MATCH("F",$H76:$BT76,0))),"OFF")</f>
        <v>OFF</v>
      </c>
      <c r="E76" s="580"/>
      <c r="F76" s="570"/>
      <c r="G76" s="596"/>
      <c r="X76" s="133"/>
      <c r="Y76" s="133"/>
      <c r="Z76" s="133"/>
      <c r="AA76" s="133"/>
      <c r="AB76" s="133"/>
      <c r="AC76" s="133"/>
      <c r="AD76" s="133"/>
      <c r="AE76" s="133"/>
      <c r="AF76" s="133"/>
      <c r="AQ76" s="133"/>
      <c r="AR76" s="133"/>
      <c r="AS76" s="133"/>
      <c r="AT76" s="133"/>
      <c r="AU76" s="133"/>
      <c r="AV76" s="133"/>
      <c r="AW76" s="133"/>
      <c r="AX76" s="133"/>
      <c r="AY76" s="133"/>
      <c r="BT76" s="311"/>
      <c r="BU76" s="130"/>
    </row>
    <row r="77" spans="1:77" ht="32.1" customHeight="1" x14ac:dyDescent="0.25">
      <c r="A77" s="249"/>
      <c r="B77" s="250"/>
      <c r="C77" s="251"/>
      <c r="D77" s="251"/>
      <c r="E77" s="580"/>
      <c r="F77" s="570"/>
      <c r="G77" s="596"/>
      <c r="X77" s="133"/>
      <c r="Y77" s="133"/>
      <c r="Z77" s="133"/>
      <c r="AA77" s="133"/>
      <c r="AB77" s="133"/>
      <c r="AC77" s="133"/>
      <c r="AD77" s="133"/>
      <c r="AE77" s="133"/>
      <c r="AF77" s="133"/>
      <c r="AH77" s="90"/>
      <c r="AI77" s="55"/>
      <c r="AJ77" s="90"/>
      <c r="AP77" s="90"/>
      <c r="AQ77" s="133"/>
      <c r="AR77" s="133"/>
      <c r="AS77" s="133"/>
      <c r="AT77" s="133"/>
      <c r="AU77" s="133"/>
      <c r="AV77" s="85"/>
      <c r="AW77" s="86"/>
      <c r="AX77" s="86"/>
      <c r="AY77" s="86"/>
      <c r="AZ77" s="91"/>
      <c r="BA77" s="91"/>
      <c r="BB77" s="91"/>
      <c r="BT77" s="311"/>
      <c r="BU77" s="130"/>
    </row>
    <row r="78" spans="1:77" ht="24.75" customHeight="1" x14ac:dyDescent="0.25">
      <c r="A78" s="246"/>
      <c r="B78" s="247">
        <f>IFERROR(D78-C78+IF(C78&gt;=D78,1),0)*24</f>
        <v>0</v>
      </c>
      <c r="C78" s="248" t="str">
        <f>IFERROR(TIMEVALUE(INDEX($H$1:$BT$1,MATCH("I",$H78:$BT78,0))),"OFF")</f>
        <v>OFF</v>
      </c>
      <c r="D78" s="248" t="str">
        <f>IFERROR(TIMEVALUE(INDEX($H$1:$BT$1,MATCH("F",$H78:$BT78,0))),"OFF")</f>
        <v>OFF</v>
      </c>
      <c r="E78" s="580"/>
      <c r="F78" s="570"/>
      <c r="G78" s="596"/>
      <c r="X78" s="133"/>
      <c r="Y78" s="133"/>
      <c r="Z78" s="133"/>
      <c r="AA78" s="133"/>
      <c r="AB78" s="133"/>
      <c r="AC78" s="133"/>
      <c r="AD78" s="133"/>
      <c r="AE78" s="133"/>
      <c r="AF78" s="133"/>
      <c r="AQ78" s="133"/>
      <c r="AR78" s="133"/>
      <c r="AS78" s="133"/>
      <c r="AT78" s="133"/>
      <c r="AU78" s="133"/>
      <c r="AV78" s="133"/>
      <c r="AW78" s="133"/>
      <c r="AX78" s="133"/>
      <c r="AY78" s="133"/>
      <c r="BT78" s="311"/>
      <c r="BU78" s="130"/>
    </row>
    <row r="79" spans="1:77" ht="32.1" customHeight="1" x14ac:dyDescent="0.25">
      <c r="A79" s="103"/>
      <c r="B79" s="104"/>
      <c r="C79" s="105"/>
      <c r="D79" s="105"/>
      <c r="E79" s="580"/>
      <c r="F79" s="570"/>
      <c r="G79" s="596"/>
      <c r="Q79" s="89"/>
      <c r="R79" s="89"/>
      <c r="T79" s="89"/>
      <c r="X79" s="133"/>
      <c r="Y79" s="86"/>
      <c r="Z79" s="85"/>
      <c r="AA79" s="86"/>
      <c r="AB79" s="86"/>
      <c r="AC79" s="133"/>
      <c r="AD79" s="86"/>
      <c r="AE79" s="97"/>
      <c r="AF79" s="97"/>
      <c r="AO79" s="135"/>
      <c r="AQ79" s="133"/>
      <c r="AR79" s="133"/>
      <c r="AS79" s="133"/>
      <c r="AT79" s="133"/>
      <c r="AU79" s="133"/>
      <c r="AV79" s="133"/>
      <c r="AW79" s="133"/>
      <c r="AX79" s="133"/>
      <c r="AY79" s="133"/>
      <c r="BT79" s="311"/>
      <c r="BU79" s="130"/>
    </row>
    <row r="80" spans="1:77" ht="24.95" customHeight="1" x14ac:dyDescent="0.25">
      <c r="A80" s="246"/>
      <c r="B80" s="247">
        <f>IFERROR(D80-C80+IF(C80&gt;=D80,1),0)*24</f>
        <v>0</v>
      </c>
      <c r="C80" s="248" t="str">
        <f>IFERROR(TIMEVALUE(INDEX($H$1:$BT$1,MATCH("I",$H80:$BT80,0))),"OFF")</f>
        <v>OFF</v>
      </c>
      <c r="D80" s="248" t="str">
        <f>IFERROR(TIMEVALUE(INDEX($H$1:$BT$1,MATCH("F",$H80:$BT80,0))),"OFF")</f>
        <v>OFF</v>
      </c>
      <c r="E80" s="580"/>
      <c r="F80" s="570"/>
      <c r="G80" s="596"/>
      <c r="X80" s="133"/>
      <c r="Y80" s="133"/>
      <c r="Z80" s="133"/>
      <c r="AA80" s="133"/>
      <c r="AB80" s="133"/>
      <c r="AC80" s="133"/>
      <c r="AD80" s="133"/>
      <c r="AE80" s="133"/>
      <c r="AF80" s="133"/>
      <c r="AQ80" s="133"/>
      <c r="AR80" s="133"/>
      <c r="AS80" s="133"/>
      <c r="AT80" s="133"/>
      <c r="AU80" s="133"/>
      <c r="AV80" s="133"/>
      <c r="AW80" s="133"/>
      <c r="AX80" s="133"/>
      <c r="AY80" s="133"/>
      <c r="BT80" s="311"/>
      <c r="BU80" s="130"/>
    </row>
    <row r="81" spans="1:77" ht="32.1" customHeight="1" x14ac:dyDescent="0.25">
      <c r="A81" s="249"/>
      <c r="B81" s="250"/>
      <c r="C81" s="251"/>
      <c r="D81" s="251"/>
      <c r="E81" s="580"/>
      <c r="F81" s="570"/>
      <c r="G81" s="596"/>
      <c r="R81" s="89"/>
      <c r="U81" s="90"/>
      <c r="V81" s="90"/>
      <c r="W81" s="90"/>
      <c r="X81" s="133"/>
      <c r="Y81" s="136"/>
      <c r="Z81" s="86"/>
      <c r="AA81" s="133"/>
      <c r="AB81" s="86"/>
      <c r="AC81" s="133"/>
      <c r="AD81" s="92"/>
      <c r="AE81" s="133"/>
      <c r="AF81" s="133"/>
      <c r="AG81" s="90"/>
      <c r="AJ81" s="91"/>
      <c r="AK81" s="91"/>
      <c r="AL81" s="91"/>
      <c r="AQ81" s="133"/>
      <c r="AR81" s="133"/>
      <c r="AS81" s="133"/>
      <c r="AT81" s="133"/>
      <c r="AU81" s="133"/>
      <c r="AV81" s="133"/>
      <c r="AW81" s="133"/>
      <c r="AX81" s="133"/>
      <c r="AY81" s="85"/>
      <c r="AZ81" s="91"/>
      <c r="BT81" s="311"/>
      <c r="BU81" s="130"/>
    </row>
    <row r="82" spans="1:77" ht="24.95" customHeight="1" x14ac:dyDescent="0.25">
      <c r="A82" s="246"/>
      <c r="B82" s="247">
        <f>IFERROR(D82-C82+IF(C82&gt;=D82,1),0)*24</f>
        <v>0</v>
      </c>
      <c r="C82" s="248" t="str">
        <f>IFERROR(TIMEVALUE(INDEX($H$1:$BT$1,MATCH("I",$H82:$BT82,0))),"OFF")</f>
        <v>OFF</v>
      </c>
      <c r="D82" s="248" t="str">
        <f>IFERROR(TIMEVALUE(INDEX($H$1:$BT$1,MATCH("F",$H82:$BT82,0))),"OFF")</f>
        <v>OFF</v>
      </c>
      <c r="E82" s="580"/>
      <c r="F82" s="570"/>
      <c r="G82" s="596"/>
      <c r="X82" s="133"/>
      <c r="Y82" s="133"/>
      <c r="Z82" s="133"/>
      <c r="AA82" s="133"/>
      <c r="AB82" s="133"/>
      <c r="AC82" s="133"/>
      <c r="AD82" s="133"/>
      <c r="AE82" s="133"/>
      <c r="AF82" s="133"/>
      <c r="AQ82" s="133"/>
      <c r="AR82" s="133"/>
      <c r="AS82" s="133"/>
      <c r="AT82" s="133"/>
      <c r="AU82" s="133"/>
      <c r="AV82" s="133"/>
      <c r="AW82" s="133"/>
      <c r="AX82" s="133"/>
      <c r="AY82" s="133"/>
      <c r="BT82" s="311"/>
      <c r="BU82" s="130"/>
    </row>
    <row r="83" spans="1:77" ht="32.1" customHeight="1" x14ac:dyDescent="0.25">
      <c r="A83" s="249"/>
      <c r="B83" s="250"/>
      <c r="C83" s="251"/>
      <c r="D83" s="251"/>
      <c r="E83" s="580"/>
      <c r="F83" s="570"/>
      <c r="G83" s="596"/>
      <c r="X83" s="133"/>
      <c r="Y83" s="133"/>
      <c r="Z83" s="133"/>
      <c r="AA83" s="133"/>
      <c r="AB83" s="133"/>
      <c r="AC83" s="86"/>
      <c r="AD83" s="86"/>
      <c r="AE83" s="133"/>
      <c r="AF83" s="86"/>
      <c r="AG83" s="90"/>
      <c r="AK83" s="91"/>
      <c r="AL83" s="91"/>
      <c r="AM83" s="90"/>
      <c r="AO83" s="91"/>
      <c r="AQ83" s="133"/>
      <c r="AR83" s="92"/>
      <c r="AS83" s="133"/>
      <c r="AT83" s="133"/>
      <c r="AU83" s="133"/>
      <c r="AV83" s="133"/>
      <c r="AW83" s="133"/>
      <c r="AX83" s="133"/>
      <c r="AY83" s="133"/>
      <c r="BT83" s="311"/>
      <c r="BU83" s="130"/>
    </row>
    <row r="84" spans="1:77" ht="24.95" customHeight="1" x14ac:dyDescent="0.25">
      <c r="A84" s="246"/>
      <c r="B84" s="247">
        <f>IFERROR(D84-C84+IF(C84&gt;=D84,1),0)*24</f>
        <v>0</v>
      </c>
      <c r="C84" s="248" t="str">
        <f>IFERROR(TIMEVALUE(INDEX($H$1:$BT$1,MATCH("I",$H84:$BT84,0))),"OFF")</f>
        <v>OFF</v>
      </c>
      <c r="D84" s="248" t="str">
        <f>IFERROR(TIMEVALUE(INDEX($H$1:$BT$1,MATCH("F",$H84:$BT84,0))),"OFF")</f>
        <v>OFF</v>
      </c>
      <c r="E84" s="580"/>
      <c r="F84" s="570"/>
      <c r="G84" s="596"/>
      <c r="X84" s="133"/>
      <c r="Y84" s="133"/>
      <c r="Z84" s="133"/>
      <c r="AA84" s="133"/>
      <c r="AB84" s="133"/>
      <c r="AC84" s="133"/>
      <c r="AD84" s="133"/>
      <c r="AE84" s="133"/>
      <c r="AF84" s="133"/>
      <c r="AQ84" s="133"/>
      <c r="AR84" s="133"/>
      <c r="AS84" s="133"/>
      <c r="AT84" s="133"/>
      <c r="AU84" s="133"/>
      <c r="AV84" s="133"/>
      <c r="AW84" s="133"/>
      <c r="AX84" s="133"/>
      <c r="AY84" s="133"/>
      <c r="BT84" s="311"/>
      <c r="BU84" s="130"/>
    </row>
    <row r="85" spans="1:77" ht="32.1" customHeight="1" thickBot="1" x14ac:dyDescent="0.3">
      <c r="A85" s="98"/>
      <c r="B85" s="99"/>
      <c r="C85" s="100"/>
      <c r="D85" s="100"/>
      <c r="E85" s="581"/>
      <c r="F85" s="286"/>
      <c r="G85" s="597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9"/>
      <c r="Y85" s="149"/>
      <c r="Z85" s="149"/>
      <c r="AA85" s="149"/>
      <c r="AB85" s="149"/>
      <c r="AC85" s="149"/>
      <c r="AD85" s="149"/>
      <c r="AE85" s="149"/>
      <c r="AF85" s="149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9"/>
      <c r="AR85" s="149"/>
      <c r="AS85" s="149"/>
      <c r="AT85" s="149"/>
      <c r="AU85" s="149"/>
      <c r="AV85" s="149"/>
      <c r="AW85" s="150"/>
      <c r="AX85" s="150"/>
      <c r="AY85" s="149"/>
      <c r="AZ85" s="148"/>
      <c r="BA85" s="113"/>
      <c r="BB85" s="148"/>
      <c r="BC85" s="148"/>
      <c r="BD85" s="148"/>
      <c r="BE85" s="113"/>
      <c r="BF85" s="148"/>
      <c r="BG85" s="113"/>
      <c r="BH85" s="148"/>
      <c r="BI85" s="148"/>
      <c r="BJ85" s="148"/>
      <c r="BK85" s="148"/>
      <c r="BL85" s="148"/>
      <c r="BM85" s="148"/>
      <c r="BN85" s="148"/>
      <c r="BO85" s="148"/>
      <c r="BP85" s="148"/>
      <c r="BQ85" s="148"/>
      <c r="BR85" s="148"/>
      <c r="BS85" s="148"/>
      <c r="BT85" s="313"/>
      <c r="BU85" s="130"/>
    </row>
    <row r="86" spans="1:77" ht="32.1" customHeight="1" x14ac:dyDescent="0.25">
      <c r="A86" s="103"/>
      <c r="B86" s="104"/>
      <c r="C86" s="104"/>
      <c r="D86" s="245"/>
      <c r="E86" s="579" t="str">
        <f>UPPER(TEXT(LUN!A1+4,"gggg g mmm"))</f>
        <v>VENERDÌ 22 AGO</v>
      </c>
      <c r="F86" s="585"/>
      <c r="G86" s="595"/>
      <c r="V86" s="91"/>
      <c r="W86" s="91"/>
      <c r="X86" s="145"/>
      <c r="Y86" s="133"/>
      <c r="Z86" s="133"/>
      <c r="AA86" s="133"/>
      <c r="AB86" s="86"/>
      <c r="AC86" s="314"/>
      <c r="AD86" s="133"/>
      <c r="AE86" s="133"/>
      <c r="AF86" s="133"/>
      <c r="AH86" s="315"/>
      <c r="AO86" s="135"/>
      <c r="AP86" s="135"/>
      <c r="AQ86" s="133"/>
      <c r="AR86" s="133"/>
      <c r="AS86" s="133"/>
      <c r="AT86" s="133"/>
      <c r="AU86" s="133"/>
      <c r="AV86" s="133"/>
      <c r="AW86" s="133"/>
      <c r="AX86" s="86"/>
      <c r="AY86" s="133"/>
      <c r="AZ86" s="91"/>
      <c r="BA86" s="90"/>
      <c r="BB86" s="91"/>
      <c r="BF86" s="135"/>
      <c r="BG86" s="135"/>
      <c r="BI86" s="135"/>
      <c r="BJ86" s="135"/>
      <c r="BT86" s="311"/>
      <c r="BU86" s="130"/>
    </row>
    <row r="87" spans="1:77" s="65" customFormat="1" ht="24.95" customHeight="1" x14ac:dyDescent="0.35">
      <c r="A87" s="325"/>
      <c r="B87" s="247">
        <f>IFERROR(D87-C87+IF(C87&gt;=D87,1),0)*24</f>
        <v>0</v>
      </c>
      <c r="C87" s="248" t="str">
        <f>IFERROR(TIMEVALUE(INDEX($H$1:$BT$1,MATCH("I",$H87:$BT87,0))),"OFF")</f>
        <v>OFF</v>
      </c>
      <c r="D87" s="248" t="str">
        <f>IFERROR(TIMEVALUE(INDEX($H$1:$BT$1,MATCH("F",$H87:$BT87,0))),"OFF")</f>
        <v>OFF</v>
      </c>
      <c r="E87" s="580"/>
      <c r="F87" s="586"/>
      <c r="G87" s="596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 s="131"/>
      <c r="Y87" s="133"/>
      <c r="Z87" s="133"/>
      <c r="AA87" s="133"/>
      <c r="AB87" s="133"/>
      <c r="AC87" s="133"/>
      <c r="AD87" s="133"/>
      <c r="AE87" s="133"/>
      <c r="AF87" s="133"/>
      <c r="AG87"/>
      <c r="AH87"/>
      <c r="AI87"/>
      <c r="AJ87"/>
      <c r="AK87"/>
      <c r="AL87"/>
      <c r="AM87"/>
      <c r="AN87"/>
      <c r="AO87"/>
      <c r="AP87"/>
      <c r="AQ87" s="133"/>
      <c r="AR87" s="133"/>
      <c r="AS87" s="133"/>
      <c r="AT87" s="133"/>
      <c r="AU87" s="133"/>
      <c r="AV87" s="133"/>
      <c r="AW87" s="133"/>
      <c r="AX87" s="133"/>
      <c r="AY87" s="133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 s="311"/>
      <c r="BU87" s="130"/>
      <c r="BV87"/>
      <c r="BW87"/>
      <c r="BX87"/>
      <c r="BY87"/>
    </row>
    <row r="88" spans="1:77" ht="32.1" customHeight="1" x14ac:dyDescent="0.25">
      <c r="A88" s="249"/>
      <c r="B88" s="250"/>
      <c r="C88" s="251"/>
      <c r="D88" s="275"/>
      <c r="E88" s="580"/>
      <c r="F88" s="587"/>
      <c r="G88" s="596"/>
      <c r="M88" s="90"/>
      <c r="U88" s="89"/>
      <c r="V88" s="90"/>
      <c r="W88" s="90"/>
      <c r="X88" s="131"/>
      <c r="Y88" s="133"/>
      <c r="Z88" s="133"/>
      <c r="AA88" s="134"/>
      <c r="AB88" s="134"/>
      <c r="AC88" s="133"/>
      <c r="AD88" s="134"/>
      <c r="AE88" s="133"/>
      <c r="AF88" s="133"/>
      <c r="AJ88" s="91"/>
      <c r="AL88" s="91"/>
      <c r="AM88" s="91"/>
      <c r="AN88" s="91"/>
      <c r="AO88" s="135"/>
      <c r="AP88" s="135"/>
      <c r="AQ88" s="136"/>
      <c r="AR88" s="136"/>
      <c r="AS88" s="136"/>
      <c r="AT88" s="85"/>
      <c r="AU88" s="85"/>
      <c r="AV88" s="85"/>
      <c r="AW88" s="133"/>
      <c r="AX88" s="133"/>
      <c r="AY88" s="133"/>
      <c r="BA88" s="91"/>
      <c r="BC88" s="91"/>
      <c r="BD88" s="91"/>
      <c r="BE88" s="135"/>
      <c r="BF88" s="135"/>
      <c r="BI88" s="135"/>
      <c r="BT88" s="311"/>
      <c r="BU88" s="130"/>
    </row>
    <row r="89" spans="1:77" ht="24.95" customHeight="1" x14ac:dyDescent="0.25">
      <c r="A89" s="325"/>
      <c r="B89" s="247">
        <f>IFERROR(D89-C89+IF(C89&gt;=D89,1),0)*24</f>
        <v>0</v>
      </c>
      <c r="C89" s="248" t="str">
        <f>IFERROR(TIMEVALUE(INDEX($H$1:$BT$1,MATCH("I",$H89:$BT89,0))),"OFF")</f>
        <v>OFF</v>
      </c>
      <c r="D89" s="248" t="str">
        <f>IFERROR(TIMEVALUE(INDEX($H$1:$BT$1,MATCH("F",$H89:$BT89,0))),"OFF")</f>
        <v>OFF</v>
      </c>
      <c r="E89" s="580"/>
      <c r="F89" s="586"/>
      <c r="G89" s="596"/>
      <c r="X89" s="131"/>
      <c r="Y89" s="133"/>
      <c r="Z89" s="133"/>
      <c r="AA89" s="133"/>
      <c r="AB89" s="133"/>
      <c r="AC89" s="133"/>
      <c r="AD89" s="133"/>
      <c r="AE89" s="133"/>
      <c r="AF89" s="133"/>
      <c r="AQ89" s="133"/>
      <c r="AR89" s="133"/>
      <c r="AS89" s="133"/>
      <c r="AT89" s="133"/>
      <c r="AU89" s="133"/>
      <c r="AV89" s="133"/>
      <c r="AW89" s="133"/>
      <c r="AX89" s="133"/>
      <c r="AY89" s="133"/>
      <c r="BT89" s="311"/>
      <c r="BU89" s="130"/>
    </row>
    <row r="90" spans="1:77" ht="32.1" customHeight="1" x14ac:dyDescent="0.25">
      <c r="A90" s="249"/>
      <c r="B90" s="250"/>
      <c r="C90" s="251"/>
      <c r="D90" s="251"/>
      <c r="E90" s="580"/>
      <c r="F90" s="587"/>
      <c r="G90" s="596"/>
      <c r="U90" s="89"/>
      <c r="X90" s="131"/>
      <c r="Y90" s="133"/>
      <c r="Z90" s="133"/>
      <c r="AA90" s="133"/>
      <c r="AB90" s="133"/>
      <c r="AC90" s="133"/>
      <c r="AD90" s="133"/>
      <c r="AE90" s="133"/>
      <c r="AF90" s="92"/>
      <c r="AG90" s="90"/>
      <c r="AI90" s="91"/>
      <c r="AJ90" s="91"/>
      <c r="AK90" s="90"/>
      <c r="AL90" s="200"/>
      <c r="AM90" s="91"/>
      <c r="AN90" s="91"/>
      <c r="AO90" s="135"/>
      <c r="AP90" s="135"/>
      <c r="AQ90" s="134"/>
      <c r="AR90" s="134"/>
      <c r="AS90" s="86"/>
      <c r="AT90" s="86"/>
      <c r="AU90" s="133"/>
      <c r="AV90" s="133"/>
      <c r="AW90" s="133"/>
      <c r="AX90" s="133"/>
      <c r="AY90" s="133"/>
      <c r="BA90" s="119"/>
      <c r="BB90" s="90"/>
      <c r="BD90" s="91"/>
      <c r="BE90" s="91"/>
      <c r="BT90" s="311"/>
      <c r="BU90" s="130"/>
    </row>
    <row r="91" spans="1:77" ht="24.75" customHeight="1" x14ac:dyDescent="0.25">
      <c r="A91" s="325"/>
      <c r="B91" s="247">
        <f>IFERROR(D91-C91+IF(C91&gt;=D91,1),0)*24</f>
        <v>0</v>
      </c>
      <c r="C91" s="248" t="str">
        <f>IFERROR(TIMEVALUE(INDEX($H$1:$BT$1,MATCH("I",$H91:$BT91,0))),"OFF")</f>
        <v>OFF</v>
      </c>
      <c r="D91" s="248" t="str">
        <f>IFERROR(TIMEVALUE(INDEX($H$1:$BT$1,MATCH("F",$H91:$BT91,0))),"OFF")</f>
        <v>OFF</v>
      </c>
      <c r="E91" s="580"/>
      <c r="F91" s="588"/>
      <c r="G91" s="596"/>
      <c r="X91" s="131"/>
      <c r="Y91" s="133"/>
      <c r="Z91" s="133"/>
      <c r="AA91" s="133"/>
      <c r="AB91" s="133"/>
      <c r="AC91" s="133"/>
      <c r="AD91" s="133"/>
      <c r="AE91" s="133"/>
      <c r="AF91" s="133"/>
      <c r="AQ91" s="133"/>
      <c r="AR91" s="133"/>
      <c r="AS91" s="133"/>
      <c r="AT91" s="133"/>
      <c r="AU91" s="133"/>
      <c r="AV91" s="133"/>
      <c r="AW91" s="133"/>
      <c r="AX91" s="133"/>
      <c r="AY91" s="133"/>
      <c r="BT91" s="311"/>
      <c r="BU91" s="130"/>
    </row>
    <row r="92" spans="1:77" ht="32.1" customHeight="1" x14ac:dyDescent="0.25">
      <c r="A92" s="242"/>
      <c r="B92" s="243"/>
      <c r="C92" s="244"/>
      <c r="D92" s="244"/>
      <c r="E92" s="580"/>
      <c r="F92" s="587"/>
      <c r="G92" s="596"/>
      <c r="H92" s="289"/>
      <c r="X92" s="131"/>
      <c r="Y92" s="131"/>
      <c r="Z92" s="131"/>
      <c r="AA92" s="131"/>
      <c r="AB92" s="137"/>
      <c r="AC92" s="131"/>
      <c r="AD92" s="131"/>
      <c r="AE92" s="131"/>
      <c r="AF92" s="133"/>
      <c r="AG92" s="90"/>
      <c r="AH92" s="119"/>
      <c r="AI92" s="119"/>
      <c r="AM92" s="90"/>
      <c r="AN92" s="90"/>
      <c r="AO92" s="138"/>
      <c r="AP92" s="138"/>
      <c r="AQ92" s="133"/>
      <c r="AR92" s="97"/>
      <c r="AS92" s="133"/>
      <c r="AT92" s="133"/>
      <c r="AU92" s="133"/>
      <c r="AV92" s="133"/>
      <c r="AW92" s="133"/>
      <c r="AX92" s="133"/>
      <c r="AY92" s="133"/>
      <c r="BB92" s="90"/>
      <c r="BC92" s="90"/>
      <c r="BD92" s="91"/>
      <c r="BE92" s="91"/>
      <c r="BH92" s="91"/>
      <c r="BP92" s="119"/>
      <c r="BT92" s="311"/>
      <c r="BU92" s="130"/>
    </row>
    <row r="93" spans="1:77" ht="24.95" customHeight="1" x14ac:dyDescent="0.25">
      <c r="A93" s="325"/>
      <c r="B93" s="247">
        <f>IFERROR(D93-C93+IF(C93&gt;=D93,1),0)*24</f>
        <v>0</v>
      </c>
      <c r="C93" s="248" t="str">
        <f>IFERROR(TIMEVALUE(INDEX($H$1:$BT$1,MATCH("I",$H93:$BT93,0))),"OFF")</f>
        <v>OFF</v>
      </c>
      <c r="D93" s="248" t="str">
        <f>IFERROR(TIMEVALUE(INDEX($H$1:$BT$1,MATCH("F",$H93:$BT93,0))),"OFF")</f>
        <v>OFF</v>
      </c>
      <c r="E93" s="580"/>
      <c r="F93" s="588"/>
      <c r="G93" s="596"/>
      <c r="H93" s="289"/>
      <c r="W93" s="143"/>
      <c r="X93" s="131"/>
      <c r="Y93" s="131"/>
      <c r="Z93" s="131"/>
      <c r="AA93" s="131"/>
      <c r="AB93" s="131"/>
      <c r="AC93" s="131"/>
      <c r="AD93" s="131"/>
      <c r="AE93" s="131"/>
      <c r="AF93" s="133"/>
      <c r="AQ93" s="133"/>
      <c r="AR93" s="133"/>
      <c r="AS93" s="133"/>
      <c r="AT93" s="133"/>
      <c r="AU93" s="133"/>
      <c r="AV93" s="133"/>
      <c r="AW93" s="133"/>
      <c r="AX93" s="133"/>
      <c r="AY93" s="133"/>
      <c r="BT93" s="311"/>
      <c r="BU93" s="130"/>
    </row>
    <row r="94" spans="1:77" ht="32.1" customHeight="1" x14ac:dyDescent="0.25">
      <c r="A94" s="252"/>
      <c r="B94" s="250"/>
      <c r="C94" s="251"/>
      <c r="D94" s="251"/>
      <c r="E94" s="580"/>
      <c r="F94" s="587"/>
      <c r="G94" s="596"/>
      <c r="H94" s="289"/>
      <c r="W94" s="143"/>
      <c r="X94" s="144"/>
      <c r="Y94" s="145"/>
      <c r="Z94" s="131"/>
      <c r="AA94" s="131"/>
      <c r="AB94" s="86"/>
      <c r="AC94" s="131"/>
      <c r="AD94" s="145"/>
      <c r="AE94" s="146"/>
      <c r="AF94" s="93"/>
      <c r="AG94" s="90"/>
      <c r="AL94" s="89"/>
      <c r="AO94" s="135"/>
      <c r="AQ94" s="133"/>
      <c r="AR94" s="133"/>
      <c r="AS94" s="133"/>
      <c r="AT94" s="133"/>
      <c r="AU94" s="133"/>
      <c r="AV94" s="86"/>
      <c r="AW94" s="133"/>
      <c r="AX94" s="133"/>
      <c r="AY94" s="133"/>
      <c r="BA94" s="90"/>
      <c r="BB94" s="90"/>
      <c r="BD94" s="90"/>
      <c r="BK94" s="90"/>
      <c r="BL94" s="91"/>
      <c r="BM94" s="91"/>
      <c r="BT94" s="311"/>
      <c r="BU94" s="130"/>
    </row>
    <row r="95" spans="1:77" ht="24.95" customHeight="1" x14ac:dyDescent="0.25">
      <c r="A95" s="325"/>
      <c r="B95" s="247">
        <f>IFERROR(D95-C95+IF(C95&gt;=D95,1),0)*24</f>
        <v>0</v>
      </c>
      <c r="C95" s="248" t="str">
        <f>IFERROR(TIMEVALUE(INDEX($H$1:$BT$1,MATCH("I",$H95:$BT95,0))),"OFF")</f>
        <v>OFF</v>
      </c>
      <c r="D95" s="248" t="str">
        <f>IFERROR(TIMEVALUE(INDEX($H$1:$BT$1,MATCH("F",$H95:$BT95,0))),"OFF")</f>
        <v>OFF</v>
      </c>
      <c r="E95" s="580"/>
      <c r="F95" s="586"/>
      <c r="G95" s="596"/>
      <c r="H95" s="289"/>
      <c r="J95" s="147"/>
      <c r="X95" s="133"/>
      <c r="Y95" s="131"/>
      <c r="Z95" s="131"/>
      <c r="AA95" s="131"/>
      <c r="AB95" s="131"/>
      <c r="AC95" s="131"/>
      <c r="AD95" s="131"/>
      <c r="AE95" s="131"/>
      <c r="AF95" s="133"/>
      <c r="AQ95" s="133"/>
      <c r="AR95" s="133"/>
      <c r="AS95" s="133"/>
      <c r="AT95" s="133"/>
      <c r="AU95" s="133"/>
      <c r="AV95" s="133"/>
      <c r="AW95" s="133"/>
      <c r="AX95" s="133"/>
      <c r="AY95" s="133"/>
      <c r="BT95" s="311"/>
      <c r="BU95" s="130"/>
    </row>
    <row r="96" spans="1:77" ht="32.1" customHeight="1" x14ac:dyDescent="0.25">
      <c r="A96" s="249"/>
      <c r="B96" s="250"/>
      <c r="C96" s="251"/>
      <c r="D96" s="275"/>
      <c r="E96" s="580"/>
      <c r="F96" s="570"/>
      <c r="G96" s="596"/>
      <c r="H96" s="290"/>
      <c r="I96" s="291"/>
      <c r="J96" s="291"/>
      <c r="K96" s="291"/>
      <c r="L96" s="291"/>
      <c r="M96" s="291"/>
      <c r="N96" s="291"/>
      <c r="O96" s="291"/>
      <c r="P96" s="291"/>
      <c r="Q96" s="306"/>
      <c r="R96" s="291"/>
      <c r="S96" s="291"/>
      <c r="T96" s="291"/>
      <c r="U96" s="295"/>
      <c r="V96" s="295"/>
      <c r="W96" s="295"/>
      <c r="X96" s="294"/>
      <c r="Y96" s="294"/>
      <c r="Z96" s="294"/>
      <c r="AA96" s="294"/>
      <c r="AB96" s="303"/>
      <c r="AC96" s="303"/>
      <c r="AD96" s="294"/>
      <c r="AE96" s="294"/>
      <c r="AF96" s="294"/>
      <c r="AG96" s="291"/>
      <c r="AH96" s="295"/>
      <c r="AI96" s="291"/>
      <c r="AJ96" s="291"/>
      <c r="AK96" s="307"/>
      <c r="AL96" s="307"/>
      <c r="AM96" s="291"/>
      <c r="AN96" s="291"/>
      <c r="AO96" s="295"/>
      <c r="AP96" s="307"/>
      <c r="AQ96" s="294"/>
      <c r="AR96" s="303"/>
      <c r="AS96" s="294"/>
      <c r="AT96" s="294"/>
      <c r="AU96" s="308"/>
      <c r="AV96" s="309"/>
      <c r="AW96" s="303"/>
      <c r="AX96" s="303"/>
      <c r="AY96" s="294"/>
      <c r="AZ96" s="291"/>
      <c r="BA96" s="307"/>
      <c r="BB96" s="291"/>
      <c r="BC96" s="291"/>
      <c r="BD96" s="291"/>
      <c r="BE96" s="291"/>
      <c r="BF96" s="291"/>
      <c r="BG96" s="291"/>
      <c r="BH96" s="291"/>
      <c r="BI96" s="306"/>
      <c r="BJ96" s="306"/>
      <c r="BK96" s="291"/>
      <c r="BL96" s="295"/>
      <c r="BM96" s="291"/>
      <c r="BN96" s="291"/>
      <c r="BO96" s="291"/>
      <c r="BP96" s="291"/>
      <c r="BQ96" s="291"/>
      <c r="BR96" s="291"/>
      <c r="BS96" s="298"/>
      <c r="BT96" s="316"/>
      <c r="BU96" s="130"/>
    </row>
    <row r="97" spans="1:77" ht="24.95" customHeight="1" x14ac:dyDescent="0.25">
      <c r="A97" s="246"/>
      <c r="B97" s="247">
        <f>IFERROR(D97-C97+IF(C97&gt;=D97,1),0)*24</f>
        <v>0</v>
      </c>
      <c r="C97" s="248" t="str">
        <f>IFERROR(TIMEVALUE(INDEX($H$1:$BT$1,MATCH("I",$H97:$BT97,0))),"OFF")</f>
        <v>OFF</v>
      </c>
      <c r="D97" s="248" t="str">
        <f>IFERROR(TIMEVALUE(INDEX($H$1:$BT$1,MATCH("F",$H97:$BT97,0))),"OFF")</f>
        <v>OFF</v>
      </c>
      <c r="E97" s="580"/>
      <c r="F97" s="570"/>
      <c r="G97" s="596"/>
      <c r="X97" s="133"/>
      <c r="Y97" s="133"/>
      <c r="Z97" s="133"/>
      <c r="AA97" s="133"/>
      <c r="AB97" s="133"/>
      <c r="AC97" s="133"/>
      <c r="AD97" s="133"/>
      <c r="AE97" s="133"/>
      <c r="AF97" s="133"/>
      <c r="AQ97" s="133"/>
      <c r="AR97" s="133"/>
      <c r="AS97" s="133"/>
      <c r="AT97" s="133"/>
      <c r="AU97" s="133"/>
      <c r="AV97" s="133"/>
      <c r="AW97" s="133"/>
      <c r="AX97" s="133"/>
      <c r="AY97" s="133"/>
      <c r="BT97" s="311"/>
      <c r="BU97" s="130"/>
    </row>
    <row r="98" spans="1:77" ht="32.1" customHeight="1" x14ac:dyDescent="0.25">
      <c r="A98" s="249"/>
      <c r="B98" s="250"/>
      <c r="C98" s="251"/>
      <c r="D98" s="251"/>
      <c r="E98" s="580"/>
      <c r="F98" s="570"/>
      <c r="G98" s="596"/>
      <c r="X98" s="133"/>
      <c r="Y98" s="133"/>
      <c r="Z98" s="133"/>
      <c r="AA98" s="133"/>
      <c r="AB98" s="133"/>
      <c r="AC98" s="133"/>
      <c r="AD98" s="133"/>
      <c r="AE98" s="133"/>
      <c r="AF98" s="133"/>
      <c r="AH98" s="90"/>
      <c r="AI98" s="55"/>
      <c r="AJ98" s="90"/>
      <c r="AP98" s="90"/>
      <c r="AQ98" s="133"/>
      <c r="AR98" s="133"/>
      <c r="AS98" s="133"/>
      <c r="AT98" s="133"/>
      <c r="AU98" s="133"/>
      <c r="AV98" s="85"/>
      <c r="AW98" s="86"/>
      <c r="AX98" s="86"/>
      <c r="AY98" s="86"/>
      <c r="AZ98" s="91"/>
      <c r="BA98" s="91"/>
      <c r="BB98" s="91"/>
      <c r="BT98" s="311"/>
      <c r="BU98" s="130"/>
    </row>
    <row r="99" spans="1:77" ht="24.75" customHeight="1" x14ac:dyDescent="0.25">
      <c r="A99" s="246"/>
      <c r="B99" s="247">
        <f>IFERROR(D99-C99+IF(C99&gt;=D99,1),0)*24</f>
        <v>0</v>
      </c>
      <c r="C99" s="248" t="str">
        <f>IFERROR(TIMEVALUE(INDEX($H$1:$BT$1,MATCH("I",$H99:$BT99,0))),"OFF")</f>
        <v>OFF</v>
      </c>
      <c r="D99" s="248" t="str">
        <f>IFERROR(TIMEVALUE(INDEX($H$1:$BT$1,MATCH("F",$H99:$BT99,0))),"OFF")</f>
        <v>OFF</v>
      </c>
      <c r="E99" s="580"/>
      <c r="F99" s="570"/>
      <c r="G99" s="596"/>
      <c r="X99" s="133"/>
      <c r="Y99" s="133"/>
      <c r="Z99" s="133"/>
      <c r="AA99" s="133"/>
      <c r="AB99" s="133"/>
      <c r="AC99" s="133"/>
      <c r="AD99" s="133"/>
      <c r="AE99" s="133"/>
      <c r="AF99" s="133"/>
      <c r="AQ99" s="133"/>
      <c r="AR99" s="133"/>
      <c r="AS99" s="133"/>
      <c r="AT99" s="133"/>
      <c r="AU99" s="133"/>
      <c r="AV99" s="133"/>
      <c r="AW99" s="133"/>
      <c r="AX99" s="133"/>
      <c r="AY99" s="133"/>
      <c r="BT99" s="311"/>
      <c r="BU99" s="130"/>
    </row>
    <row r="100" spans="1:77" ht="32.1" customHeight="1" x14ac:dyDescent="0.25">
      <c r="A100" s="103"/>
      <c r="B100" s="104"/>
      <c r="C100" s="105"/>
      <c r="D100" s="105"/>
      <c r="E100" s="580"/>
      <c r="F100" s="570"/>
      <c r="G100" s="596"/>
      <c r="Q100" s="89"/>
      <c r="R100" s="89"/>
      <c r="T100" s="89"/>
      <c r="X100" s="133"/>
      <c r="Y100" s="86"/>
      <c r="Z100" s="85"/>
      <c r="AA100" s="86"/>
      <c r="AB100" s="86"/>
      <c r="AC100" s="133"/>
      <c r="AD100" s="86"/>
      <c r="AE100" s="97"/>
      <c r="AF100" s="97"/>
      <c r="AO100" s="135"/>
      <c r="AQ100" s="133"/>
      <c r="AR100" s="133"/>
      <c r="AS100" s="133"/>
      <c r="AT100" s="133"/>
      <c r="AU100" s="133"/>
      <c r="AV100" s="133"/>
      <c r="AW100" s="133"/>
      <c r="AX100" s="133"/>
      <c r="AY100" s="133"/>
      <c r="BT100" s="311"/>
      <c r="BU100" s="130"/>
    </row>
    <row r="101" spans="1:77" ht="24.95" customHeight="1" x14ac:dyDescent="0.25">
      <c r="A101" s="246"/>
      <c r="B101" s="247">
        <f>IFERROR(D101-C101+IF(C101&gt;=D101,1),0)*24</f>
        <v>0</v>
      </c>
      <c r="C101" s="248" t="str">
        <f>IFERROR(TIMEVALUE(INDEX($H$1:$BT$1,MATCH("I",$H101:$BT101,0))),"OFF")</f>
        <v>OFF</v>
      </c>
      <c r="D101" s="248" t="str">
        <f>IFERROR(TIMEVALUE(INDEX($H$1:$BT$1,MATCH("F",$H101:$BT101,0))),"OFF")</f>
        <v>OFF</v>
      </c>
      <c r="E101" s="580"/>
      <c r="F101" s="570"/>
      <c r="G101" s="596"/>
      <c r="X101" s="133"/>
      <c r="Y101" s="133"/>
      <c r="Z101" s="133"/>
      <c r="AA101" s="133"/>
      <c r="AB101" s="133"/>
      <c r="AC101" s="133"/>
      <c r="AD101" s="133"/>
      <c r="AE101" s="133"/>
      <c r="AF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BT101" s="311"/>
      <c r="BU101" s="130"/>
    </row>
    <row r="102" spans="1:77" ht="32.1" customHeight="1" x14ac:dyDescent="0.25">
      <c r="A102" s="249"/>
      <c r="B102" s="250"/>
      <c r="C102" s="251"/>
      <c r="D102" s="251"/>
      <c r="E102" s="580"/>
      <c r="F102" s="570"/>
      <c r="G102" s="596"/>
      <c r="R102" s="89"/>
      <c r="U102" s="90"/>
      <c r="V102" s="90"/>
      <c r="W102" s="90"/>
      <c r="X102" s="133"/>
      <c r="Y102" s="136"/>
      <c r="Z102" s="86"/>
      <c r="AA102" s="133"/>
      <c r="AB102" s="86"/>
      <c r="AC102" s="133"/>
      <c r="AD102" s="92"/>
      <c r="AE102" s="133"/>
      <c r="AF102" s="133"/>
      <c r="AG102" s="90"/>
      <c r="AJ102" s="91"/>
      <c r="AK102" s="91"/>
      <c r="AL102" s="91"/>
      <c r="AQ102" s="133"/>
      <c r="AR102" s="133"/>
      <c r="AS102" s="133"/>
      <c r="AT102" s="133"/>
      <c r="AU102" s="133"/>
      <c r="AV102" s="133"/>
      <c r="AW102" s="133"/>
      <c r="AX102" s="133"/>
      <c r="AY102" s="85"/>
      <c r="AZ102" s="91"/>
      <c r="BT102" s="311"/>
      <c r="BU102" s="130"/>
    </row>
    <row r="103" spans="1:77" ht="24.95" customHeight="1" x14ac:dyDescent="0.25">
      <c r="A103" s="246"/>
      <c r="B103" s="247">
        <f>IFERROR(D103-C103+IF(C103&gt;=D103,1),0)*24</f>
        <v>0</v>
      </c>
      <c r="C103" s="248" t="str">
        <f>IFERROR(TIMEVALUE(INDEX($H$1:$BT$1,MATCH("I",$H103:$BT103,0))),"OFF")</f>
        <v>OFF</v>
      </c>
      <c r="D103" s="248" t="str">
        <f>IFERROR(TIMEVALUE(INDEX($H$1:$BT$1,MATCH("F",$H103:$BT103,0))),"OFF")</f>
        <v>OFF</v>
      </c>
      <c r="E103" s="580"/>
      <c r="F103" s="570"/>
      <c r="G103" s="596"/>
      <c r="X103" s="133"/>
      <c r="Y103" s="133"/>
      <c r="Z103" s="133"/>
      <c r="AA103" s="133"/>
      <c r="AB103" s="133"/>
      <c r="AC103" s="133"/>
      <c r="AD103" s="133"/>
      <c r="AE103" s="133"/>
      <c r="AF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BT103" s="311"/>
      <c r="BU103" s="130"/>
    </row>
    <row r="104" spans="1:77" ht="32.1" customHeight="1" x14ac:dyDescent="0.25">
      <c r="A104" s="249"/>
      <c r="B104" s="250"/>
      <c r="C104" s="251"/>
      <c r="D104" s="251"/>
      <c r="E104" s="580"/>
      <c r="F104" s="570"/>
      <c r="G104" s="596"/>
      <c r="X104" s="133"/>
      <c r="Y104" s="133"/>
      <c r="Z104" s="133"/>
      <c r="AA104" s="133"/>
      <c r="AB104" s="133"/>
      <c r="AC104" s="86"/>
      <c r="AD104" s="86"/>
      <c r="AE104" s="133"/>
      <c r="AF104" s="86"/>
      <c r="AG104" s="90"/>
      <c r="AK104" s="91"/>
      <c r="AL104" s="91"/>
      <c r="AM104" s="90"/>
      <c r="AO104" s="91"/>
      <c r="AQ104" s="133"/>
      <c r="AR104" s="92"/>
      <c r="AS104" s="133"/>
      <c r="AT104" s="133"/>
      <c r="AU104" s="133"/>
      <c r="AV104" s="133"/>
      <c r="AW104" s="133"/>
      <c r="AX104" s="133"/>
      <c r="AY104" s="133"/>
      <c r="BT104" s="311"/>
      <c r="BU104" s="130"/>
    </row>
    <row r="105" spans="1:77" ht="24.95" customHeight="1" x14ac:dyDescent="0.25">
      <c r="A105" s="246"/>
      <c r="B105" s="247">
        <f>IFERROR(D105-C105+IF(C105&gt;=D105,1),0)*24</f>
        <v>0</v>
      </c>
      <c r="C105" s="248" t="str">
        <f>IFERROR(TIMEVALUE(INDEX($H$1:$BT$1,MATCH("I",$H105:$BT105,0))),"OFF")</f>
        <v>OFF</v>
      </c>
      <c r="D105" s="248" t="str">
        <f>IFERROR(TIMEVALUE(INDEX($H$1:$BT$1,MATCH("F",$H105:$BT105,0))),"OFF")</f>
        <v>OFF</v>
      </c>
      <c r="E105" s="580"/>
      <c r="F105" s="570"/>
      <c r="G105" s="596"/>
      <c r="X105" s="133"/>
      <c r="Y105" s="133"/>
      <c r="Z105" s="133"/>
      <c r="AA105" s="133"/>
      <c r="AB105" s="133"/>
      <c r="AC105" s="133"/>
      <c r="AD105" s="133"/>
      <c r="AE105" s="133"/>
      <c r="AF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BT105" s="311"/>
      <c r="BU105" s="130"/>
    </row>
    <row r="106" spans="1:77" ht="32.1" customHeight="1" thickBot="1" x14ac:dyDescent="0.3">
      <c r="A106" s="98"/>
      <c r="B106" s="99"/>
      <c r="C106" s="100"/>
      <c r="D106" s="100"/>
      <c r="E106" s="581"/>
      <c r="F106" s="286"/>
      <c r="G106" s="597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9"/>
      <c r="Y106" s="149"/>
      <c r="Z106" s="149"/>
      <c r="AA106" s="149"/>
      <c r="AB106" s="149"/>
      <c r="AC106" s="149"/>
      <c r="AD106" s="149"/>
      <c r="AE106" s="149"/>
      <c r="AF106" s="149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9"/>
      <c r="AR106" s="149"/>
      <c r="AS106" s="149"/>
      <c r="AT106" s="149"/>
      <c r="AU106" s="149"/>
      <c r="AV106" s="149"/>
      <c r="AW106" s="150"/>
      <c r="AX106" s="150"/>
      <c r="AY106" s="149"/>
      <c r="AZ106" s="148"/>
      <c r="BA106" s="113"/>
      <c r="BB106" s="148"/>
      <c r="BC106" s="148"/>
      <c r="BD106" s="148"/>
      <c r="BE106" s="113"/>
      <c r="BF106" s="148"/>
      <c r="BG106" s="113"/>
      <c r="BH106" s="148"/>
      <c r="BI106" s="148"/>
      <c r="BJ106" s="148"/>
      <c r="BK106" s="148"/>
      <c r="BL106" s="148"/>
      <c r="BM106" s="148"/>
      <c r="BN106" s="148"/>
      <c r="BO106" s="148"/>
      <c r="BP106" s="148"/>
      <c r="BQ106" s="148"/>
      <c r="BR106" s="148"/>
      <c r="BS106" s="148"/>
      <c r="BT106" s="313"/>
      <c r="BU106" s="130"/>
    </row>
    <row r="107" spans="1:77" ht="32.1" customHeight="1" x14ac:dyDescent="0.25">
      <c r="A107" s="103"/>
      <c r="B107" s="104"/>
      <c r="C107" s="104"/>
      <c r="D107" s="245"/>
      <c r="E107" s="579" t="str">
        <f>UPPER(TEXT(LUN!A1+5,"gggg g mmm"))</f>
        <v>SABATO 23 AGO</v>
      </c>
      <c r="F107" s="585"/>
      <c r="G107" s="595"/>
      <c r="O107" s="115"/>
      <c r="V107" s="91"/>
      <c r="W107" s="91"/>
      <c r="X107" s="131"/>
      <c r="Y107" s="133"/>
      <c r="Z107" s="133"/>
      <c r="AA107" s="133"/>
      <c r="AB107" s="86"/>
      <c r="AC107" s="314"/>
      <c r="AD107" s="133"/>
      <c r="AE107" s="133"/>
      <c r="AF107" s="133"/>
      <c r="AH107" s="315"/>
      <c r="AO107" s="135"/>
      <c r="AP107" s="135"/>
      <c r="AQ107" s="133"/>
      <c r="AR107" s="133"/>
      <c r="AS107" s="133"/>
      <c r="AT107" s="133"/>
      <c r="AU107" s="133"/>
      <c r="AV107" s="133"/>
      <c r="AW107" s="133"/>
      <c r="AX107" s="86"/>
      <c r="AY107" s="133"/>
      <c r="AZ107" s="91"/>
      <c r="BA107" s="90"/>
      <c r="BB107" s="91"/>
      <c r="BF107" s="135"/>
      <c r="BG107" s="135"/>
      <c r="BI107" s="135"/>
      <c r="BJ107" s="135"/>
      <c r="BT107" s="311"/>
      <c r="BU107" s="130"/>
    </row>
    <row r="108" spans="1:77" s="65" customFormat="1" ht="24.95" customHeight="1" x14ac:dyDescent="0.35">
      <c r="A108" s="325"/>
      <c r="B108" s="247">
        <f>IFERROR(D108-C108+IF(C108&gt;=D108,1),0)*24</f>
        <v>0</v>
      </c>
      <c r="C108" s="248" t="str">
        <f>IFERROR(TIMEVALUE(INDEX($H$1:$BT$1,MATCH("I",$H108:$BT108,0))),"OFF")</f>
        <v>OFF</v>
      </c>
      <c r="D108" s="248" t="str">
        <f>IFERROR(TIMEVALUE(INDEX($H$1:$BT$1,MATCH("F",$H108:$BT108,0))),"OFF")</f>
        <v>OFF</v>
      </c>
      <c r="E108" s="580"/>
      <c r="F108" s="588"/>
      <c r="G108" s="596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 s="131"/>
      <c r="Y108" s="133"/>
      <c r="Z108" s="133"/>
      <c r="AA108" s="133"/>
      <c r="AB108" s="133"/>
      <c r="AC108" s="133"/>
      <c r="AD108" s="133"/>
      <c r="AE108" s="133"/>
      <c r="AF108" s="133"/>
      <c r="AG108"/>
      <c r="AH108"/>
      <c r="AI108" s="133"/>
      <c r="AJ108"/>
      <c r="AK108"/>
      <c r="AL108"/>
      <c r="AM108"/>
      <c r="AN108"/>
      <c r="AO108"/>
      <c r="AP108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 s="311"/>
      <c r="BU108" s="130"/>
      <c r="BV108"/>
      <c r="BW108"/>
      <c r="BX108"/>
      <c r="BY108"/>
    </row>
    <row r="109" spans="1:77" ht="32.1" customHeight="1" x14ac:dyDescent="0.25">
      <c r="A109" s="249"/>
      <c r="B109" s="250"/>
      <c r="C109" s="251"/>
      <c r="D109" s="275"/>
      <c r="E109" s="580"/>
      <c r="F109" s="587"/>
      <c r="G109" s="596"/>
      <c r="I109" s="119"/>
      <c r="M109" s="90"/>
      <c r="T109" s="90"/>
      <c r="U109" s="90"/>
      <c r="X109" s="131"/>
      <c r="Y109" s="133"/>
      <c r="Z109" s="86"/>
      <c r="AA109" s="134"/>
      <c r="AB109" s="134"/>
      <c r="AC109" s="133"/>
      <c r="AD109" s="134"/>
      <c r="AE109" s="133"/>
      <c r="AF109" s="133"/>
      <c r="AJ109" s="91"/>
      <c r="AL109" s="91"/>
      <c r="AM109" s="91"/>
      <c r="AN109" s="91"/>
      <c r="AO109" s="135"/>
      <c r="AP109" s="135"/>
      <c r="AQ109" s="136"/>
      <c r="AR109" s="136"/>
      <c r="AS109" s="136"/>
      <c r="AT109" s="85"/>
      <c r="AU109" s="85"/>
      <c r="AV109" s="85"/>
      <c r="AW109" s="133"/>
      <c r="AX109" s="133"/>
      <c r="AY109" s="133"/>
      <c r="BA109" s="91"/>
      <c r="BC109" s="91"/>
      <c r="BD109" s="91"/>
      <c r="BE109" s="135"/>
      <c r="BF109" s="135"/>
      <c r="BI109" s="135"/>
      <c r="BT109" s="311"/>
      <c r="BU109" s="130"/>
    </row>
    <row r="110" spans="1:77" ht="24.95" customHeight="1" x14ac:dyDescent="0.25">
      <c r="A110" s="325"/>
      <c r="B110" s="247">
        <f>IFERROR(D110-C110+IF(C110&gt;=D110,1),0)*24</f>
        <v>0</v>
      </c>
      <c r="C110" s="248" t="str">
        <f>IFERROR(TIMEVALUE(INDEX($H$1:$BT$1,MATCH("I",$H110:$BT110,0))),"OFF")</f>
        <v>OFF</v>
      </c>
      <c r="D110" s="248" t="str">
        <f>IFERROR(TIMEVALUE(INDEX($H$1:$BT$1,MATCH("F",$H110:$BT110,0))),"OFF")</f>
        <v>OFF</v>
      </c>
      <c r="E110" s="580"/>
      <c r="F110" s="588"/>
      <c r="G110" s="596"/>
      <c r="X110" s="131"/>
      <c r="Y110" s="133"/>
      <c r="Z110" s="133"/>
      <c r="AA110" s="133"/>
      <c r="AB110" s="133"/>
      <c r="AC110" s="133"/>
      <c r="AD110" s="133"/>
      <c r="AE110" s="133"/>
      <c r="AF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BT110" s="311"/>
      <c r="BU110" s="130"/>
    </row>
    <row r="111" spans="1:77" ht="32.1" customHeight="1" x14ac:dyDescent="0.25">
      <c r="A111" s="249"/>
      <c r="B111" s="250"/>
      <c r="C111" s="251"/>
      <c r="D111" s="251"/>
      <c r="E111" s="580"/>
      <c r="F111" s="587"/>
      <c r="G111" s="596"/>
      <c r="O111" s="115"/>
      <c r="U111" s="90"/>
      <c r="X111" s="131"/>
      <c r="Y111" s="133"/>
      <c r="Z111" s="133"/>
      <c r="AA111" s="133"/>
      <c r="AB111" s="133"/>
      <c r="AC111" s="133"/>
      <c r="AD111" s="133"/>
      <c r="AE111" s="133"/>
      <c r="AF111" s="92"/>
      <c r="AG111" s="90"/>
      <c r="AI111" s="91"/>
      <c r="AJ111" s="91"/>
      <c r="AK111" s="90"/>
      <c r="AL111" s="91"/>
      <c r="AM111" s="91"/>
      <c r="AN111" s="91"/>
      <c r="AO111" s="135"/>
      <c r="AP111" s="135"/>
      <c r="AQ111" s="134"/>
      <c r="AR111" s="134"/>
      <c r="AS111" s="86"/>
      <c r="AT111" s="86"/>
      <c r="AU111" s="133"/>
      <c r="AV111" s="133"/>
      <c r="AW111" s="133"/>
      <c r="AX111" s="133"/>
      <c r="AY111" s="133"/>
      <c r="BA111" s="119"/>
      <c r="BB111" s="90"/>
      <c r="BD111" s="91"/>
      <c r="BE111" s="91"/>
      <c r="BT111" s="311"/>
      <c r="BU111" s="130"/>
    </row>
    <row r="112" spans="1:77" ht="24.75" customHeight="1" x14ac:dyDescent="0.25">
      <c r="A112" s="325"/>
      <c r="B112" s="247">
        <f>IFERROR(D112-C112+IF(C112&gt;=D112,1),0)*24</f>
        <v>0</v>
      </c>
      <c r="C112" s="248" t="str">
        <f>IFERROR(TIMEVALUE(INDEX($H$1:$BT$1,MATCH("I",$H112:$BT112,0))),"OFF")</f>
        <v>OFF</v>
      </c>
      <c r="D112" s="248" t="str">
        <f>IFERROR(TIMEVALUE(INDEX($H$1:$BT$1,MATCH("F",$H112:$BT112,0))),"OFF")</f>
        <v>OFF</v>
      </c>
      <c r="E112" s="580"/>
      <c r="F112" s="586"/>
      <c r="G112" s="596"/>
      <c r="X112" s="131"/>
      <c r="Y112" s="133"/>
      <c r="Z112" s="133"/>
      <c r="AA112" s="133"/>
      <c r="AB112" s="133"/>
      <c r="AC112" s="133"/>
      <c r="AD112" s="133"/>
      <c r="AE112" s="133"/>
      <c r="AF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BT112" s="311"/>
      <c r="BU112" s="130"/>
    </row>
    <row r="113" spans="1:73" ht="32.1" customHeight="1" x14ac:dyDescent="0.25">
      <c r="A113" s="242"/>
      <c r="B113" s="243"/>
      <c r="C113" s="244"/>
      <c r="D113" s="244"/>
      <c r="E113" s="580"/>
      <c r="F113" s="587"/>
      <c r="G113" s="596"/>
      <c r="X113" s="131"/>
      <c r="Y113" s="131"/>
      <c r="Z113" s="131"/>
      <c r="AA113" s="131"/>
      <c r="AB113" s="137"/>
      <c r="AC113" s="131"/>
      <c r="AD113" s="131"/>
      <c r="AE113" s="131"/>
      <c r="AF113" s="133"/>
      <c r="AG113" s="90"/>
      <c r="AH113" s="119"/>
      <c r="AI113" s="119"/>
      <c r="AJ113" s="153"/>
      <c r="AM113" s="90"/>
      <c r="AN113" s="91"/>
      <c r="AO113" s="138"/>
      <c r="AP113" s="138"/>
      <c r="AQ113" s="133"/>
      <c r="AR113" s="97"/>
      <c r="AS113" s="133"/>
      <c r="AT113" s="133"/>
      <c r="AU113" s="86"/>
      <c r="AV113" s="133"/>
      <c r="AW113" s="133"/>
      <c r="AX113" s="133"/>
      <c r="AY113" s="133"/>
      <c r="BB113" s="90"/>
      <c r="BC113" s="90"/>
      <c r="BT113" s="311"/>
      <c r="BU113" s="130"/>
    </row>
    <row r="114" spans="1:73" ht="24.95" customHeight="1" x14ac:dyDescent="0.25">
      <c r="A114" s="325"/>
      <c r="B114" s="247">
        <f>IFERROR(D114-C114+IF(C114&gt;=D114,1),0)*24</f>
        <v>0</v>
      </c>
      <c r="C114" s="248" t="str">
        <f>IFERROR(TIMEVALUE(INDEX($H$1:$BT$1,MATCH("I",$H114:$BT114,0))),"OFF")</f>
        <v>OFF</v>
      </c>
      <c r="D114" s="248" t="str">
        <f>IFERROR(TIMEVALUE(INDEX($H$1:$BT$1,MATCH("F",$H114:$BT114,0))),"OFF")</f>
        <v>OFF</v>
      </c>
      <c r="E114" s="580"/>
      <c r="F114" s="588"/>
      <c r="G114" s="596"/>
      <c r="W114" s="143"/>
      <c r="X114" s="131"/>
      <c r="Y114" s="131"/>
      <c r="Z114" s="131"/>
      <c r="AA114" s="131"/>
      <c r="AB114" s="131"/>
      <c r="AC114" s="131"/>
      <c r="AD114" s="131"/>
      <c r="AE114" s="131"/>
      <c r="AF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BT114" s="311"/>
      <c r="BU114" s="130"/>
    </row>
    <row r="115" spans="1:73" ht="32.1" customHeight="1" x14ac:dyDescent="0.25">
      <c r="A115" s="252"/>
      <c r="B115" s="250"/>
      <c r="C115" s="251"/>
      <c r="D115" s="251"/>
      <c r="E115" s="580"/>
      <c r="F115" s="587"/>
      <c r="G115" s="596"/>
      <c r="W115" s="143"/>
      <c r="X115" s="144"/>
      <c r="Y115" s="145"/>
      <c r="Z115" s="131"/>
      <c r="AA115" s="131"/>
      <c r="AB115" s="86"/>
      <c r="AC115" s="131"/>
      <c r="AD115" s="145"/>
      <c r="AE115" s="146"/>
      <c r="AF115" s="93"/>
      <c r="AG115" s="90"/>
      <c r="AJ115" s="319"/>
      <c r="AK115" s="119"/>
      <c r="AL115" s="90"/>
      <c r="AO115" s="135"/>
      <c r="AQ115" s="133"/>
      <c r="AR115" s="133"/>
      <c r="AS115" s="133"/>
      <c r="AT115" s="133"/>
      <c r="AU115" s="133"/>
      <c r="AV115" s="86"/>
      <c r="AW115" s="133"/>
      <c r="AX115" s="133"/>
      <c r="AY115" s="93"/>
      <c r="AZ115" s="90"/>
      <c r="BA115" s="90"/>
      <c r="BD115" s="91"/>
      <c r="BP115" s="119"/>
      <c r="BT115" s="311"/>
      <c r="BU115" s="130"/>
    </row>
    <row r="116" spans="1:73" ht="24.95" customHeight="1" x14ac:dyDescent="0.25">
      <c r="A116" s="325"/>
      <c r="B116" s="247">
        <f>IFERROR(D116-C116+IF(C116&gt;=D116,1),0)*24</f>
        <v>0</v>
      </c>
      <c r="C116" s="248" t="str">
        <f>IFERROR(TIMEVALUE(INDEX($H$1:$BT$1,MATCH("I",$H116:$BT116,0))),"OFF")</f>
        <v>OFF</v>
      </c>
      <c r="D116" s="248" t="str">
        <f>IFERROR(TIMEVALUE(INDEX($H$1:$BT$1,MATCH("F",$H116:$BT116,0))),"OFF")</f>
        <v>OFF</v>
      </c>
      <c r="E116" s="580"/>
      <c r="F116" s="588"/>
      <c r="G116" s="596"/>
      <c r="J116" s="147"/>
      <c r="X116" s="133"/>
      <c r="Y116" s="131"/>
      <c r="Z116" s="131"/>
      <c r="AA116" s="131"/>
      <c r="AB116" s="131"/>
      <c r="AC116" s="131"/>
      <c r="AD116" s="131"/>
      <c r="AE116" s="131"/>
      <c r="AF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BT116" s="311"/>
      <c r="BU116" s="130"/>
    </row>
    <row r="117" spans="1:73" ht="32.1" customHeight="1" x14ac:dyDescent="0.25">
      <c r="A117" s="249"/>
      <c r="B117" s="250"/>
      <c r="C117" s="251"/>
      <c r="D117" s="251"/>
      <c r="E117" s="580"/>
      <c r="F117" s="587"/>
      <c r="G117" s="596"/>
      <c r="Q117" s="89"/>
      <c r="U117" s="90"/>
      <c r="V117" s="90"/>
      <c r="W117" s="90"/>
      <c r="X117" s="133"/>
      <c r="Y117" s="133"/>
      <c r="Z117" s="133"/>
      <c r="AA117" s="133"/>
      <c r="AB117" s="86"/>
      <c r="AC117" s="86"/>
      <c r="AD117" s="133"/>
      <c r="AE117" s="133"/>
      <c r="AF117" s="133"/>
      <c r="AH117" s="90"/>
      <c r="AK117" s="91"/>
      <c r="AL117" s="91"/>
      <c r="AO117" s="90"/>
      <c r="AP117" s="91"/>
      <c r="AQ117" s="133"/>
      <c r="AR117" s="86"/>
      <c r="AS117" s="133"/>
      <c r="AT117" s="133"/>
      <c r="AU117" s="92"/>
      <c r="AV117" s="134"/>
      <c r="AW117" s="86"/>
      <c r="AX117" s="86"/>
      <c r="AY117" s="133"/>
      <c r="BA117" s="194"/>
      <c r="BB117" s="90"/>
      <c r="BI117" s="89"/>
      <c r="BJ117" s="89"/>
      <c r="BK117" s="90"/>
      <c r="BL117" s="91"/>
      <c r="BM117" s="91"/>
      <c r="BT117" s="311"/>
      <c r="BU117" s="130"/>
    </row>
    <row r="118" spans="1:73" ht="24.95" customHeight="1" x14ac:dyDescent="0.25">
      <c r="A118" s="325"/>
      <c r="B118" s="247">
        <f>IFERROR(D118-C118+IF(C118&gt;=D118,1),0)*24</f>
        <v>0</v>
      </c>
      <c r="C118" s="248" t="str">
        <f>IFERROR(TIMEVALUE(INDEX($H$1:$BT$1,MATCH("I",$H118:$BT118,0))),"OFF")</f>
        <v>OFF</v>
      </c>
      <c r="D118" s="248" t="str">
        <f>IFERROR(TIMEVALUE(INDEX($H$1:$BT$1,MATCH("F",$H118:$BT118,0))),"OFF")</f>
        <v>OFF</v>
      </c>
      <c r="E118" s="580"/>
      <c r="F118" s="586"/>
      <c r="G118" s="596"/>
      <c r="X118" s="133"/>
      <c r="Y118" s="133"/>
      <c r="Z118" s="133"/>
      <c r="AA118" s="133"/>
      <c r="AB118" s="133"/>
      <c r="AC118" s="133"/>
      <c r="AD118" s="133"/>
      <c r="AE118" s="133"/>
      <c r="AF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BT118" s="311"/>
      <c r="BU118" s="130"/>
    </row>
    <row r="119" spans="1:73" ht="32.1" customHeight="1" x14ac:dyDescent="0.25">
      <c r="A119" s="249"/>
      <c r="B119" s="250"/>
      <c r="C119" s="251"/>
      <c r="D119" s="275"/>
      <c r="E119" s="580"/>
      <c r="F119" s="570"/>
      <c r="G119" s="596"/>
      <c r="X119" s="133"/>
      <c r="Y119" s="133"/>
      <c r="Z119" s="133"/>
      <c r="AA119" s="133"/>
      <c r="AB119" s="133"/>
      <c r="AC119" s="133"/>
      <c r="AD119" s="133"/>
      <c r="AE119" s="133"/>
      <c r="AF119" s="133"/>
      <c r="AH119" s="90"/>
      <c r="AI119" s="55"/>
      <c r="AJ119" s="90"/>
      <c r="AP119" s="90"/>
      <c r="AQ119" s="133"/>
      <c r="AR119" s="133"/>
      <c r="AS119" s="133"/>
      <c r="AT119" s="133"/>
      <c r="AU119" s="133"/>
      <c r="AV119" s="85"/>
      <c r="AW119" s="86"/>
      <c r="AX119" s="86"/>
      <c r="AY119" s="86"/>
      <c r="AZ119" s="91"/>
      <c r="BA119" s="91"/>
      <c r="BB119" s="91"/>
      <c r="BL119" s="90"/>
      <c r="BS119" s="119"/>
      <c r="BT119" s="317"/>
      <c r="BU119" s="130"/>
    </row>
    <row r="120" spans="1:73" ht="24.75" customHeight="1" x14ac:dyDescent="0.25">
      <c r="A120" s="246"/>
      <c r="B120" s="247">
        <f>IFERROR(D120-C120+IF(C120&gt;=D120,1),0)*24</f>
        <v>0</v>
      </c>
      <c r="C120" s="248" t="str">
        <f>IFERROR(TIMEVALUE(INDEX($H$1:$BT$1,MATCH("I",$H120:$BT120,0))),"OFF")</f>
        <v>OFF</v>
      </c>
      <c r="D120" s="248" t="str">
        <f>IFERROR(TIMEVALUE(INDEX($H$1:$BT$1,MATCH("F",$H120:$BT120,0))),"OFF")</f>
        <v>OFF</v>
      </c>
      <c r="E120" s="580"/>
      <c r="F120" s="570"/>
      <c r="G120" s="596"/>
      <c r="X120" s="133"/>
      <c r="Y120" s="133"/>
      <c r="Z120" s="133"/>
      <c r="AA120" s="133"/>
      <c r="AB120" s="133"/>
      <c r="AC120" s="133"/>
      <c r="AD120" s="133"/>
      <c r="AE120" s="133"/>
      <c r="AF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BT120" s="311"/>
      <c r="BU120" s="130"/>
    </row>
    <row r="121" spans="1:73" ht="32.1" customHeight="1" x14ac:dyDescent="0.25">
      <c r="A121" s="103"/>
      <c r="B121" s="104"/>
      <c r="C121" s="105"/>
      <c r="D121" s="105"/>
      <c r="E121" s="580"/>
      <c r="F121" s="570"/>
      <c r="G121" s="596"/>
      <c r="Q121" s="89"/>
      <c r="R121" s="89"/>
      <c r="T121" s="89"/>
      <c r="X121" s="133"/>
      <c r="Y121" s="86"/>
      <c r="Z121" s="85"/>
      <c r="AA121" s="86"/>
      <c r="AB121" s="86"/>
      <c r="AC121" s="133"/>
      <c r="AD121" s="86"/>
      <c r="AE121" s="97"/>
      <c r="AF121" s="97"/>
      <c r="AO121" s="135"/>
      <c r="AQ121" s="133"/>
      <c r="AR121" s="133"/>
      <c r="AS121" s="133"/>
      <c r="AT121" s="133"/>
      <c r="AU121" s="133"/>
      <c r="AV121" s="133"/>
      <c r="AW121" s="133"/>
      <c r="AX121" s="133"/>
      <c r="AY121" s="133"/>
      <c r="BT121" s="311"/>
      <c r="BU121" s="130"/>
    </row>
    <row r="122" spans="1:73" ht="24.95" customHeight="1" x14ac:dyDescent="0.25">
      <c r="A122" s="246"/>
      <c r="B122" s="247">
        <f>IFERROR(D122-C122+IF(C122&gt;=D122,1),0)*24</f>
        <v>0</v>
      </c>
      <c r="C122" s="248" t="str">
        <f>IFERROR(TIMEVALUE(INDEX($H$1:$BT$1,MATCH("I",$H122:$BT122,0))),"OFF")</f>
        <v>OFF</v>
      </c>
      <c r="D122" s="248" t="str">
        <f>IFERROR(TIMEVALUE(INDEX($H$1:$BT$1,MATCH("F",$H122:$BT122,0))),"OFF")</f>
        <v>OFF</v>
      </c>
      <c r="E122" s="580"/>
      <c r="F122" s="570"/>
      <c r="G122" s="596"/>
      <c r="X122" s="133"/>
      <c r="Y122" s="133"/>
      <c r="Z122" s="133"/>
      <c r="AA122" s="133"/>
      <c r="AB122" s="133"/>
      <c r="AC122" s="133"/>
      <c r="AD122" s="133"/>
      <c r="AE122" s="133"/>
      <c r="AF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BT122" s="311"/>
      <c r="BU122" s="130"/>
    </row>
    <row r="123" spans="1:73" ht="32.1" customHeight="1" x14ac:dyDescent="0.25">
      <c r="A123" s="249"/>
      <c r="B123" s="250"/>
      <c r="C123" s="251"/>
      <c r="D123" s="251"/>
      <c r="E123" s="580"/>
      <c r="F123" s="570"/>
      <c r="G123" s="596"/>
      <c r="R123" s="89"/>
      <c r="U123" s="90"/>
      <c r="V123" s="90"/>
      <c r="W123" s="90"/>
      <c r="X123" s="133"/>
      <c r="Y123" s="136"/>
      <c r="Z123" s="86"/>
      <c r="AA123" s="133"/>
      <c r="AB123" s="86"/>
      <c r="AC123" s="133"/>
      <c r="AD123" s="92"/>
      <c r="AE123" s="133"/>
      <c r="AF123" s="133"/>
      <c r="AG123" s="90"/>
      <c r="AJ123" s="91"/>
      <c r="AK123" s="91"/>
      <c r="AL123" s="91"/>
      <c r="AQ123" s="133"/>
      <c r="AR123" s="133"/>
      <c r="AS123" s="133"/>
      <c r="AT123" s="133"/>
      <c r="AU123" s="133"/>
      <c r="AV123" s="133"/>
      <c r="AW123" s="133"/>
      <c r="AX123" s="133"/>
      <c r="AY123" s="85"/>
      <c r="AZ123" s="91"/>
      <c r="BT123" s="311"/>
      <c r="BU123" s="130"/>
    </row>
    <row r="124" spans="1:73" ht="24.95" customHeight="1" x14ac:dyDescent="0.25">
      <c r="A124" s="246"/>
      <c r="B124" s="247">
        <f>IFERROR(D124-C124+IF(C124&gt;=D124,1),0)*24</f>
        <v>0</v>
      </c>
      <c r="C124" s="248" t="str">
        <f>IFERROR(TIMEVALUE(INDEX($H$1:$BT$1,MATCH("I",$H124:$BT124,0))),"OFF")</f>
        <v>OFF</v>
      </c>
      <c r="D124" s="248" t="str">
        <f>IFERROR(TIMEVALUE(INDEX($H$1:$BT$1,MATCH("F",$H124:$BT124,0))),"OFF")</f>
        <v>OFF</v>
      </c>
      <c r="E124" s="580"/>
      <c r="F124" s="570"/>
      <c r="G124" s="596"/>
      <c r="X124" s="133"/>
      <c r="Y124" s="133"/>
      <c r="Z124" s="133"/>
      <c r="AA124" s="133"/>
      <c r="AB124" s="133"/>
      <c r="AC124" s="133"/>
      <c r="AD124" s="133"/>
      <c r="AE124" s="133"/>
      <c r="AF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BT124" s="311"/>
      <c r="BU124" s="130"/>
    </row>
    <row r="125" spans="1:73" ht="32.1" customHeight="1" x14ac:dyDescent="0.25">
      <c r="A125" s="249"/>
      <c r="B125" s="250"/>
      <c r="C125" s="251"/>
      <c r="D125" s="251"/>
      <c r="E125" s="580"/>
      <c r="F125" s="570"/>
      <c r="G125" s="596"/>
      <c r="X125" s="133"/>
      <c r="Y125" s="133"/>
      <c r="Z125" s="133"/>
      <c r="AA125" s="133"/>
      <c r="AB125" s="133"/>
      <c r="AC125" s="86"/>
      <c r="AD125" s="86"/>
      <c r="AE125" s="133"/>
      <c r="AF125" s="86"/>
      <c r="AG125" s="90"/>
      <c r="AK125" s="91"/>
      <c r="AL125" s="91"/>
      <c r="AM125" s="90"/>
      <c r="AO125" s="91"/>
      <c r="AQ125" s="133"/>
      <c r="AR125" s="92"/>
      <c r="AS125" s="133"/>
      <c r="AT125" s="133"/>
      <c r="AU125" s="133"/>
      <c r="AV125" s="133"/>
      <c r="AW125" s="133"/>
      <c r="AX125" s="133"/>
      <c r="AY125" s="133"/>
      <c r="BT125" s="311"/>
      <c r="BU125" s="130"/>
    </row>
    <row r="126" spans="1:73" ht="24.95" customHeight="1" x14ac:dyDescent="0.25">
      <c r="A126" s="246"/>
      <c r="B126" s="247">
        <f>IFERROR(D126-C126+IF(C126&gt;=D126,1),0)*24</f>
        <v>0</v>
      </c>
      <c r="C126" s="248" t="str">
        <f>IFERROR(TIMEVALUE(INDEX($H$1:$BT$1,MATCH("I",$H126:$BT126,0))),"OFF")</f>
        <v>OFF</v>
      </c>
      <c r="D126" s="248" t="str">
        <f>IFERROR(TIMEVALUE(INDEX($H$1:$BT$1,MATCH("F",$H126:$BT126,0))),"OFF")</f>
        <v>OFF</v>
      </c>
      <c r="E126" s="580"/>
      <c r="F126" s="570"/>
      <c r="G126" s="596"/>
      <c r="X126" s="133"/>
      <c r="Y126" s="133"/>
      <c r="Z126" s="133"/>
      <c r="AA126" s="133"/>
      <c r="AB126" s="133"/>
      <c r="AC126" s="133"/>
      <c r="AD126" s="133"/>
      <c r="AE126" s="133"/>
      <c r="AF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BT126" s="311"/>
      <c r="BU126" s="130"/>
    </row>
    <row r="127" spans="1:73" ht="32.1" customHeight="1" thickBot="1" x14ac:dyDescent="0.3">
      <c r="A127" s="98"/>
      <c r="B127" s="99"/>
      <c r="C127" s="100"/>
      <c r="D127" s="100"/>
      <c r="E127" s="581"/>
      <c r="F127" s="286"/>
      <c r="G127" s="597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9"/>
      <c r="AR127" s="149"/>
      <c r="AS127" s="149"/>
      <c r="AT127" s="149"/>
      <c r="AU127" s="149"/>
      <c r="AV127" s="149"/>
      <c r="AW127" s="150"/>
      <c r="AX127" s="150"/>
      <c r="AY127" s="149"/>
      <c r="AZ127" s="148"/>
      <c r="BA127" s="113"/>
      <c r="BB127" s="148"/>
      <c r="BC127" s="148"/>
      <c r="BD127" s="148"/>
      <c r="BE127" s="113"/>
      <c r="BF127" s="148"/>
      <c r="BG127" s="113"/>
      <c r="BH127" s="148"/>
      <c r="BI127" s="148"/>
      <c r="BJ127" s="148"/>
      <c r="BK127" s="148"/>
      <c r="BL127" s="148"/>
      <c r="BM127" s="148"/>
      <c r="BN127" s="148"/>
      <c r="BO127" s="148"/>
      <c r="BP127" s="148"/>
      <c r="BQ127" s="148"/>
      <c r="BR127" s="148"/>
      <c r="BS127" s="148"/>
      <c r="BT127" s="313"/>
      <c r="BU127" s="130"/>
    </row>
    <row r="128" spans="1:73" ht="32.1" customHeight="1" x14ac:dyDescent="0.25">
      <c r="A128" s="71"/>
      <c r="B128" s="72"/>
      <c r="C128" s="72"/>
      <c r="D128" s="262"/>
      <c r="E128" s="582" t="str">
        <f>UPPER(TEXT(LUN!A1+6,"gggg g mmm"))</f>
        <v>DOMENICA 24 AGO</v>
      </c>
      <c r="F128" s="585"/>
      <c r="G128" s="595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82"/>
      <c r="W128" s="82"/>
      <c r="X128" s="140"/>
      <c r="Y128" s="141"/>
      <c r="Z128" s="141"/>
      <c r="AA128" s="141"/>
      <c r="AB128" s="78"/>
      <c r="AC128" s="263"/>
      <c r="AD128" s="141"/>
      <c r="AE128" s="141"/>
      <c r="AF128" s="141"/>
      <c r="AG128" s="139"/>
      <c r="AH128" s="264"/>
      <c r="AI128" s="139"/>
      <c r="AJ128" s="139"/>
      <c r="AK128" s="139"/>
      <c r="AL128" s="139"/>
      <c r="AM128" s="139"/>
      <c r="AN128" s="139"/>
      <c r="AO128" s="142"/>
      <c r="AP128" s="142"/>
      <c r="AQ128" s="141"/>
      <c r="AR128" s="141"/>
      <c r="AS128" s="141"/>
      <c r="AT128" s="141"/>
      <c r="AU128" s="141"/>
      <c r="AV128" s="141"/>
      <c r="AW128" s="141"/>
      <c r="AX128" s="78"/>
      <c r="AY128" s="141"/>
      <c r="AZ128" s="82"/>
      <c r="BA128" s="265"/>
      <c r="BB128" s="82"/>
      <c r="BC128" s="139"/>
      <c r="BD128" s="139"/>
      <c r="BE128" s="139"/>
      <c r="BF128" s="142"/>
      <c r="BG128" s="142"/>
      <c r="BH128" s="139"/>
      <c r="BI128" s="142"/>
      <c r="BJ128" s="142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318"/>
      <c r="BU128" s="130"/>
    </row>
    <row r="129" spans="1:77" s="65" customFormat="1" ht="24.95" customHeight="1" x14ac:dyDescent="0.35">
      <c r="A129" s="325"/>
      <c r="B129" s="247">
        <f>IFERROR(D129-C129+IF(C129&gt;=D129,1),0)*24</f>
        <v>0</v>
      </c>
      <c r="C129" s="248" t="str">
        <f>IFERROR(TIMEVALUE(INDEX($H$1:$BT$1,MATCH("I",$H129:$BT129,0))),"OFF")</f>
        <v>OFF</v>
      </c>
      <c r="D129" s="248" t="str">
        <f>IFERROR(TIMEVALUE(INDEX($H$1:$BT$1,MATCH("F",$H129:$BT129,0))),"OFF")</f>
        <v>OFF</v>
      </c>
      <c r="E129" s="580"/>
      <c r="F129" s="586"/>
      <c r="G129" s="596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 s="131"/>
      <c r="Y129" s="133"/>
      <c r="Z129" s="133"/>
      <c r="AA129" s="133"/>
      <c r="AB129" s="133"/>
      <c r="AC129" s="133"/>
      <c r="AD129" s="133"/>
      <c r="AE129" s="133"/>
      <c r="AF129" s="133"/>
      <c r="AG129"/>
      <c r="AH129"/>
      <c r="AI129" s="133"/>
      <c r="AJ129"/>
      <c r="AK129"/>
      <c r="AL129"/>
      <c r="AM129"/>
      <c r="AN129"/>
      <c r="AO129"/>
      <c r="AP129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 s="311"/>
      <c r="BU129" s="130"/>
      <c r="BV129"/>
      <c r="BW129"/>
      <c r="BX129"/>
      <c r="BY129"/>
    </row>
    <row r="130" spans="1:77" ht="32.1" customHeight="1" x14ac:dyDescent="0.25">
      <c r="A130" s="249"/>
      <c r="B130" s="250"/>
      <c r="C130" s="251"/>
      <c r="D130" s="275"/>
      <c r="E130" s="580"/>
      <c r="F130" s="587"/>
      <c r="G130" s="596"/>
      <c r="M130" s="90"/>
      <c r="U130" s="90"/>
      <c r="X130" s="131"/>
      <c r="Y130" s="133"/>
      <c r="Z130" s="133"/>
      <c r="AA130" s="134"/>
      <c r="AB130" s="134"/>
      <c r="AC130" s="133"/>
      <c r="AD130" s="134"/>
      <c r="AE130" s="133"/>
      <c r="AF130" s="133"/>
      <c r="AI130" s="91"/>
      <c r="AJ130" s="91"/>
      <c r="AL130" s="91"/>
      <c r="AM130" s="91"/>
      <c r="AN130" s="91"/>
      <c r="AO130" s="135"/>
      <c r="AP130" s="135"/>
      <c r="AQ130" s="136"/>
      <c r="AR130" s="136"/>
      <c r="AS130" s="136"/>
      <c r="AT130" s="85"/>
      <c r="AU130" s="85"/>
      <c r="AV130" s="85"/>
      <c r="AW130" s="133"/>
      <c r="AX130" s="133"/>
      <c r="AY130" s="133"/>
      <c r="BA130" s="91"/>
      <c r="BC130" s="91"/>
      <c r="BD130" s="91"/>
      <c r="BE130" s="135"/>
      <c r="BF130" s="135"/>
      <c r="BI130" s="135"/>
      <c r="BT130" s="311"/>
      <c r="BU130" s="130"/>
    </row>
    <row r="131" spans="1:77" ht="24.95" customHeight="1" x14ac:dyDescent="0.25">
      <c r="A131" s="325"/>
      <c r="B131" s="247">
        <f>IFERROR(D131-C131+IF(C131&gt;=D131,1),0)*24</f>
        <v>0</v>
      </c>
      <c r="C131" s="248" t="str">
        <f>IFERROR(TIMEVALUE(INDEX($H$1:$BT$1,MATCH("I",$H131:$BT131,0))),"OFF")</f>
        <v>OFF</v>
      </c>
      <c r="D131" s="248" t="str">
        <f>IFERROR(TIMEVALUE(INDEX($H$1:$BT$1,MATCH("F",$H131:$BT131,0))),"OFF")</f>
        <v>OFF</v>
      </c>
      <c r="E131" s="580"/>
      <c r="F131" s="586"/>
      <c r="G131" s="596"/>
      <c r="X131" s="131"/>
      <c r="Y131" s="133"/>
      <c r="Z131" s="133"/>
      <c r="AA131" s="133"/>
      <c r="AB131" s="133"/>
      <c r="AC131" s="133"/>
      <c r="AD131" s="133"/>
      <c r="AE131" s="133"/>
      <c r="AF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BT131" s="311"/>
      <c r="BU131" s="130"/>
    </row>
    <row r="132" spans="1:77" ht="32.1" customHeight="1" x14ac:dyDescent="0.25">
      <c r="A132" s="249"/>
      <c r="B132" s="250"/>
      <c r="C132" s="251"/>
      <c r="D132" s="251"/>
      <c r="E132" s="580"/>
      <c r="F132" s="587"/>
      <c r="G132" s="596"/>
      <c r="U132" s="89"/>
      <c r="X132" s="131"/>
      <c r="Y132" s="133"/>
      <c r="Z132" s="133"/>
      <c r="AA132" s="133"/>
      <c r="AB132" s="133"/>
      <c r="AC132" s="133"/>
      <c r="AD132" s="133"/>
      <c r="AE132" s="133"/>
      <c r="AF132" s="92"/>
      <c r="AG132" s="90"/>
      <c r="AI132" s="91"/>
      <c r="AJ132" s="91"/>
      <c r="AK132" s="90"/>
      <c r="AL132" s="200"/>
      <c r="AM132" s="91"/>
      <c r="AN132" s="91"/>
      <c r="AO132" s="135"/>
      <c r="AP132" s="91"/>
      <c r="AQ132" s="134"/>
      <c r="AR132" s="134"/>
      <c r="AS132" s="86"/>
      <c r="AT132" s="86"/>
      <c r="AU132" s="133"/>
      <c r="AV132" s="86"/>
      <c r="AW132" s="133"/>
      <c r="AX132" s="133"/>
      <c r="AY132" s="133"/>
      <c r="BB132" s="90"/>
      <c r="BD132" s="91"/>
      <c r="BE132" s="91"/>
      <c r="BT132" s="311"/>
      <c r="BU132" s="130"/>
    </row>
    <row r="133" spans="1:77" ht="24.75" customHeight="1" x14ac:dyDescent="0.25">
      <c r="A133" s="325"/>
      <c r="B133" s="247">
        <f>IFERROR(D133-C133+IF(C133&gt;=D133,1),0)*24</f>
        <v>0</v>
      </c>
      <c r="C133" s="248" t="str">
        <f>IFERROR(TIMEVALUE(INDEX($H$1:$BT$1,MATCH("I",$H133:$BT133,0))),"OFF")</f>
        <v>OFF</v>
      </c>
      <c r="D133" s="248" t="str">
        <f>IFERROR(TIMEVALUE(INDEX($H$1:$BT$1,MATCH("F",$H133:$BT133,0))),"OFF")</f>
        <v>OFF</v>
      </c>
      <c r="E133" s="580"/>
      <c r="F133" s="586"/>
      <c r="G133" s="596"/>
      <c r="X133" s="131"/>
      <c r="Y133" s="133"/>
      <c r="Z133" s="133"/>
      <c r="AA133" s="133"/>
      <c r="AB133" s="133"/>
      <c r="AC133" s="133"/>
      <c r="AD133" s="133"/>
      <c r="AE133" s="133"/>
      <c r="AF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BT133" s="311"/>
      <c r="BU133" s="130"/>
    </row>
    <row r="134" spans="1:77" ht="32.1" customHeight="1" x14ac:dyDescent="0.25">
      <c r="A134" s="242"/>
      <c r="B134" s="243"/>
      <c r="C134" s="244"/>
      <c r="D134" s="244"/>
      <c r="E134" s="580"/>
      <c r="F134" s="587"/>
      <c r="G134" s="596"/>
      <c r="X134" s="131"/>
      <c r="Y134" s="131"/>
      <c r="Z134" s="131"/>
      <c r="AA134" s="131"/>
      <c r="AB134" s="137"/>
      <c r="AC134" s="131"/>
      <c r="AD134" s="131"/>
      <c r="AE134" s="131"/>
      <c r="AF134" s="133"/>
      <c r="AG134" s="90"/>
      <c r="AH134" s="119"/>
      <c r="AI134" s="119"/>
      <c r="AJ134" s="115"/>
      <c r="AK134" s="115"/>
      <c r="AM134" s="90"/>
      <c r="AN134" s="90"/>
      <c r="AO134" s="138"/>
      <c r="AP134" s="138"/>
      <c r="AQ134" s="133"/>
      <c r="AR134" s="97"/>
      <c r="AS134" s="133"/>
      <c r="AT134" s="133"/>
      <c r="AU134" s="133"/>
      <c r="AV134" s="133"/>
      <c r="AW134" s="133"/>
      <c r="AX134" s="133"/>
      <c r="AY134" s="133"/>
      <c r="BA134" s="90"/>
      <c r="BB134" s="91"/>
      <c r="BC134" s="91"/>
      <c r="BT134" s="311"/>
      <c r="BU134" s="130"/>
    </row>
    <row r="135" spans="1:77" ht="24.95" customHeight="1" x14ac:dyDescent="0.25">
      <c r="A135" s="325"/>
      <c r="B135" s="247">
        <f>IFERROR(D135-C135+IF(C135&gt;=D135,1),0)*24</f>
        <v>9</v>
      </c>
      <c r="C135" s="248">
        <f>IFERROR(TIMEVALUE(INDEX($H$1:$BT$1,MATCH("I",$H135:$BT135,0))),"OFF")</f>
        <v>0.77083333333333337</v>
      </c>
      <c r="D135" s="248">
        <f>IFERROR(TIMEVALUE(INDEX($H$1:$BT$1,MATCH("F",$H135:$BT135,0))),"OFF")</f>
        <v>0.14583333333333334</v>
      </c>
      <c r="E135" s="580"/>
      <c r="F135" s="586"/>
      <c r="G135" s="596"/>
      <c r="W135" s="143"/>
      <c r="X135" s="131"/>
      <c r="Y135" s="131"/>
      <c r="Z135" s="131"/>
      <c r="AA135" s="131"/>
      <c r="AB135" s="131"/>
      <c r="AC135" s="131"/>
      <c r="AD135" s="131"/>
      <c r="AE135" s="131"/>
      <c r="AF135" s="133"/>
      <c r="AO135" t="s">
        <v>229</v>
      </c>
      <c r="AP135" t="s">
        <v>231</v>
      </c>
      <c r="AQ135" s="133" t="s">
        <v>231</v>
      </c>
      <c r="AR135" s="133" t="s">
        <v>231</v>
      </c>
      <c r="AS135" s="133" t="s">
        <v>231</v>
      </c>
      <c r="AT135" s="133" t="s">
        <v>231</v>
      </c>
      <c r="AU135" s="133" t="s">
        <v>231</v>
      </c>
      <c r="AV135" s="133" t="s">
        <v>231</v>
      </c>
      <c r="AW135" s="133" t="s">
        <v>231</v>
      </c>
      <c r="AX135" s="133" t="s">
        <v>231</v>
      </c>
      <c r="AY135" s="133" t="s">
        <v>231</v>
      </c>
      <c r="AZ135" t="s">
        <v>231</v>
      </c>
      <c r="BA135" t="s">
        <v>231</v>
      </c>
      <c r="BC135" t="s">
        <v>231</v>
      </c>
      <c r="BD135" t="s">
        <v>231</v>
      </c>
      <c r="BE135" t="s">
        <v>231</v>
      </c>
      <c r="BF135" t="s">
        <v>231</v>
      </c>
      <c r="BG135" t="s">
        <v>231</v>
      </c>
      <c r="BH135" t="s">
        <v>231</v>
      </c>
      <c r="BI135" t="s">
        <v>231</v>
      </c>
      <c r="BJ135" t="s">
        <v>231</v>
      </c>
      <c r="BK135" t="s">
        <v>231</v>
      </c>
      <c r="BL135" t="s">
        <v>231</v>
      </c>
      <c r="BM135" t="s">
        <v>231</v>
      </c>
      <c r="BN135" t="s">
        <v>230</v>
      </c>
      <c r="BT135" s="311"/>
      <c r="BU135" s="130"/>
    </row>
    <row r="136" spans="1:77" ht="32.1" customHeight="1" x14ac:dyDescent="0.25">
      <c r="A136" s="252"/>
      <c r="B136" s="250"/>
      <c r="C136" s="251"/>
      <c r="D136" s="275"/>
      <c r="E136" s="580"/>
      <c r="F136" s="570"/>
      <c r="G136" s="596"/>
      <c r="W136" s="143"/>
      <c r="X136" s="144"/>
      <c r="Y136" s="145"/>
      <c r="Z136" s="131"/>
      <c r="AA136" s="131"/>
      <c r="AB136" s="86"/>
      <c r="AC136" s="131"/>
      <c r="AD136" s="145"/>
      <c r="AE136" s="146"/>
      <c r="AF136" s="93"/>
      <c r="AG136" s="90"/>
      <c r="AL136" s="89"/>
      <c r="AO136" s="135"/>
      <c r="AQ136" s="133"/>
      <c r="AR136" s="133"/>
      <c r="AS136" s="133"/>
      <c r="AT136" s="133"/>
      <c r="AU136" s="133"/>
      <c r="AV136" s="86"/>
      <c r="AW136" s="133"/>
      <c r="AX136" s="133"/>
      <c r="AY136" s="133"/>
      <c r="AZ136" s="115"/>
      <c r="BA136" s="119" t="s">
        <v>290</v>
      </c>
      <c r="BB136" s="90" t="s">
        <v>232</v>
      </c>
      <c r="BC136" s="119" t="s">
        <v>291</v>
      </c>
      <c r="BF136" s="115"/>
      <c r="BM136" s="119" t="s">
        <v>234</v>
      </c>
      <c r="BN136" s="119" t="s">
        <v>234</v>
      </c>
      <c r="BT136" s="311"/>
      <c r="BU136" s="130"/>
    </row>
    <row r="137" spans="1:77" ht="24.95" customHeight="1" x14ac:dyDescent="0.25">
      <c r="A137" s="246"/>
      <c r="B137" s="247">
        <f>IFERROR(D137-C137+IF(C137&gt;=D137,1),0)*24</f>
        <v>0</v>
      </c>
      <c r="C137" s="248" t="str">
        <f>IFERROR(TIMEVALUE(INDEX($H$1:$BT$1,MATCH("I",$H137:$BT137,0))),"OFF")</f>
        <v>OFF</v>
      </c>
      <c r="D137" s="248" t="str">
        <f>IFERROR(TIMEVALUE(INDEX($H$1:$BT$1,MATCH("F",$H137:$BT137,0))),"OFF")</f>
        <v>OFF</v>
      </c>
      <c r="E137" s="580"/>
      <c r="F137" s="570"/>
      <c r="G137" s="596"/>
      <c r="J137" s="147"/>
      <c r="X137" s="133"/>
      <c r="Y137" s="131"/>
      <c r="Z137" s="131"/>
      <c r="AA137" s="131"/>
      <c r="AB137" s="131"/>
      <c r="AC137" s="131"/>
      <c r="AD137" s="131"/>
      <c r="AE137" s="131"/>
      <c r="AF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BU137" s="130"/>
    </row>
    <row r="138" spans="1:77" ht="32.1" customHeight="1" x14ac:dyDescent="0.25">
      <c r="A138" s="249"/>
      <c r="B138" s="250"/>
      <c r="C138" s="251"/>
      <c r="D138" s="251"/>
      <c r="E138" s="580"/>
      <c r="F138" s="570"/>
      <c r="G138" s="596"/>
      <c r="Q138" s="89"/>
      <c r="U138" s="90"/>
      <c r="V138" s="90"/>
      <c r="W138" s="90"/>
      <c r="X138" s="133"/>
      <c r="Y138" s="133"/>
      <c r="Z138" s="133"/>
      <c r="AA138" s="133"/>
      <c r="AB138" s="86"/>
      <c r="AC138" s="86"/>
      <c r="AD138" s="133"/>
      <c r="AE138" s="133"/>
      <c r="AF138" s="133"/>
      <c r="AH138" s="90"/>
      <c r="AK138" s="91"/>
      <c r="AL138" s="91"/>
      <c r="AO138" s="90"/>
      <c r="AP138" s="91"/>
      <c r="AQ138" s="133"/>
      <c r="AR138" s="86"/>
      <c r="AS138" s="133"/>
      <c r="AT138" s="133"/>
      <c r="AU138" s="92"/>
      <c r="AV138" s="134"/>
      <c r="AW138" s="86"/>
      <c r="AX138" s="86"/>
      <c r="AY138" s="133"/>
      <c r="BA138" s="91"/>
      <c r="BI138" s="89"/>
      <c r="BJ138" s="89"/>
      <c r="BU138" s="130"/>
    </row>
    <row r="139" spans="1:77" ht="24.95" customHeight="1" x14ac:dyDescent="0.25">
      <c r="A139" s="246"/>
      <c r="B139" s="247">
        <f>IFERROR(D139-C139+IF(C139&gt;=D139,1),0)*24</f>
        <v>0</v>
      </c>
      <c r="C139" s="248" t="str">
        <f>IFERROR(TIMEVALUE(INDEX($H$1:$BT$1,MATCH("I",$H139:$BT139,0))),"OFF")</f>
        <v>OFF</v>
      </c>
      <c r="D139" s="248" t="str">
        <f>IFERROR(TIMEVALUE(INDEX($H$1:$BT$1,MATCH("F",$H139:$BT139,0))),"OFF")</f>
        <v>OFF</v>
      </c>
      <c r="E139" s="580"/>
      <c r="F139" s="570"/>
      <c r="G139" s="596"/>
      <c r="X139" s="133"/>
      <c r="Y139" s="133"/>
      <c r="Z139" s="133"/>
      <c r="AA139" s="133"/>
      <c r="AB139" s="133"/>
      <c r="AC139" s="133"/>
      <c r="AD139" s="133"/>
      <c r="AE139" s="133"/>
      <c r="AF139" s="133"/>
      <c r="AQ139" s="133"/>
      <c r="AR139" s="133"/>
      <c r="AS139" s="133"/>
      <c r="AT139" s="133"/>
      <c r="AU139" s="133"/>
      <c r="AV139" s="133"/>
      <c r="AW139" s="133"/>
      <c r="AX139" s="133"/>
      <c r="AY139" s="133"/>
      <c r="BU139" s="130"/>
    </row>
    <row r="140" spans="1:77" ht="32.1" customHeight="1" x14ac:dyDescent="0.25">
      <c r="A140" s="249"/>
      <c r="B140" s="250"/>
      <c r="C140" s="251"/>
      <c r="D140" s="251"/>
      <c r="E140" s="580"/>
      <c r="F140" s="570"/>
      <c r="G140" s="596"/>
      <c r="X140" s="133"/>
      <c r="Y140" s="133"/>
      <c r="Z140" s="133"/>
      <c r="AA140" s="133"/>
      <c r="AB140" s="133"/>
      <c r="AC140" s="133"/>
      <c r="AD140" s="133"/>
      <c r="AE140" s="133"/>
      <c r="AF140" s="133"/>
      <c r="AH140" s="90"/>
      <c r="AI140" s="55"/>
      <c r="AJ140" s="90"/>
      <c r="AP140" s="90"/>
      <c r="AQ140" s="133"/>
      <c r="AR140" s="133"/>
      <c r="AS140" s="133"/>
      <c r="AT140" s="133"/>
      <c r="AU140" s="133"/>
      <c r="AV140" s="85"/>
      <c r="AW140" s="86"/>
      <c r="AX140" s="86"/>
      <c r="AY140" s="86"/>
      <c r="AZ140" s="91"/>
      <c r="BA140" s="91"/>
      <c r="BB140" s="91"/>
      <c r="BU140" s="130"/>
    </row>
    <row r="141" spans="1:77" ht="24.75" customHeight="1" x14ac:dyDescent="0.25">
      <c r="A141" s="246"/>
      <c r="B141" s="247">
        <f>IFERROR(D141-C141+IF(C141&gt;=D141,1),0)*24</f>
        <v>0</v>
      </c>
      <c r="C141" s="248" t="str">
        <f>IFERROR(TIMEVALUE(INDEX($H$1:$BT$1,MATCH("I",$H141:$BT141,0))),"OFF")</f>
        <v>OFF</v>
      </c>
      <c r="D141" s="248" t="str">
        <f>IFERROR(TIMEVALUE(INDEX($H$1:$BT$1,MATCH("F",$H141:$BT141,0))),"OFF")</f>
        <v>OFF</v>
      </c>
      <c r="E141" s="580"/>
      <c r="F141" s="570"/>
      <c r="G141" s="596"/>
      <c r="X141" s="133"/>
      <c r="Y141" s="133"/>
      <c r="Z141" s="133"/>
      <c r="AA141" s="133"/>
      <c r="AB141" s="133"/>
      <c r="AC141" s="133"/>
      <c r="AD141" s="133"/>
      <c r="AE141" s="133"/>
      <c r="AF141" s="133"/>
      <c r="AQ141" s="133"/>
      <c r="AR141" s="133"/>
      <c r="AS141" s="133"/>
      <c r="AT141" s="133"/>
      <c r="AU141" s="133"/>
      <c r="AV141" s="133"/>
      <c r="AW141" s="133"/>
      <c r="AX141" s="133"/>
      <c r="AY141" s="133"/>
      <c r="BU141" s="130"/>
    </row>
    <row r="142" spans="1:77" ht="32.1" customHeight="1" x14ac:dyDescent="0.25">
      <c r="A142" s="103"/>
      <c r="B142" s="104"/>
      <c r="C142" s="105"/>
      <c r="D142" s="105"/>
      <c r="E142" s="580"/>
      <c r="F142" s="570"/>
      <c r="G142" s="596"/>
      <c r="Q142" s="89"/>
      <c r="R142" s="89"/>
      <c r="T142" s="89"/>
      <c r="X142" s="133"/>
      <c r="Y142" s="86"/>
      <c r="Z142" s="85"/>
      <c r="AA142" s="86"/>
      <c r="AB142" s="86"/>
      <c r="AC142" s="133"/>
      <c r="AD142" s="86"/>
      <c r="AE142" s="97"/>
      <c r="AF142" s="97"/>
      <c r="AO142" s="135"/>
      <c r="AQ142" s="133"/>
      <c r="AR142" s="133"/>
      <c r="AS142" s="133"/>
      <c r="AT142" s="133"/>
      <c r="AU142" s="133"/>
      <c r="AV142" s="133"/>
      <c r="AW142" s="133"/>
      <c r="AX142" s="133"/>
      <c r="AY142" s="133"/>
      <c r="BU142" s="130"/>
    </row>
    <row r="143" spans="1:77" ht="24.95" customHeight="1" x14ac:dyDescent="0.25">
      <c r="A143" s="246"/>
      <c r="B143" s="247">
        <f>IFERROR(D143-C143+IF(C143&gt;=D143,1),0)*24</f>
        <v>0</v>
      </c>
      <c r="C143" s="248" t="str">
        <f>IFERROR(TIMEVALUE(INDEX($H$1:$BT$1,MATCH("I",$H143:$BT143,0))),"OFF")</f>
        <v>OFF</v>
      </c>
      <c r="D143" s="248" t="str">
        <f>IFERROR(TIMEVALUE(INDEX($H$1:$BT$1,MATCH("F",$H143:$BT143,0))),"OFF")</f>
        <v>OFF</v>
      </c>
      <c r="E143" s="580"/>
      <c r="F143" s="570"/>
      <c r="G143" s="596"/>
      <c r="X143" s="133"/>
      <c r="Y143" s="133"/>
      <c r="Z143" s="133"/>
      <c r="AA143" s="133"/>
      <c r="AB143" s="133"/>
      <c r="AC143" s="133"/>
      <c r="AD143" s="133"/>
      <c r="AE143" s="133"/>
      <c r="AF143" s="133"/>
      <c r="AQ143" s="133"/>
      <c r="AR143" s="133"/>
      <c r="AS143" s="133"/>
      <c r="AT143" s="133"/>
      <c r="AU143" s="133"/>
      <c r="AV143" s="133"/>
      <c r="AW143" s="133"/>
      <c r="AX143" s="133"/>
      <c r="AY143" s="133"/>
      <c r="BU143" s="130"/>
    </row>
    <row r="144" spans="1:77" ht="32.1" customHeight="1" x14ac:dyDescent="0.25">
      <c r="A144" s="249"/>
      <c r="B144" s="250"/>
      <c r="C144" s="251"/>
      <c r="D144" s="251"/>
      <c r="E144" s="580"/>
      <c r="F144" s="570"/>
      <c r="G144" s="596"/>
      <c r="R144" s="89"/>
      <c r="U144" s="90"/>
      <c r="V144" s="90"/>
      <c r="W144" s="90"/>
      <c r="X144" s="133"/>
      <c r="Y144" s="136"/>
      <c r="Z144" s="86"/>
      <c r="AA144" s="133"/>
      <c r="AB144" s="86"/>
      <c r="AC144" s="133"/>
      <c r="AD144" s="92"/>
      <c r="AE144" s="133"/>
      <c r="AF144" s="133"/>
      <c r="AG144" s="90"/>
      <c r="AJ144" s="91"/>
      <c r="AK144" s="91"/>
      <c r="AL144" s="91"/>
      <c r="AQ144" s="133"/>
      <c r="AR144" s="133"/>
      <c r="AS144" s="133"/>
      <c r="AT144" s="133"/>
      <c r="AU144" s="133"/>
      <c r="AV144" s="133"/>
      <c r="AW144" s="133"/>
      <c r="AX144" s="133"/>
      <c r="AY144" s="85"/>
      <c r="AZ144" s="91"/>
      <c r="BU144" s="130"/>
    </row>
    <row r="145" spans="1:73" ht="24.95" customHeight="1" x14ac:dyDescent="0.25">
      <c r="A145" s="246"/>
      <c r="B145" s="247">
        <f>IFERROR(D145-C145+IF(C145&gt;=D145,1),0)*24</f>
        <v>0</v>
      </c>
      <c r="C145" s="248" t="str">
        <f>IFERROR(TIMEVALUE(INDEX($H$1:$BT$1,MATCH("I",$H145:$BT145,0))),"OFF")</f>
        <v>OFF</v>
      </c>
      <c r="D145" s="248" t="str">
        <f>IFERROR(TIMEVALUE(INDEX($H$1:$BT$1,MATCH("F",$H145:$BT145,0))),"OFF")</f>
        <v>OFF</v>
      </c>
      <c r="E145" s="580"/>
      <c r="F145" s="570"/>
      <c r="G145" s="596"/>
      <c r="X145" s="133"/>
      <c r="Y145" s="133"/>
      <c r="Z145" s="133"/>
      <c r="AA145" s="133"/>
      <c r="AB145" s="133"/>
      <c r="AC145" s="133"/>
      <c r="AD145" s="133"/>
      <c r="AE145" s="133"/>
      <c r="AF145" s="133"/>
      <c r="AQ145" s="133"/>
      <c r="AR145" s="133"/>
      <c r="AS145" s="133"/>
      <c r="AT145" s="133"/>
      <c r="AU145" s="133"/>
      <c r="AV145" s="133"/>
      <c r="AW145" s="133"/>
      <c r="AX145" s="133"/>
      <c r="AY145" s="133"/>
      <c r="BU145" s="130"/>
    </row>
    <row r="146" spans="1:73" ht="32.1" customHeight="1" x14ac:dyDescent="0.25">
      <c r="A146" s="249"/>
      <c r="B146" s="250"/>
      <c r="C146" s="251"/>
      <c r="D146" s="251"/>
      <c r="E146" s="580"/>
      <c r="F146" s="570"/>
      <c r="G146" s="596"/>
      <c r="X146" s="133"/>
      <c r="Y146" s="133"/>
      <c r="Z146" s="133"/>
      <c r="AA146" s="133"/>
      <c r="AB146" s="133"/>
      <c r="AC146" s="86"/>
      <c r="AD146" s="86"/>
      <c r="AE146" s="133"/>
      <c r="AF146" s="86"/>
      <c r="AG146" s="90"/>
      <c r="AK146" s="91"/>
      <c r="AL146" s="91"/>
      <c r="AM146" s="90"/>
      <c r="AO146" s="91"/>
      <c r="AQ146" s="133"/>
      <c r="AR146" s="92"/>
      <c r="AS146" s="133"/>
      <c r="AT146" s="133"/>
      <c r="AU146" s="133"/>
      <c r="AV146" s="133"/>
      <c r="AW146" s="133"/>
      <c r="AX146" s="133"/>
      <c r="AY146" s="133"/>
      <c r="BU146" s="130"/>
    </row>
    <row r="147" spans="1:73" ht="24.95" customHeight="1" x14ac:dyDescent="0.25">
      <c r="A147" s="246"/>
      <c r="B147" s="247">
        <f>IFERROR(D147-C147+IF(C147&gt;=D147,1),0)*24</f>
        <v>0</v>
      </c>
      <c r="C147" s="248" t="str">
        <f>IFERROR(TIMEVALUE(INDEX($H$1:$BT$1,MATCH("I",$H147:$BT147,0))),"OFF")</f>
        <v>OFF</v>
      </c>
      <c r="D147" s="248" t="str">
        <f>IFERROR(TIMEVALUE(INDEX($H$1:$BT$1,MATCH("F",$H147:$BT147,0))),"OFF")</f>
        <v>OFF</v>
      </c>
      <c r="E147" s="580"/>
      <c r="F147" s="570"/>
      <c r="G147" s="596"/>
      <c r="X147" s="133"/>
      <c r="Y147" s="133"/>
      <c r="Z147" s="133"/>
      <c r="AA147" s="133"/>
      <c r="AB147" s="133"/>
      <c r="AC147" s="133"/>
      <c r="AD147" s="133"/>
      <c r="AE147" s="133"/>
      <c r="AF147" s="133"/>
      <c r="AQ147" s="133"/>
      <c r="AR147" s="133"/>
      <c r="AS147" s="133"/>
      <c r="AT147" s="133"/>
      <c r="AU147" s="133"/>
      <c r="AV147" s="133"/>
      <c r="AW147" s="133"/>
      <c r="AX147" s="133"/>
      <c r="AY147" s="133"/>
      <c r="BU147" s="130"/>
    </row>
    <row r="148" spans="1:73" ht="32.1" customHeight="1" x14ac:dyDescent="0.25">
      <c r="A148" s="249"/>
      <c r="B148" s="250"/>
      <c r="C148" s="251"/>
      <c r="D148" s="251"/>
      <c r="E148" s="580"/>
      <c r="F148" s="287"/>
      <c r="G148" s="598"/>
      <c r="H148" s="240"/>
      <c r="I148" s="240"/>
      <c r="J148" s="240"/>
      <c r="K148" s="240"/>
      <c r="L148" s="240"/>
      <c r="M148" s="240"/>
      <c r="N148" s="240"/>
      <c r="O148" s="240"/>
      <c r="P148" s="240"/>
      <c r="Q148" s="240"/>
      <c r="R148" s="240"/>
      <c r="S148" s="240"/>
      <c r="T148" s="240"/>
      <c r="U148" s="240"/>
      <c r="V148" s="240"/>
      <c r="W148" s="240"/>
      <c r="X148" s="241"/>
      <c r="Y148" s="241"/>
      <c r="Z148" s="241"/>
      <c r="AA148" s="241"/>
      <c r="AB148" s="241"/>
      <c r="AC148" s="241"/>
      <c r="AD148" s="241"/>
      <c r="AE148" s="241"/>
      <c r="AF148" s="241"/>
      <c r="AG148" s="240"/>
      <c r="AH148" s="240"/>
      <c r="AI148" s="240"/>
      <c r="AJ148" s="240"/>
      <c r="AK148" s="240"/>
      <c r="AL148" s="240"/>
      <c r="AM148" s="240"/>
      <c r="AN148" s="240"/>
      <c r="AO148" s="240"/>
      <c r="AP148" s="240"/>
      <c r="AQ148" s="133"/>
      <c r="AR148" s="133"/>
      <c r="AS148" s="133"/>
      <c r="AT148" s="133"/>
      <c r="AU148" s="133"/>
      <c r="AV148" s="133"/>
      <c r="AW148" s="92"/>
      <c r="AX148" s="92"/>
      <c r="AY148" s="133"/>
      <c r="BA148" s="90"/>
      <c r="BE148" s="90"/>
      <c r="BG148" s="90"/>
      <c r="BU148" s="130"/>
    </row>
    <row r="149" spans="1:73" ht="45" customHeight="1" x14ac:dyDescent="0.25">
      <c r="A149" s="603" t="s">
        <v>293</v>
      </c>
      <c r="B149" s="604"/>
      <c r="C149" s="604"/>
      <c r="D149" s="604"/>
      <c r="E149" s="605"/>
      <c r="F149" s="609" t="s">
        <v>237</v>
      </c>
      <c r="G149" s="610"/>
      <c r="H149" s="321">
        <f>H150</f>
        <v>0</v>
      </c>
      <c r="I149" s="575">
        <f>SUM(I150:L150)</f>
        <v>0</v>
      </c>
      <c r="J149" s="575"/>
      <c r="K149" s="575"/>
      <c r="L149" s="575"/>
      <c r="M149" s="575">
        <f>SUM(M150:N150)</f>
        <v>0</v>
      </c>
      <c r="N149" s="575"/>
      <c r="O149" s="575">
        <f>SUM(O150:P150)</f>
        <v>0</v>
      </c>
      <c r="P149" s="575"/>
      <c r="Q149" s="575">
        <f>SUM(Q150:R150)</f>
        <v>0</v>
      </c>
      <c r="R149" s="575"/>
      <c r="S149" s="575">
        <f>SUM(S150:T150)</f>
        <v>0</v>
      </c>
      <c r="T149" s="575"/>
      <c r="U149" s="575">
        <f>SUM(U150:W150)</f>
        <v>0</v>
      </c>
      <c r="V149" s="575"/>
      <c r="W149" s="575"/>
      <c r="X149" s="575">
        <f>SUM(X150:AA150)</f>
        <v>0</v>
      </c>
      <c r="Y149" s="575"/>
      <c r="Z149" s="575"/>
      <c r="AA149" s="575"/>
      <c r="AB149" s="575">
        <f>SUM(AB150:AE150)</f>
        <v>0</v>
      </c>
      <c r="AC149" s="575"/>
      <c r="AD149" s="575"/>
      <c r="AE149" s="575"/>
      <c r="AF149" s="575">
        <f>SUM(AF150:AG150)</f>
        <v>0</v>
      </c>
      <c r="AG149" s="575"/>
      <c r="AH149" s="575">
        <f>SUM(AH150:AI150)</f>
        <v>0</v>
      </c>
      <c r="AI149" s="575"/>
      <c r="AJ149" s="575">
        <f>SUM(AJ150:AK150)</f>
        <v>0</v>
      </c>
      <c r="AK149" s="575"/>
      <c r="AL149" s="575">
        <f>SUM(AL150:AM150)</f>
        <v>0</v>
      </c>
      <c r="AM149" s="575"/>
      <c r="AN149" s="575">
        <f>SUM(AN150:AP150)</f>
        <v>0.5</v>
      </c>
      <c r="AO149" s="575"/>
      <c r="AP149" s="575"/>
      <c r="AQ149" s="575">
        <f>SUM(AQ150:AT150)</f>
        <v>1</v>
      </c>
      <c r="AR149" s="575"/>
      <c r="AS149" s="575"/>
      <c r="AT149" s="575"/>
      <c r="AU149" s="575">
        <f>SUM(AU150:AX150)</f>
        <v>1</v>
      </c>
      <c r="AV149" s="575"/>
      <c r="AW149" s="575"/>
      <c r="AX149" s="575"/>
      <c r="AY149" s="575">
        <f>SUM(AY150:BA150)</f>
        <v>1</v>
      </c>
      <c r="AZ149" s="575"/>
      <c r="BA149" s="575"/>
      <c r="BB149" s="575">
        <f>SUM(BB150:BC150)</f>
        <v>0.5</v>
      </c>
      <c r="BC149" s="575"/>
      <c r="BD149" s="575">
        <f>SUM(BD150:BE150)</f>
        <v>1</v>
      </c>
      <c r="BE149" s="575"/>
      <c r="BF149" s="575">
        <f>SUM(BF150:BH150)</f>
        <v>1</v>
      </c>
      <c r="BG149" s="575"/>
      <c r="BH149" s="575"/>
      <c r="BI149" s="575">
        <f>SUM(BI150:BJ150)</f>
        <v>1</v>
      </c>
      <c r="BJ149" s="575"/>
      <c r="BK149" s="575">
        <f>SUM(BK150:BL150)</f>
        <v>1</v>
      </c>
      <c r="BL149" s="575"/>
      <c r="BM149" s="575">
        <f>SUM(BM150:BN150)</f>
        <v>0.5</v>
      </c>
      <c r="BN149" s="575"/>
      <c r="BO149" s="575">
        <f>SUM(BO150:BP150)</f>
        <v>0</v>
      </c>
      <c r="BP149" s="575"/>
      <c r="BQ149" s="575">
        <f>SUM(BQ150:BR150)</f>
        <v>0</v>
      </c>
      <c r="BR149" s="575"/>
      <c r="BS149" s="575">
        <f>SUM(BS150:BT150)</f>
        <v>0</v>
      </c>
      <c r="BT149" s="575"/>
      <c r="BU149" s="130"/>
    </row>
    <row r="150" spans="1:73" ht="35.1" customHeight="1" x14ac:dyDescent="0.25">
      <c r="A150" s="606"/>
      <c r="B150" s="607"/>
      <c r="C150" s="607"/>
      <c r="D150" s="607"/>
      <c r="E150" s="608"/>
      <c r="F150" s="606"/>
      <c r="G150" s="607"/>
      <c r="H150" s="322">
        <f>(COUNTIF(H2:H148,"N")+COUNTIF(H2:H148,"I"))/4</f>
        <v>0</v>
      </c>
      <c r="I150" s="322">
        <f>(COUNTIF(I2:I148,"N")+COUNTIF(I2:I148,"I"))/4</f>
        <v>0</v>
      </c>
      <c r="J150" s="322">
        <f t="shared" ref="J150:L150" si="0">(COUNTIF(J2:J148,"N")+COUNTIF(J2:J148,"I"))/4</f>
        <v>0</v>
      </c>
      <c r="K150" s="322">
        <f t="shared" si="0"/>
        <v>0</v>
      </c>
      <c r="L150" s="322">
        <f t="shared" si="0"/>
        <v>0</v>
      </c>
      <c r="M150" s="322">
        <f>(COUNTIF(M2:M148,"N")+COUNTIF(M2:M148,"I"))/2</f>
        <v>0</v>
      </c>
      <c r="N150" s="322">
        <f t="shared" ref="N150:U150" si="1">(COUNTIF(N2:N148,"N")+COUNTIF(N2:N148,"I"))/2</f>
        <v>0</v>
      </c>
      <c r="O150" s="322">
        <f t="shared" si="1"/>
        <v>0</v>
      </c>
      <c r="P150" s="322">
        <f t="shared" si="1"/>
        <v>0</v>
      </c>
      <c r="Q150" s="322">
        <f t="shared" si="1"/>
        <v>0</v>
      </c>
      <c r="R150" s="322">
        <f t="shared" si="1"/>
        <v>0</v>
      </c>
      <c r="S150" s="322">
        <f t="shared" si="1"/>
        <v>0</v>
      </c>
      <c r="T150" s="322">
        <f t="shared" si="1"/>
        <v>0</v>
      </c>
      <c r="U150" s="322">
        <f t="shared" si="1"/>
        <v>0</v>
      </c>
      <c r="V150" s="322">
        <f>(COUNTIF(V2:V148,"N")+COUNTIF(V2:V148,"I"))/4</f>
        <v>0</v>
      </c>
      <c r="W150" s="322">
        <f t="shared" ref="W150:AE150" si="2">(COUNTIF(W2:W148,"N")+COUNTIF(W2:W148,"I"))/4</f>
        <v>0</v>
      </c>
      <c r="X150" s="322">
        <f t="shared" si="2"/>
        <v>0</v>
      </c>
      <c r="Y150" s="322">
        <f t="shared" si="2"/>
        <v>0</v>
      </c>
      <c r="Z150" s="322">
        <f t="shared" si="2"/>
        <v>0</v>
      </c>
      <c r="AA150" s="322">
        <f t="shared" si="2"/>
        <v>0</v>
      </c>
      <c r="AB150" s="322">
        <f t="shared" si="2"/>
        <v>0</v>
      </c>
      <c r="AC150" s="322">
        <f t="shared" si="2"/>
        <v>0</v>
      </c>
      <c r="AD150" s="322">
        <f t="shared" si="2"/>
        <v>0</v>
      </c>
      <c r="AE150" s="322">
        <f t="shared" si="2"/>
        <v>0</v>
      </c>
      <c r="AF150" s="322">
        <f>(COUNTIF(AF2:AF148,"N")+COUNTIF(AF2:AF148,"I"))/2</f>
        <v>0</v>
      </c>
      <c r="AG150" s="322">
        <f t="shared" ref="AG150:AN150" si="3">(COUNTIF(AG2:AG148,"N")+COUNTIF(AG2:AG148,"I"))/2</f>
        <v>0</v>
      </c>
      <c r="AH150" s="322">
        <f t="shared" si="3"/>
        <v>0</v>
      </c>
      <c r="AI150" s="322">
        <f t="shared" si="3"/>
        <v>0</v>
      </c>
      <c r="AJ150" s="322">
        <f t="shared" si="3"/>
        <v>0</v>
      </c>
      <c r="AK150" s="322">
        <f t="shared" si="3"/>
        <v>0</v>
      </c>
      <c r="AL150" s="322">
        <f t="shared" si="3"/>
        <v>0</v>
      </c>
      <c r="AM150" s="322">
        <f t="shared" si="3"/>
        <v>0</v>
      </c>
      <c r="AN150" s="322">
        <f t="shared" si="3"/>
        <v>0</v>
      </c>
      <c r="AO150" s="322">
        <f>(COUNTIF(AO2:AO148,"N")+COUNTIF(AO2:AO148,"I"))/4</f>
        <v>0.25</v>
      </c>
      <c r="AP150" s="322">
        <f t="shared" ref="AP150:AZ150" si="4">(COUNTIF(AP2:AP148,"N")+COUNTIF(AP2:AP148,"I"))/4</f>
        <v>0.25</v>
      </c>
      <c r="AQ150" s="322">
        <f t="shared" si="4"/>
        <v>0.25</v>
      </c>
      <c r="AR150" s="322">
        <f t="shared" si="4"/>
        <v>0.25</v>
      </c>
      <c r="AS150" s="322">
        <f t="shared" si="4"/>
        <v>0.25</v>
      </c>
      <c r="AT150" s="322">
        <f t="shared" si="4"/>
        <v>0.25</v>
      </c>
      <c r="AU150" s="322">
        <f t="shared" si="4"/>
        <v>0.25</v>
      </c>
      <c r="AV150" s="322">
        <f t="shared" si="4"/>
        <v>0.25</v>
      </c>
      <c r="AW150" s="322">
        <f t="shared" si="4"/>
        <v>0.25</v>
      </c>
      <c r="AX150" s="322">
        <f t="shared" si="4"/>
        <v>0.25</v>
      </c>
      <c r="AY150" s="322">
        <f t="shared" si="4"/>
        <v>0.25</v>
      </c>
      <c r="AZ150" s="322">
        <f t="shared" si="4"/>
        <v>0.25</v>
      </c>
      <c r="BA150" s="322">
        <f>(COUNTIF(BA2:BA148,"N")+COUNTIF(BA2:BA148,"I"))/2</f>
        <v>0.5</v>
      </c>
      <c r="BB150" s="322">
        <f t="shared" ref="BB150:BE150" si="5">(COUNTIF(BB2:BB148,"N")+COUNTIF(BB2:BB148,"I"))/2</f>
        <v>0</v>
      </c>
      <c r="BC150" s="322">
        <f t="shared" si="5"/>
        <v>0.5</v>
      </c>
      <c r="BD150" s="322">
        <f t="shared" si="5"/>
        <v>0.5</v>
      </c>
      <c r="BE150" s="322">
        <f t="shared" si="5"/>
        <v>0.5</v>
      </c>
      <c r="BF150" s="322">
        <f>(COUNTIF(BF2:BF148,"N")+COUNTIF(BF2:BF148,"I"))/4</f>
        <v>0.25</v>
      </c>
      <c r="BG150" s="322">
        <f>(COUNTIF(BG2:BG148,"N")+COUNTIF(BG2:BG148,"I"))/4</f>
        <v>0.25</v>
      </c>
      <c r="BH150" s="322">
        <f>(COUNTIF(BH2:BH148,"N")+COUNTIF(BH2:BH148,"I"))/2</f>
        <v>0.5</v>
      </c>
      <c r="BI150" s="322">
        <f t="shared" ref="BI150:BT150" si="6">(COUNTIF(BI2:BI148,"N")+COUNTIF(BI2:BI148,"I"))/2</f>
        <v>0.5</v>
      </c>
      <c r="BJ150" s="322">
        <f t="shared" si="6"/>
        <v>0.5</v>
      </c>
      <c r="BK150" s="322">
        <f t="shared" si="6"/>
        <v>0.5</v>
      </c>
      <c r="BL150" s="322">
        <f t="shared" si="6"/>
        <v>0.5</v>
      </c>
      <c r="BM150" s="322">
        <f t="shared" si="6"/>
        <v>0.5</v>
      </c>
      <c r="BN150" s="322">
        <f t="shared" si="6"/>
        <v>0</v>
      </c>
      <c r="BO150" s="322">
        <f t="shared" si="6"/>
        <v>0</v>
      </c>
      <c r="BP150" s="322">
        <f t="shared" si="6"/>
        <v>0</v>
      </c>
      <c r="BQ150" s="322">
        <f t="shared" si="6"/>
        <v>0</v>
      </c>
      <c r="BR150" s="322">
        <f t="shared" si="6"/>
        <v>0</v>
      </c>
      <c r="BS150" s="322">
        <f t="shared" si="6"/>
        <v>0</v>
      </c>
      <c r="BT150" s="322">
        <f t="shared" si="6"/>
        <v>0</v>
      </c>
      <c r="BU150" s="130"/>
    </row>
    <row r="151" spans="1:73" ht="45" customHeight="1" x14ac:dyDescent="0.25">
      <c r="A151" s="577" t="s">
        <v>286</v>
      </c>
      <c r="B151" s="578"/>
      <c r="C151" s="578"/>
      <c r="D151" s="578"/>
      <c r="E151" s="578"/>
      <c r="F151" s="578" t="s">
        <v>287</v>
      </c>
      <c r="G151" s="578"/>
      <c r="H151" s="589"/>
      <c r="I151" s="600" t="s">
        <v>187</v>
      </c>
      <c r="J151" s="578"/>
      <c r="K151" s="578"/>
      <c r="L151" s="578"/>
      <c r="M151" s="578"/>
      <c r="N151" s="578"/>
      <c r="O151" s="589"/>
      <c r="P151" s="600" t="s">
        <v>188</v>
      </c>
      <c r="Q151" s="578"/>
      <c r="R151" s="578"/>
      <c r="S151" s="578"/>
      <c r="T151" s="578"/>
      <c r="U151" s="578"/>
      <c r="V151" s="589"/>
      <c r="W151" s="600" t="s">
        <v>189</v>
      </c>
      <c r="X151" s="578"/>
      <c r="Y151" s="578"/>
      <c r="Z151" s="578"/>
      <c r="AA151" s="578"/>
      <c r="AB151" s="578"/>
      <c r="AC151" s="589"/>
      <c r="AD151" s="600" t="s">
        <v>190</v>
      </c>
      <c r="AE151" s="578"/>
      <c r="AF151" s="578"/>
      <c r="AG151" s="578"/>
      <c r="AH151" s="578"/>
      <c r="AI151" s="578"/>
      <c r="AJ151" s="589"/>
      <c r="AK151" s="600" t="s">
        <v>191</v>
      </c>
      <c r="AL151" s="578"/>
      <c r="AM151" s="578"/>
      <c r="AN151" s="578"/>
      <c r="AO151" s="578"/>
      <c r="AP151" s="589"/>
      <c r="AQ151" s="480" t="str">
        <f>IF(TOT!C12=0,"",TOT!C12)</f>
        <v/>
      </c>
      <c r="AR151" s="599"/>
      <c r="AS151" s="599"/>
      <c r="AT151" s="599"/>
      <c r="AU151" s="599"/>
      <c r="AV151" s="599"/>
      <c r="AW151" s="599"/>
      <c r="AX151" s="599"/>
      <c r="AY151" s="599"/>
      <c r="AZ151" s="599"/>
      <c r="BA151" s="599"/>
      <c r="BB151" s="599"/>
      <c r="BC151" s="599"/>
      <c r="BD151" s="599"/>
      <c r="BE151" s="599"/>
      <c r="BF151" s="599"/>
      <c r="BG151" s="599"/>
      <c r="BH151" s="599"/>
      <c r="BI151" s="599"/>
      <c r="BJ151" s="599"/>
      <c r="BK151" s="599"/>
      <c r="BL151" s="599"/>
      <c r="BM151" s="599"/>
      <c r="BN151" s="599"/>
      <c r="BO151" s="599"/>
      <c r="BP151" s="599"/>
      <c r="BQ151" s="599"/>
      <c r="BR151" s="599"/>
      <c r="BS151" s="599"/>
      <c r="BT151" s="599"/>
      <c r="BU151" s="42"/>
    </row>
    <row r="152" spans="1:73" ht="56.25" customHeight="1" thickBot="1" x14ac:dyDescent="0.3">
      <c r="A152" s="576" t="e">
        <f>LUN!F171/C152</f>
        <v>#DIV/0!</v>
      </c>
      <c r="B152" s="574"/>
      <c r="C152" s="571">
        <f>(COUNTIF(H2:L22,"N")+COUNTIF(H2:L22,"I"))/4+(COUNTIF(M2:U22,"N")+COUNTIF(M2:U22,"I"))/2+(COUNTIF(V2:AE22,"N")+COUNTIF(V2:AE22,"I"))/4+(COUNTIF(AF2:AN22,"N")+COUNTIF(AF2:AN22,"I"))/2+(COUNTIF(AO2:AZ22,"N")+COUNTIF(AO2:AZ22,"I"))/4+(COUNTIF(BA2:BE22,"N")+COUNTIF(BA2:BE22,"I"))/2+(COUNTIF(BF2:BG22,"N")+COUNTIF(BF2:BG22,"I"))/4+(COUNTIF(BH2:BT22,"N")+COUNTIF(BH2:BT22,"I"))/2</f>
        <v>0</v>
      </c>
      <c r="D152" s="571"/>
      <c r="E152" s="571"/>
      <c r="F152" s="320" t="e">
        <f>MAR!F171/G152</f>
        <v>#DIV/0!</v>
      </c>
      <c r="G152" s="583">
        <f>(COUNTIF(H23:L43,"N")+COUNTIF(H23:L43,"I"))/4+(COUNTIF(M23:U43,"N")+COUNTIF(M23:U43,"I"))/2+(COUNTIF(V23:AE43,"N")+COUNTIF(V23:AE43,"I"))/4+(COUNTIF(AF23:AN43,"N")+COUNTIF(AF23:AN43,"I"))/2+(COUNTIF(AO23:AZ43,"N")+COUNTIF(AO23:AZ43,"I"))/4+(COUNTIF(BA23:BE43,"N")+COUNTIF(BA23:BE43,"I"))/2+(COUNTIF(BF23:BG43,"N")+COUNTIF(BF23:BG43,"I"))/4+(COUNTIF(BH23:BT43,"N")+COUNTIF(BH23:BT43,"I"))/2</f>
        <v>0</v>
      </c>
      <c r="H152" s="584"/>
      <c r="I152" s="572" t="e">
        <f>MER!F171/L152</f>
        <v>#DIV/0!</v>
      </c>
      <c r="J152" s="573"/>
      <c r="K152" s="574"/>
      <c r="L152" s="571">
        <f>(COUNTIF(H44:L64,"N")+COUNTIF(H44:L64,"I"))/4+(COUNTIF(M44:U64,"N")+COUNTIF(M44:U64,"I"))/2+(COUNTIF(V44:AE64,"N")+COUNTIF(V44:AE64,"I"))/4+(COUNTIF(AF44:AN64,"N")+COUNTIF(AF44:AN64,"I"))/2+(COUNTIF(AO44:AZ64,"N")+COUNTIF(AO44:AZ64,"I"))/4+(COUNTIF(BA44:BE64,"N")+COUNTIF(BA44:BE64,"I"))/2+(COUNTIF(BF44:BG64,"N")+COUNTIF(BF44:BG64,"I"))/4+(COUNTIF(BH44:BT64,"N")+COUNTIF(BH44:BT64,"I"))/2</f>
        <v>0</v>
      </c>
      <c r="M152" s="571"/>
      <c r="N152" s="571"/>
      <c r="O152" s="571"/>
      <c r="P152" s="572" t="e">
        <f>GIO!F171/S152</f>
        <v>#DIV/0!</v>
      </c>
      <c r="Q152" s="573"/>
      <c r="R152" s="574"/>
      <c r="S152" s="571">
        <f>(COUNTIF(H65:L85,"N")+COUNTIF(H65:L85,"I"))/4+(COUNTIF(M65:U85,"N")+COUNTIF(M65:U85,"I"))/2+(COUNTIF(V65:AE85,"N")+COUNTIF(V65:AE85,"I"))/4+(COUNTIF(AF65:AN85,"N")+COUNTIF(AF65:AN85,"I"))/2+(COUNTIF(AO65:AZ85,"N")+COUNTIF(AO65:AZ85,"I"))/4+(COUNTIF(BA65:BE85,"N")+COUNTIF(BA65:BE85,"I"))/2+(COUNTIF(BF65:BG85,"N")+COUNTIF(BF65:BG85,"I"))/4+(COUNTIF(BH65:BT85,"N")+COUNTIF(BH65:BT85,"I"))/2</f>
        <v>0</v>
      </c>
      <c r="T152" s="571"/>
      <c r="U152" s="571"/>
      <c r="V152" s="571"/>
      <c r="W152" s="572" t="e">
        <f>VEN!F171/Z152</f>
        <v>#DIV/0!</v>
      </c>
      <c r="X152" s="573"/>
      <c r="Y152" s="574"/>
      <c r="Z152" s="571">
        <f>(COUNTIF(H86:L106,"N")+COUNTIF(H86:L106,"I"))/4+(COUNTIF(M86:U106,"N")+COUNTIF(M86:U106,"I"))/2+(COUNTIF(V86:AE106,"N")+COUNTIF(V86:AE106,"I"))/4+(COUNTIF(AF86:AN106,"N")+COUNTIF(AF86:AN106,"I"))/2+(COUNTIF(AO86:AZ106,"N")+COUNTIF(AO86:AZ106,"I"))/4+(COUNTIF(BA86:BE106,"N")+COUNTIF(BA86:BE106,"I"))/2+(COUNTIF(BF86:BG106,"N")+COUNTIF(BF86:BG106,"I"))/4+(COUNTIF(BH86:BT106,"N")+COUNTIF(BH86:BT106,"I"))/2</f>
        <v>0</v>
      </c>
      <c r="AA152" s="571"/>
      <c r="AB152" s="571"/>
      <c r="AC152" s="571"/>
      <c r="AD152" s="572" t="e">
        <f>SAB!F171/AG152</f>
        <v>#DIV/0!</v>
      </c>
      <c r="AE152" s="573"/>
      <c r="AF152" s="574"/>
      <c r="AG152" s="571">
        <f>(COUNTIF(H107:L127,"N")+COUNTIF(H107:L127,"I"))/4+(COUNTIF(M107:U127,"N")+COUNTIF(M107:U127,"I"))/2+(COUNTIF(V107:AE127,"N")+COUNTIF(V107:AE127,"I"))/4+(COUNTIF(AF107:AN127,"N")+COUNTIF(AF107:AN127,"I"))/2+(COUNTIF(AO107:AZ127,"N")+COUNTIF(AO107:AZ127,"I"))/4+(COUNTIF(BA107:BE127,"N")+COUNTIF(BA107:BE127,"I"))/2+(COUNTIF(BF107:BG127,"N")+COUNTIF(BF107:BG127,"I"))/4+(COUNTIF(BH107:BT127,"N")+COUNTIF(BH107:BT127,"I"))/2</f>
        <v>0</v>
      </c>
      <c r="AH152" s="571"/>
      <c r="AI152" s="571"/>
      <c r="AJ152" s="571"/>
      <c r="AK152" s="572">
        <f>DOM!F171/AN152</f>
        <v>0</v>
      </c>
      <c r="AL152" s="573"/>
      <c r="AM152" s="574"/>
      <c r="AN152" s="571">
        <f>(COUNTIF(H128:L148,"N")+COUNTIF(H128:L148,"I"))/4+(COUNTIF(M128:U148,"N")+COUNTIF(M128:U148,"I"))/2+(COUNTIF(V128:AE148,"N")+COUNTIF(V128:AE148,"I"))/4+(COUNTIF(AF128:AN148,"N")+COUNTIF(AF128:AN148,"I"))/2+(COUNTIF(AO128:AZ148,"N")+COUNTIF(AO128:AZ148,"I"))/4+(COUNTIF(BA128:BE148,"N")+COUNTIF(BA128:BE148,"I"))/2+(COUNTIF(BF128:BG148,"N")+COUNTIF(BF128:BG148,"I"))/4+(COUNTIF(BH128:BT148,"N")+COUNTIF(BH128:BT148,"I"))/2</f>
        <v>8.5</v>
      </c>
      <c r="AO152" s="571"/>
      <c r="AP152" s="571"/>
      <c r="AQ152" s="491"/>
      <c r="AR152" s="492"/>
      <c r="AS152" s="492"/>
      <c r="AT152" s="492"/>
      <c r="AU152" s="492"/>
      <c r="AV152" s="492"/>
      <c r="AW152" s="492"/>
      <c r="AX152" s="492"/>
      <c r="AY152" s="492"/>
      <c r="AZ152" s="492"/>
      <c r="BA152" s="492"/>
      <c r="BB152" s="492"/>
      <c r="BC152" s="492"/>
      <c r="BD152" s="492"/>
      <c r="BE152" s="492"/>
      <c r="BF152" s="492"/>
      <c r="BG152" s="492"/>
      <c r="BH152" s="492"/>
      <c r="BI152" s="492"/>
      <c r="BJ152" s="492"/>
      <c r="BK152" s="492"/>
      <c r="BL152" s="492"/>
      <c r="BM152" s="492"/>
      <c r="BN152" s="492"/>
      <c r="BO152" s="492"/>
      <c r="BP152" s="492"/>
      <c r="BQ152" s="492"/>
      <c r="BR152" s="492"/>
      <c r="BS152" s="492"/>
      <c r="BT152" s="492"/>
      <c r="BU152" s="128"/>
    </row>
    <row r="153" spans="1:73" ht="18" customHeight="1" x14ac:dyDescent="0.4"/>
    <row r="154" spans="1:73" ht="23.1" customHeight="1" x14ac:dyDescent="0.4"/>
    <row r="155" spans="1:73" ht="18" customHeight="1" x14ac:dyDescent="0.4"/>
    <row r="156" spans="1:73" ht="22.5" customHeight="1" x14ac:dyDescent="0.4">
      <c r="A156" s="65"/>
    </row>
    <row r="157" spans="1:73" ht="18" customHeight="1" x14ac:dyDescent="0.4"/>
    <row r="158" spans="1:73" ht="23.1" customHeight="1" x14ac:dyDescent="0.4"/>
    <row r="159" spans="1:73" ht="18" customHeight="1" x14ac:dyDescent="0.4"/>
    <row r="160" spans="1:73" ht="23.1" customHeight="1" x14ac:dyDescent="0.4"/>
    <row r="161" spans="1:11" ht="18" customHeight="1" x14ac:dyDescent="0.4">
      <c r="J161" s="129"/>
      <c r="K161" s="129"/>
    </row>
    <row r="162" spans="1:11" ht="23.1" customHeight="1" x14ac:dyDescent="0.4">
      <c r="J162" s="129"/>
      <c r="K162" s="129"/>
    </row>
    <row r="163" spans="1:11" ht="18" customHeight="1" x14ac:dyDescent="0.4">
      <c r="J163" s="129"/>
      <c r="K163" s="129"/>
    </row>
    <row r="164" spans="1:11" ht="23.1" customHeight="1" x14ac:dyDescent="0.4">
      <c r="A164" s="65"/>
      <c r="J164" s="129"/>
      <c r="K164" s="129"/>
    </row>
    <row r="165" spans="1:11" ht="18" customHeight="1" x14ac:dyDescent="0.4">
      <c r="A165" s="65"/>
      <c r="J165" s="129"/>
      <c r="K165" s="129"/>
    </row>
    <row r="166" spans="1:11" ht="23.1" customHeight="1" x14ac:dyDescent="0.4">
      <c r="J166" s="129"/>
      <c r="K166" s="129"/>
    </row>
    <row r="167" spans="1:11" ht="18" customHeight="1" x14ac:dyDescent="0.4">
      <c r="J167" s="129"/>
      <c r="K167" s="129"/>
    </row>
    <row r="168" spans="1:11" ht="23.1" customHeight="1" x14ac:dyDescent="0.4">
      <c r="J168" s="129"/>
      <c r="K168" s="129"/>
    </row>
    <row r="169" spans="1:11" ht="18" customHeight="1" x14ac:dyDescent="0.4">
      <c r="J169" s="129"/>
      <c r="K169" s="129"/>
    </row>
    <row r="170" spans="1:11" ht="23.1" customHeight="1" x14ac:dyDescent="0.4">
      <c r="J170" s="129"/>
      <c r="K170" s="129"/>
    </row>
    <row r="171" spans="1:11" ht="18" customHeight="1" x14ac:dyDescent="0.4">
      <c r="J171" s="129"/>
      <c r="K171" s="129"/>
    </row>
    <row r="172" spans="1:11" ht="23.1" customHeight="1" x14ac:dyDescent="0.4">
      <c r="J172" s="129"/>
      <c r="K172" s="129"/>
    </row>
    <row r="173" spans="1:11" ht="18" customHeight="1" x14ac:dyDescent="0.4">
      <c r="J173" s="129"/>
      <c r="K173" s="129"/>
    </row>
    <row r="174" spans="1:11" ht="23.1" customHeight="1" x14ac:dyDescent="0.4">
      <c r="J174" s="129"/>
      <c r="K174" s="129"/>
    </row>
    <row r="175" spans="1:11" ht="18" customHeight="1" x14ac:dyDescent="0.4">
      <c r="J175" s="129"/>
      <c r="K175" s="129"/>
    </row>
    <row r="176" spans="1:11" ht="23.1" customHeight="1" x14ac:dyDescent="0.4">
      <c r="J176" s="129"/>
      <c r="K176" s="129"/>
    </row>
    <row r="177" spans="10:11" ht="18" customHeight="1" x14ac:dyDescent="0.4">
      <c r="J177" s="129"/>
      <c r="K177" s="129"/>
    </row>
    <row r="178" spans="10:11" ht="23.1" customHeight="1" x14ac:dyDescent="0.4">
      <c r="J178" s="129"/>
      <c r="K178" s="129"/>
    </row>
    <row r="179" spans="10:11" ht="18" customHeight="1" x14ac:dyDescent="0.4">
      <c r="J179" s="129"/>
      <c r="K179" s="129"/>
    </row>
    <row r="180" spans="10:11" ht="23.1" customHeight="1" x14ac:dyDescent="0.4">
      <c r="J180" s="129"/>
      <c r="K180" s="129"/>
    </row>
    <row r="181" spans="10:11" ht="18" customHeight="1" x14ac:dyDescent="0.4">
      <c r="J181" s="129"/>
      <c r="K181" s="129"/>
    </row>
    <row r="182" spans="10:11" ht="23.1" customHeight="1" x14ac:dyDescent="0.4">
      <c r="J182" s="129"/>
      <c r="K182" s="129"/>
    </row>
    <row r="183" spans="10:11" ht="18" customHeight="1" x14ac:dyDescent="0.4"/>
    <row r="184" spans="10:11" ht="23.1" customHeight="1" x14ac:dyDescent="0.4"/>
    <row r="185" spans="10:11" ht="18" customHeight="1" x14ac:dyDescent="0.4"/>
    <row r="186" spans="10:11" ht="23.1" customHeight="1" x14ac:dyDescent="0.4"/>
    <row r="187" spans="10:11" ht="18" customHeight="1" x14ac:dyDescent="0.4"/>
    <row r="188" spans="10:11" ht="23.1" customHeight="1" x14ac:dyDescent="0.4"/>
    <row r="189" spans="10:11" ht="18" customHeight="1" x14ac:dyDescent="0.4"/>
    <row r="190" spans="10:11" ht="23.1" customHeight="1" x14ac:dyDescent="0.4"/>
    <row r="191" spans="10:11" ht="18" customHeight="1" x14ac:dyDescent="0.4"/>
    <row r="192" spans="10:11" ht="23.1" customHeight="1" x14ac:dyDescent="0.4"/>
    <row r="193" ht="18" customHeight="1" x14ac:dyDescent="0.4"/>
    <row r="194" ht="23.1" customHeight="1" x14ac:dyDescent="0.4"/>
    <row r="195" ht="18" customHeight="1" x14ac:dyDescent="0.4"/>
    <row r="196" ht="23.1" customHeight="1" x14ac:dyDescent="0.4"/>
    <row r="197" ht="18" customHeight="1" x14ac:dyDescent="0.4"/>
    <row r="198" ht="23.1" customHeight="1" x14ac:dyDescent="0.4"/>
    <row r="199" ht="18" customHeight="1" x14ac:dyDescent="0.4"/>
    <row r="200" ht="23.1" customHeight="1" x14ac:dyDescent="0.4"/>
    <row r="201" ht="18" customHeight="1" x14ac:dyDescent="0.4"/>
    <row r="202" ht="23.1" customHeight="1" x14ac:dyDescent="0.4"/>
    <row r="203" ht="18" customHeight="1" x14ac:dyDescent="0.4"/>
    <row r="204" ht="23.1" customHeight="1" x14ac:dyDescent="0.4"/>
    <row r="205" ht="18" customHeight="1" x14ac:dyDescent="0.4"/>
    <row r="206" ht="23.1" customHeight="1" x14ac:dyDescent="0.4"/>
    <row r="207" ht="18" customHeight="1" x14ac:dyDescent="0.4"/>
    <row r="208" ht="23.1" customHeight="1" x14ac:dyDescent="0.4"/>
    <row r="209" ht="18" customHeight="1" x14ac:dyDescent="0.4"/>
    <row r="210" ht="23.1" customHeight="1" x14ac:dyDescent="0.4"/>
    <row r="211" ht="18" customHeight="1" x14ac:dyDescent="0.4"/>
    <row r="212" ht="23.1" customHeight="1" x14ac:dyDescent="0.4"/>
    <row r="213" ht="18" customHeight="1" x14ac:dyDescent="0.4"/>
    <row r="214" ht="23.1" customHeight="1" x14ac:dyDescent="0.4"/>
    <row r="215" ht="18" customHeight="1" x14ac:dyDescent="0.4"/>
    <row r="216" ht="23.1" customHeight="1" x14ac:dyDescent="0.4"/>
    <row r="217" ht="18" customHeight="1" x14ac:dyDescent="0.4"/>
    <row r="218" ht="23.1" customHeight="1" x14ac:dyDescent="0.4"/>
    <row r="219" ht="18" customHeight="1" x14ac:dyDescent="0.4"/>
    <row r="220" ht="23.1" customHeight="1" x14ac:dyDescent="0.4"/>
    <row r="221" ht="18" customHeight="1" x14ac:dyDescent="0.4"/>
    <row r="222" ht="23.1" customHeight="1" x14ac:dyDescent="0.4"/>
    <row r="223" ht="18" customHeight="1" x14ac:dyDescent="0.4"/>
    <row r="224" ht="23.1" customHeight="1" x14ac:dyDescent="0.4"/>
    <row r="225" ht="18" customHeight="1" x14ac:dyDescent="0.4"/>
    <row r="226" ht="23.1" customHeight="1" x14ac:dyDescent="0.4"/>
    <row r="227" ht="18" customHeight="1" x14ac:dyDescent="0.4"/>
    <row r="228" ht="23.1" customHeight="1" x14ac:dyDescent="0.4"/>
    <row r="229" ht="18" customHeight="1" x14ac:dyDescent="0.4"/>
    <row r="230" ht="23.1" customHeight="1" x14ac:dyDescent="0.4"/>
    <row r="231" ht="18" customHeight="1" x14ac:dyDescent="0.4"/>
    <row r="232" ht="23.1" customHeight="1" x14ac:dyDescent="0.4"/>
    <row r="233" ht="18" customHeight="1" x14ac:dyDescent="0.4"/>
    <row r="234" ht="23.1" customHeight="1" x14ac:dyDescent="0.4"/>
    <row r="235" ht="18" customHeight="1" x14ac:dyDescent="0.4"/>
    <row r="236" ht="23.1" customHeight="1" x14ac:dyDescent="0.4"/>
    <row r="237" ht="18" customHeight="1" x14ac:dyDescent="0.4"/>
    <row r="238" ht="23.1" customHeight="1" x14ac:dyDescent="0.4"/>
    <row r="239" ht="18" customHeight="1" x14ac:dyDescent="0.4"/>
    <row r="240" ht="23.1" customHeight="1" x14ac:dyDescent="0.4"/>
    <row r="241" ht="18" customHeight="1" x14ac:dyDescent="0.4"/>
    <row r="242" ht="23.1" customHeight="1" x14ac:dyDescent="0.4"/>
    <row r="243" ht="18" customHeight="1" x14ac:dyDescent="0.4"/>
    <row r="244" ht="23.1" customHeight="1" x14ac:dyDescent="0.4"/>
    <row r="245" ht="18" customHeight="1" x14ac:dyDescent="0.4"/>
    <row r="246" ht="23.1" customHeight="1" x14ac:dyDescent="0.4"/>
    <row r="247" ht="18" customHeight="1" x14ac:dyDescent="0.4"/>
    <row r="248" ht="23.1" customHeight="1" x14ac:dyDescent="0.4"/>
    <row r="249" ht="18" customHeight="1" x14ac:dyDescent="0.4"/>
    <row r="250" ht="23.1" customHeight="1" x14ac:dyDescent="0.4"/>
    <row r="251" ht="18" customHeight="1" x14ac:dyDescent="0.4"/>
    <row r="252" ht="23.1" customHeight="1" x14ac:dyDescent="0.4"/>
    <row r="253" ht="18" customHeight="1" x14ac:dyDescent="0.4"/>
    <row r="254" ht="23.1" customHeight="1" x14ac:dyDescent="0.4"/>
    <row r="255" ht="18" customHeight="1" x14ac:dyDescent="0.4"/>
    <row r="256" ht="23.1" customHeight="1" x14ac:dyDescent="0.4"/>
    <row r="257" ht="18" customHeight="1" x14ac:dyDescent="0.4"/>
    <row r="258" ht="23.1" customHeight="1" x14ac:dyDescent="0.4"/>
    <row r="259" ht="18" customHeight="1" x14ac:dyDescent="0.4"/>
    <row r="260" ht="23.1" customHeight="1" x14ac:dyDescent="0.4"/>
    <row r="261" ht="18" customHeight="1" x14ac:dyDescent="0.4"/>
    <row r="262" ht="23.1" customHeight="1" x14ac:dyDescent="0.4"/>
    <row r="263" ht="18" customHeight="1" x14ac:dyDescent="0.4"/>
    <row r="264" ht="23.1" customHeight="1" x14ac:dyDescent="0.4"/>
    <row r="265" ht="18" customHeight="1" x14ac:dyDescent="0.4"/>
  </sheetData>
  <protectedRanges>
    <protectedRange sqref="AO151 AR151:BT151 AQ152:BT152 AP151 A2:E127 A128:D148" name="Intervallo1"/>
    <protectedRange sqref="H16:P18 BT16:BT22 H19:BS22 H2:BT15 V16:BS18 H37:P39 BT37:BT43 H40:BS43 H23:BT36 V37:BS39 H58:P60 BT58:BT64 H61:BS64 V58:BS60 H79:P81 BT79:BT85 H82:BS85 H65:BT78 V79:BS81 H100:P102 BT100:BT106 H103:BS106 H86:BT99 V100:BS102 H121:P123 H142:P144 BT142:BT148 H145:BS148 V142:BS144 H107:BT120 V121:BT123 H44:BT57 H124:H141 J124:BT141 I124:I131 I133:I141" name="Intervallo1_1_1_1"/>
    <protectedRange sqref="E128:E148" name="Intervallo1_1"/>
    <protectedRange sqref="AN152:AP152" name="Intervallo1_3"/>
  </protectedRanges>
  <dataConsolidate/>
  <mergeCells count="134">
    <mergeCell ref="BO149:BP149"/>
    <mergeCell ref="BQ149:BR149"/>
    <mergeCell ref="BS149:BT149"/>
    <mergeCell ref="AQ149:AT149"/>
    <mergeCell ref="AU149:AX149"/>
    <mergeCell ref="AY149:BA149"/>
    <mergeCell ref="BB149:BC149"/>
    <mergeCell ref="BD149:BE149"/>
    <mergeCell ref="BF149:BH149"/>
    <mergeCell ref="BI149:BJ149"/>
    <mergeCell ref="BK149:BL149"/>
    <mergeCell ref="BM149:BN149"/>
    <mergeCell ref="A149:E150"/>
    <mergeCell ref="F149:G150"/>
    <mergeCell ref="I149:L149"/>
    <mergeCell ref="M149:N149"/>
    <mergeCell ref="O149:P149"/>
    <mergeCell ref="Q149:R149"/>
    <mergeCell ref="S149:T149"/>
    <mergeCell ref="U149:W149"/>
    <mergeCell ref="X149:AA149"/>
    <mergeCell ref="G86:G106"/>
    <mergeCell ref="G107:G127"/>
    <mergeCell ref="G128:G148"/>
    <mergeCell ref="F2:F3"/>
    <mergeCell ref="AQ151:BT152"/>
    <mergeCell ref="AD151:AJ151"/>
    <mergeCell ref="AK151:AP151"/>
    <mergeCell ref="I151:O151"/>
    <mergeCell ref="P151:V151"/>
    <mergeCell ref="W151:AC151"/>
    <mergeCell ref="F14:F15"/>
    <mergeCell ref="F16:F17"/>
    <mergeCell ref="F18:F19"/>
    <mergeCell ref="F20:F21"/>
    <mergeCell ref="F35:F36"/>
    <mergeCell ref="F37:F38"/>
    <mergeCell ref="F39:F40"/>
    <mergeCell ref="F4:F5"/>
    <mergeCell ref="F6:F7"/>
    <mergeCell ref="F8:F9"/>
    <mergeCell ref="F10:F11"/>
    <mergeCell ref="F12:F13"/>
    <mergeCell ref="F65:F66"/>
    <mergeCell ref="F50:F51"/>
    <mergeCell ref="A1:E1"/>
    <mergeCell ref="E2:E22"/>
    <mergeCell ref="E23:E43"/>
    <mergeCell ref="E44:E64"/>
    <mergeCell ref="E65:E85"/>
    <mergeCell ref="F41:F42"/>
    <mergeCell ref="F44:F45"/>
    <mergeCell ref="F46:F47"/>
    <mergeCell ref="F1:G1"/>
    <mergeCell ref="G2:G22"/>
    <mergeCell ref="G23:G43"/>
    <mergeCell ref="G44:G64"/>
    <mergeCell ref="F58:F59"/>
    <mergeCell ref="F60:F61"/>
    <mergeCell ref="F62:F63"/>
    <mergeCell ref="F23:F24"/>
    <mergeCell ref="F25:F26"/>
    <mergeCell ref="F27:F28"/>
    <mergeCell ref="F29:F30"/>
    <mergeCell ref="F31:F32"/>
    <mergeCell ref="F33:F34"/>
    <mergeCell ref="G65:G85"/>
    <mergeCell ref="F67:F68"/>
    <mergeCell ref="F48:F49"/>
    <mergeCell ref="F52:F53"/>
    <mergeCell ref="F54:F55"/>
    <mergeCell ref="F56:F57"/>
    <mergeCell ref="F79:F80"/>
    <mergeCell ref="F81:F82"/>
    <mergeCell ref="F83:F84"/>
    <mergeCell ref="F86:F87"/>
    <mergeCell ref="F88:F89"/>
    <mergeCell ref="F69:F70"/>
    <mergeCell ref="F71:F72"/>
    <mergeCell ref="F73:F74"/>
    <mergeCell ref="F75:F76"/>
    <mergeCell ref="F77:F78"/>
    <mergeCell ref="F100:F101"/>
    <mergeCell ref="F102:F103"/>
    <mergeCell ref="F104:F105"/>
    <mergeCell ref="F107:F108"/>
    <mergeCell ref="F109:F110"/>
    <mergeCell ref="F90:F91"/>
    <mergeCell ref="F92:F93"/>
    <mergeCell ref="F94:F95"/>
    <mergeCell ref="F96:F97"/>
    <mergeCell ref="F98:F99"/>
    <mergeCell ref="A152:B152"/>
    <mergeCell ref="C152:E152"/>
    <mergeCell ref="A151:E151"/>
    <mergeCell ref="E86:E106"/>
    <mergeCell ref="E107:E127"/>
    <mergeCell ref="E128:E148"/>
    <mergeCell ref="G152:H152"/>
    <mergeCell ref="F121:F122"/>
    <mergeCell ref="F123:F124"/>
    <mergeCell ref="F125:F126"/>
    <mergeCell ref="F128:F129"/>
    <mergeCell ref="F130:F131"/>
    <mergeCell ref="F111:F112"/>
    <mergeCell ref="F113:F114"/>
    <mergeCell ref="F115:F116"/>
    <mergeCell ref="F117:F118"/>
    <mergeCell ref="F119:F120"/>
    <mergeCell ref="F142:F143"/>
    <mergeCell ref="F144:F145"/>
    <mergeCell ref="F146:F147"/>
    <mergeCell ref="F151:H151"/>
    <mergeCell ref="F132:F133"/>
    <mergeCell ref="F134:F135"/>
    <mergeCell ref="F136:F137"/>
    <mergeCell ref="F138:F139"/>
    <mergeCell ref="F140:F141"/>
    <mergeCell ref="AN152:AP152"/>
    <mergeCell ref="I152:K152"/>
    <mergeCell ref="P152:R152"/>
    <mergeCell ref="W152:Y152"/>
    <mergeCell ref="AD152:AF152"/>
    <mergeCell ref="AK152:AM152"/>
    <mergeCell ref="L152:O152"/>
    <mergeCell ref="S152:V152"/>
    <mergeCell ref="Z152:AC152"/>
    <mergeCell ref="AG152:AJ152"/>
    <mergeCell ref="AB149:AE149"/>
    <mergeCell ref="AF149:AG149"/>
    <mergeCell ref="AH149:AI149"/>
    <mergeCell ref="AJ149:AK149"/>
    <mergeCell ref="AL149:AM149"/>
    <mergeCell ref="AN149:AP149"/>
  </mergeCells>
  <phoneticPr fontId="6" type="noConversion"/>
  <conditionalFormatting sqref="H16:P18 H2:BT5 V16:BS16 BM17:BS20 H19:BL20 V17:BL18 H6:BS15 H21:BS22 BT6:BT22 H37:P39 H23:BT26 V37:BS37 BM38:BS41 H40:BL41 V38:BL39 H27:BS36 H42:BS43 BT27:BT43 H58:P60 V58:BS58 BM59:BS62 H61:BL62 V59:BL60 H48:BS57 H63:BS64 BT48:BT64 H79:P81 H65:BT68 V79:BS79 BM80:BS83 H82:BL83 V80:BL81 H69:BS78 H84:BS85 BT69:BT85 H100:P102 H86:BT89 V100:BS100 BM101:BS104 H103:BL104 V101:BL102 H90:BS99 H105:BS106 BT90:BT106 H121:P123 BM125:BS125 H124:BL125 V122:BL123 H126:BS127 H142:P144 V142:BS142 BM143:BS146 H145:BL146 V143:BL144 H147:BS148 BT132:BT148 BT125:BT127 V121:BT121 BM122:BT124 H107:BT120 H44:BT47 H133:BS141 H132 J132:BS132 H128:BT131">
    <cfRule type="cellIs" dxfId="77" priority="70" operator="equal">
      <formula>"F"</formula>
    </cfRule>
    <cfRule type="cellIs" dxfId="76" priority="71" operator="equal">
      <formula>"N"</formula>
    </cfRule>
    <cfRule type="cellIs" dxfId="75" priority="72" operator="equal">
      <formula>"I"</formula>
    </cfRule>
  </conditionalFormatting>
  <conditionalFormatting sqref="Q16:U18">
    <cfRule type="cellIs" dxfId="74" priority="25" operator="equal">
      <formula>"F"</formula>
    </cfRule>
    <cfRule type="cellIs" dxfId="73" priority="26" operator="equal">
      <formula>"N"</formula>
    </cfRule>
    <cfRule type="cellIs" dxfId="72" priority="27" operator="equal">
      <formula>"I"</formula>
    </cfRule>
  </conditionalFormatting>
  <conditionalFormatting sqref="A2:A22">
    <cfRule type="duplicateValues" dxfId="71" priority="3"/>
  </conditionalFormatting>
  <conditionalFormatting sqref="Q37:U39">
    <cfRule type="cellIs" dxfId="70" priority="22" operator="equal">
      <formula>"F"</formula>
    </cfRule>
    <cfRule type="cellIs" dxfId="69" priority="23" operator="equal">
      <formula>"N"</formula>
    </cfRule>
    <cfRule type="cellIs" dxfId="68" priority="24" operator="equal">
      <formula>"I"</formula>
    </cfRule>
  </conditionalFormatting>
  <conditionalFormatting sqref="Q58:U60">
    <cfRule type="cellIs" dxfId="67" priority="19" operator="equal">
      <formula>"F"</formula>
    </cfRule>
    <cfRule type="cellIs" dxfId="66" priority="20" operator="equal">
      <formula>"N"</formula>
    </cfRule>
    <cfRule type="cellIs" dxfId="65" priority="21" operator="equal">
      <formula>"I"</formula>
    </cfRule>
  </conditionalFormatting>
  <conditionalFormatting sqref="Q79:U81">
    <cfRule type="cellIs" dxfId="64" priority="16" operator="equal">
      <formula>"F"</formula>
    </cfRule>
    <cfRule type="cellIs" dxfId="63" priority="17" operator="equal">
      <formula>"N"</formula>
    </cfRule>
    <cfRule type="cellIs" dxfId="62" priority="18" operator="equal">
      <formula>"I"</formula>
    </cfRule>
  </conditionalFormatting>
  <conditionalFormatting sqref="Q100:U102">
    <cfRule type="cellIs" dxfId="61" priority="13" operator="equal">
      <formula>"F"</formula>
    </cfRule>
    <cfRule type="cellIs" dxfId="60" priority="14" operator="equal">
      <formula>"N"</formula>
    </cfRule>
    <cfRule type="cellIs" dxfId="59" priority="15" operator="equal">
      <formula>"I"</formula>
    </cfRule>
  </conditionalFormatting>
  <conditionalFormatting sqref="Q121:U123">
    <cfRule type="cellIs" dxfId="58" priority="10" operator="equal">
      <formula>"F"</formula>
    </cfRule>
    <cfRule type="cellIs" dxfId="57" priority="11" operator="equal">
      <formula>"N"</formula>
    </cfRule>
    <cfRule type="cellIs" dxfId="56" priority="12" operator="equal">
      <formula>"I"</formula>
    </cfRule>
  </conditionalFormatting>
  <conditionalFormatting sqref="Q142:U144">
    <cfRule type="cellIs" dxfId="55" priority="7" operator="equal">
      <formula>"F"</formula>
    </cfRule>
    <cfRule type="cellIs" dxfId="54" priority="8" operator="equal">
      <formula>"N"</formula>
    </cfRule>
    <cfRule type="cellIs" dxfId="53" priority="9" operator="equal">
      <formula>"I"</formula>
    </cfRule>
  </conditionalFormatting>
  <conditionalFormatting sqref="A23:A43">
    <cfRule type="duplicateValues" dxfId="52" priority="4"/>
  </conditionalFormatting>
  <conditionalFormatting sqref="A44:A64">
    <cfRule type="duplicateValues" dxfId="51" priority="5"/>
  </conditionalFormatting>
  <conditionalFormatting sqref="A65:A85">
    <cfRule type="duplicateValues" dxfId="50" priority="6"/>
  </conditionalFormatting>
  <conditionalFormatting sqref="A86:A106">
    <cfRule type="duplicateValues" dxfId="49" priority="4154"/>
  </conditionalFormatting>
  <conditionalFormatting sqref="A107:A127">
    <cfRule type="duplicateValues" dxfId="48" priority="1"/>
  </conditionalFormatting>
  <conditionalFormatting sqref="A128:A148">
    <cfRule type="duplicateValues" dxfId="47" priority="2"/>
  </conditionalFormatting>
  <printOptions horizontalCentered="1" verticalCentered="1" gridLines="1"/>
  <pageMargins left="0.19685039370078741" right="0.19685039370078741" top="0.15748031496062992" bottom="0.19685039370078741" header="0" footer="0.19685039370078741"/>
  <pageSetup paperSize="9" scale="14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0CC8BB-C1C8-43A7-AE66-F0A720E7BA02}">
          <x14:formula1>
            <xm:f>'TOT-M'!$B$12:$B$15</xm:f>
          </x14:formula1>
          <xm:sqref>A153:A167</xm:sqref>
        </x14:dataValidation>
        <x14:dataValidation type="list" allowBlank="1" showInputMessage="1" showErrorMessage="1" xr:uid="{84A9563D-6F0E-4DBB-B474-7E1078CFB257}">
          <x14:formula1>
            <xm:f>'TOT-M'!$B$4:$B$15</xm:f>
          </x14:formula1>
          <xm:sqref>A2:A148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6DEDF-76FC-417D-989A-20141989C05F}">
  <sheetPr codeName="TotaloneManager">
    <tabColor rgb="FFFF0000"/>
    <pageSetUpPr fitToPage="1"/>
  </sheetPr>
  <dimension ref="A1:BT76"/>
  <sheetViews>
    <sheetView zoomScale="55" zoomScaleNormal="55" workbookViewId="0">
      <pane ySplit="3" topLeftCell="A4" activePane="bottomLeft" state="frozen"/>
      <selection activeCell="A2" sqref="A2:E3"/>
      <selection pane="bottomLeft" activeCell="BD9" sqref="BD9"/>
    </sheetView>
  </sheetViews>
  <sheetFormatPr defaultRowHeight="15" x14ac:dyDescent="0.25"/>
  <cols>
    <col min="1" max="1" width="19" customWidth="1"/>
    <col min="2" max="2" width="23.85546875" customWidth="1"/>
    <col min="3" max="3" width="53.28515625" style="177" customWidth="1"/>
    <col min="4" max="17" width="15.7109375" customWidth="1"/>
    <col min="18" max="25" width="9.28515625" hidden="1" customWidth="1"/>
    <col min="26" max="26" width="24.140625" customWidth="1"/>
    <col min="27" max="27" width="23.7109375" bestFit="1" customWidth="1"/>
    <col min="28" max="28" width="21.28515625" bestFit="1" customWidth="1"/>
    <col min="29" max="29" width="27.7109375" bestFit="1" customWidth="1"/>
    <col min="30" max="30" width="32.7109375" customWidth="1"/>
    <col min="33" max="33" width="26.28515625" customWidth="1"/>
    <col min="34" max="34" width="55.28515625" customWidth="1"/>
    <col min="35" max="48" width="25" customWidth="1"/>
    <col min="53" max="53" width="53.28515625" customWidth="1"/>
    <col min="54" max="67" width="15.7109375" customWidth="1"/>
  </cols>
  <sheetData>
    <row r="1" spans="1:72" ht="28.5" customHeight="1" x14ac:dyDescent="0.25">
      <c r="A1" s="6" t="s">
        <v>213</v>
      </c>
      <c r="B1" s="6" t="s">
        <v>212</v>
      </c>
      <c r="C1" s="6" t="s">
        <v>216</v>
      </c>
      <c r="D1" s="499" t="s">
        <v>186</v>
      </c>
      <c r="E1" s="499"/>
      <c r="F1" s="499" t="s">
        <v>185</v>
      </c>
      <c r="G1" s="499"/>
      <c r="H1" s="499" t="s">
        <v>187</v>
      </c>
      <c r="I1" s="499"/>
      <c r="J1" s="499" t="s">
        <v>188</v>
      </c>
      <c r="K1" s="499"/>
      <c r="L1" s="499" t="s">
        <v>189</v>
      </c>
      <c r="M1" s="499"/>
      <c r="N1" s="499" t="s">
        <v>190</v>
      </c>
      <c r="O1" s="499"/>
      <c r="P1" s="499" t="s">
        <v>191</v>
      </c>
      <c r="Q1" s="499"/>
      <c r="R1" s="502" t="s">
        <v>206</v>
      </c>
      <c r="S1" s="502"/>
      <c r="T1" s="502"/>
      <c r="U1" s="502"/>
      <c r="V1" s="502"/>
      <c r="W1" s="502"/>
      <c r="X1" s="502"/>
      <c r="Y1" s="503"/>
      <c r="Z1" s="499" t="s">
        <v>210</v>
      </c>
      <c r="AA1" s="499" t="s">
        <v>208</v>
      </c>
      <c r="AB1" s="506" t="s">
        <v>207</v>
      </c>
      <c r="AC1" s="499" t="s">
        <v>209</v>
      </c>
      <c r="AD1" s="496" t="s">
        <v>253</v>
      </c>
      <c r="AE1" s="7"/>
      <c r="AF1" s="11"/>
      <c r="AG1" s="6" t="s">
        <v>211</v>
      </c>
      <c r="AH1" s="6" t="s">
        <v>216</v>
      </c>
      <c r="AI1" s="499" t="s">
        <v>186</v>
      </c>
      <c r="AJ1" s="499"/>
      <c r="AK1" s="499" t="s">
        <v>185</v>
      </c>
      <c r="AL1" s="499"/>
      <c r="AM1" s="499" t="s">
        <v>187</v>
      </c>
      <c r="AN1" s="499"/>
      <c r="AO1" s="499" t="s">
        <v>188</v>
      </c>
      <c r="AP1" s="499"/>
      <c r="AQ1" s="499" t="s">
        <v>189</v>
      </c>
      <c r="AR1" s="499"/>
      <c r="AS1" s="499" t="s">
        <v>190</v>
      </c>
      <c r="AT1" s="499"/>
      <c r="AU1" s="499" t="s">
        <v>191</v>
      </c>
      <c r="AV1" s="499"/>
      <c r="AW1" s="12"/>
      <c r="AX1" s="9"/>
      <c r="AY1" s="9"/>
      <c r="AZ1" s="9"/>
      <c r="BA1" s="6" t="s">
        <v>216</v>
      </c>
      <c r="BB1" s="499" t="s">
        <v>186</v>
      </c>
      <c r="BC1" s="499"/>
      <c r="BD1" s="499" t="s">
        <v>185</v>
      </c>
      <c r="BE1" s="499"/>
      <c r="BF1" s="499" t="s">
        <v>187</v>
      </c>
      <c r="BG1" s="499"/>
      <c r="BH1" s="499" t="s">
        <v>188</v>
      </c>
      <c r="BI1" s="499"/>
      <c r="BJ1" s="499" t="s">
        <v>189</v>
      </c>
      <c r="BK1" s="499"/>
      <c r="BL1" s="499" t="s">
        <v>190</v>
      </c>
      <c r="BM1" s="499"/>
      <c r="BN1" s="499" t="s">
        <v>191</v>
      </c>
      <c r="BO1" s="499"/>
      <c r="BP1" s="9"/>
      <c r="BQ1" s="9"/>
      <c r="BR1" s="9"/>
      <c r="BS1" s="9"/>
      <c r="BT1" s="9"/>
    </row>
    <row r="2" spans="1:72" ht="28.5" customHeight="1" thickBot="1" x14ac:dyDescent="0.3">
      <c r="A2" s="495">
        <v>123</v>
      </c>
      <c r="B2" s="495" t="s">
        <v>214</v>
      </c>
      <c r="C2" s="495" t="s">
        <v>215</v>
      </c>
      <c r="D2" s="497">
        <f>LUN!A1</f>
        <v>45887</v>
      </c>
      <c r="E2" s="498"/>
      <c r="F2" s="497">
        <f>D2+1</f>
        <v>45888</v>
      </c>
      <c r="G2" s="498"/>
      <c r="H2" s="497">
        <f t="shared" ref="H2" si="0">F2+1</f>
        <v>45889</v>
      </c>
      <c r="I2" s="498"/>
      <c r="J2" s="497">
        <f t="shared" ref="J2" si="1">H2+1</f>
        <v>45890</v>
      </c>
      <c r="K2" s="498"/>
      <c r="L2" s="497">
        <f t="shared" ref="L2" si="2">J2+1</f>
        <v>45891</v>
      </c>
      <c r="M2" s="498"/>
      <c r="N2" s="497">
        <f t="shared" ref="N2" si="3">L2+1</f>
        <v>45892</v>
      </c>
      <c r="O2" s="498"/>
      <c r="P2" s="497">
        <f t="shared" ref="P2" si="4">N2+1</f>
        <v>45893</v>
      </c>
      <c r="Q2" s="498"/>
      <c r="R2" s="504"/>
      <c r="S2" s="504"/>
      <c r="T2" s="504"/>
      <c r="U2" s="504"/>
      <c r="V2" s="504"/>
      <c r="W2" s="504"/>
      <c r="X2" s="504"/>
      <c r="Y2" s="505"/>
      <c r="Z2" s="501"/>
      <c r="AA2" s="501"/>
      <c r="AB2" s="507"/>
      <c r="AC2" s="501"/>
      <c r="AD2" s="500"/>
      <c r="AE2" s="9"/>
      <c r="AF2" s="12"/>
      <c r="AG2" s="495" t="s">
        <v>214</v>
      </c>
      <c r="AH2" s="495" t="s">
        <v>215</v>
      </c>
      <c r="AI2" s="523">
        <f>D2</f>
        <v>45887</v>
      </c>
      <c r="AJ2" s="523"/>
      <c r="AK2" s="523">
        <f>F2</f>
        <v>45888</v>
      </c>
      <c r="AL2" s="523"/>
      <c r="AM2" s="523">
        <f>H2</f>
        <v>45889</v>
      </c>
      <c r="AN2" s="523"/>
      <c r="AO2" s="523">
        <f>J2</f>
        <v>45890</v>
      </c>
      <c r="AP2" s="523"/>
      <c r="AQ2" s="523">
        <f>L2</f>
        <v>45891</v>
      </c>
      <c r="AR2" s="523"/>
      <c r="AS2" s="523">
        <f>N2</f>
        <v>45892</v>
      </c>
      <c r="AT2" s="523"/>
      <c r="AU2" s="523">
        <f>P2</f>
        <v>45893</v>
      </c>
      <c r="AV2" s="523"/>
      <c r="AW2" s="12"/>
      <c r="AX2" s="9"/>
      <c r="AY2" s="9"/>
      <c r="AZ2" s="9"/>
      <c r="BA2" s="495" t="s">
        <v>215</v>
      </c>
      <c r="BB2" s="497">
        <f>D2</f>
        <v>45887</v>
      </c>
      <c r="BC2" s="498"/>
      <c r="BD2" s="497">
        <f>BB2+1</f>
        <v>45888</v>
      </c>
      <c r="BE2" s="498"/>
      <c r="BF2" s="497">
        <f>BD2+1</f>
        <v>45889</v>
      </c>
      <c r="BG2" s="498"/>
      <c r="BH2" s="497">
        <f>BF2+1</f>
        <v>45890</v>
      </c>
      <c r="BI2" s="498"/>
      <c r="BJ2" s="497">
        <f>BH2+1</f>
        <v>45891</v>
      </c>
      <c r="BK2" s="498"/>
      <c r="BL2" s="497">
        <f>BJ2+1</f>
        <v>45892</v>
      </c>
      <c r="BM2" s="498"/>
      <c r="BN2" s="497">
        <f>BL2+1</f>
        <v>45893</v>
      </c>
      <c r="BO2" s="498"/>
      <c r="BP2" s="9"/>
      <c r="BQ2" s="9"/>
      <c r="BR2" s="9"/>
      <c r="BS2" s="9"/>
      <c r="BT2" s="9"/>
    </row>
    <row r="3" spans="1:72" ht="28.5" x14ac:dyDescent="0.25">
      <c r="A3" s="496"/>
      <c r="B3" s="496"/>
      <c r="C3" s="496"/>
      <c r="D3" s="163" t="s">
        <v>192</v>
      </c>
      <c r="E3" s="164" t="s">
        <v>193</v>
      </c>
      <c r="F3" s="163" t="s">
        <v>192</v>
      </c>
      <c r="G3" s="164" t="s">
        <v>193</v>
      </c>
      <c r="H3" s="163" t="s">
        <v>192</v>
      </c>
      <c r="I3" s="164" t="s">
        <v>193</v>
      </c>
      <c r="J3" s="163" t="s">
        <v>192</v>
      </c>
      <c r="K3" s="164" t="s">
        <v>193</v>
      </c>
      <c r="L3" s="163" t="s">
        <v>192</v>
      </c>
      <c r="M3" s="164" t="s">
        <v>193</v>
      </c>
      <c r="N3" s="163" t="s">
        <v>192</v>
      </c>
      <c r="O3" s="164" t="s">
        <v>193</v>
      </c>
      <c r="P3" s="163" t="s">
        <v>192</v>
      </c>
      <c r="Q3" s="164" t="s">
        <v>193</v>
      </c>
      <c r="R3" s="165" t="s">
        <v>198</v>
      </c>
      <c r="S3" s="165" t="s">
        <v>199</v>
      </c>
      <c r="T3" s="165" t="s">
        <v>200</v>
      </c>
      <c r="U3" s="165" t="s">
        <v>201</v>
      </c>
      <c r="V3" s="165" t="s">
        <v>202</v>
      </c>
      <c r="W3" s="165" t="s">
        <v>203</v>
      </c>
      <c r="X3" s="165" t="s">
        <v>204</v>
      </c>
      <c r="Y3" s="166" t="s">
        <v>205</v>
      </c>
      <c r="Z3" s="501"/>
      <c r="AA3" s="501"/>
      <c r="AB3" s="508"/>
      <c r="AC3" s="501"/>
      <c r="AD3" s="500"/>
      <c r="AE3" s="9"/>
      <c r="AF3" s="12"/>
      <c r="AG3" s="496"/>
      <c r="AH3" s="496"/>
      <c r="AI3" s="524"/>
      <c r="AJ3" s="524"/>
      <c r="AK3" s="524"/>
      <c r="AL3" s="524"/>
      <c r="AM3" s="524"/>
      <c r="AN3" s="524"/>
      <c r="AO3" s="524"/>
      <c r="AP3" s="524"/>
      <c r="AQ3" s="524"/>
      <c r="AR3" s="524"/>
      <c r="AS3" s="524"/>
      <c r="AT3" s="524"/>
      <c r="AU3" s="524"/>
      <c r="AV3" s="524"/>
      <c r="AW3" s="12"/>
      <c r="AX3" s="9"/>
      <c r="AY3" s="9"/>
      <c r="AZ3" s="9"/>
      <c r="BA3" s="496"/>
      <c r="BB3" s="163" t="s">
        <v>192</v>
      </c>
      <c r="BC3" s="164" t="s">
        <v>193</v>
      </c>
      <c r="BD3" s="163" t="s">
        <v>192</v>
      </c>
      <c r="BE3" s="164" t="s">
        <v>193</v>
      </c>
      <c r="BF3" s="163" t="s">
        <v>192</v>
      </c>
      <c r="BG3" s="164" t="s">
        <v>193</v>
      </c>
      <c r="BH3" s="163" t="s">
        <v>192</v>
      </c>
      <c r="BI3" s="164" t="s">
        <v>193</v>
      </c>
      <c r="BJ3" s="163" t="s">
        <v>192</v>
      </c>
      <c r="BK3" s="164" t="s">
        <v>193</v>
      </c>
      <c r="BL3" s="163" t="s">
        <v>192</v>
      </c>
      <c r="BM3" s="164" t="s">
        <v>193</v>
      </c>
      <c r="BN3" s="163" t="s">
        <v>192</v>
      </c>
      <c r="BO3" s="164" t="s">
        <v>193</v>
      </c>
      <c r="BP3" s="9"/>
      <c r="BQ3" s="9"/>
      <c r="BR3" s="9"/>
      <c r="BS3" s="9"/>
      <c r="BT3" s="9"/>
    </row>
    <row r="4" spans="1:72" ht="40.15" customHeight="1" x14ac:dyDescent="0.25">
      <c r="A4" s="222">
        <v>1</v>
      </c>
      <c r="B4" s="235" t="s">
        <v>322</v>
      </c>
      <c r="C4" s="235" t="s">
        <v>322</v>
      </c>
      <c r="D4" s="617" t="s">
        <v>264</v>
      </c>
      <c r="E4" s="618"/>
      <c r="F4" s="617" t="s">
        <v>264</v>
      </c>
      <c r="G4" s="618"/>
      <c r="H4" s="617" t="s">
        <v>264</v>
      </c>
      <c r="I4" s="618"/>
      <c r="J4" s="617" t="s">
        <v>264</v>
      </c>
      <c r="K4" s="618"/>
      <c r="L4" s="617" t="s">
        <v>264</v>
      </c>
      <c r="M4" s="618"/>
      <c r="N4" s="617" t="s">
        <v>264</v>
      </c>
      <c r="O4" s="618"/>
      <c r="P4" s="617" t="s">
        <v>264</v>
      </c>
      <c r="Q4" s="618"/>
      <c r="R4" s="218">
        <f t="shared" ref="R4:R11" si="5">IFERROR(IF(D4="OFF","OFF",E4-D4+IF(D4&gt;E4,1)),0)</f>
        <v>0</v>
      </c>
      <c r="S4" s="218">
        <f t="shared" ref="S4:S11" si="6">IFERROR(IF(F4="OFF","OFF",G4-F4+IF(F4&gt;G4,1)),0)</f>
        <v>0</v>
      </c>
      <c r="T4" s="218">
        <f t="shared" ref="T4:T11" si="7">IFERROR(IF(H4="OFF","OFF",I4-H4+IF(H4&gt;I4,1)),0)</f>
        <v>0</v>
      </c>
      <c r="U4" s="218">
        <f t="shared" ref="U4:U11" si="8">IFERROR(IF(J4="OFF","OFF",K4-J4+IF(J4&gt;K4,1)),0)</f>
        <v>0</v>
      </c>
      <c r="V4" s="218">
        <f t="shared" ref="V4:V11" si="9">IFERROR(IF(L4="OFF","OFF",M4-L4+IF(L4&gt;M4,1)),0)</f>
        <v>0</v>
      </c>
      <c r="W4" s="218">
        <f t="shared" ref="W4:W11" si="10">IFERROR(IF(N4="OFF","OFF",O4-N4+IF(N4&gt;O4,1)),0)</f>
        <v>0</v>
      </c>
      <c r="X4" s="218">
        <f t="shared" ref="X4:X11" si="11">IFERROR(IF(P4="OFF","OFF",Q4-P4+IF(P4&gt;Q4,1)),0)</f>
        <v>0</v>
      </c>
      <c r="Y4" s="237">
        <f t="shared" ref="Y4:Y11" si="12">SUM(R4:X4)*24</f>
        <v>0</v>
      </c>
      <c r="Z4" s="235" t="s">
        <v>322</v>
      </c>
      <c r="AA4" s="235">
        <v>40</v>
      </c>
      <c r="AB4" s="221">
        <f t="shared" ref="AB4:AB11" si="13">Y4-AA4</f>
        <v>-40</v>
      </c>
      <c r="AC4" s="235">
        <f t="shared" ref="AC4:AC11" si="14">AA4+AB4</f>
        <v>0</v>
      </c>
      <c r="AD4" s="236">
        <f t="shared" ref="AD4:AD11" si="15">AC4/AA4-1</f>
        <v>-1</v>
      </c>
      <c r="AE4" s="8"/>
      <c r="AF4" s="17"/>
      <c r="AG4" s="236" t="s">
        <v>322</v>
      </c>
      <c r="AH4" s="236" t="s">
        <v>322</v>
      </c>
      <c r="AI4" s="615"/>
      <c r="AJ4" s="616"/>
      <c r="AK4" s="615"/>
      <c r="AL4" s="616"/>
      <c r="AM4" s="615"/>
      <c r="AN4" s="616"/>
      <c r="AO4" s="615"/>
      <c r="AP4" s="616"/>
      <c r="AQ4" s="615"/>
      <c r="AR4" s="616"/>
      <c r="AS4" s="615"/>
      <c r="AT4" s="616"/>
      <c r="AU4" s="615"/>
      <c r="AV4" s="616"/>
      <c r="AW4" s="12"/>
      <c r="AX4" s="9"/>
      <c r="AY4" s="9"/>
      <c r="AZ4" s="9"/>
      <c r="BA4" s="235" t="s">
        <v>322</v>
      </c>
      <c r="BB4" s="238"/>
      <c r="BC4" s="239"/>
      <c r="BD4" s="238"/>
      <c r="BE4" s="239"/>
      <c r="BF4" s="238"/>
      <c r="BG4" s="239"/>
      <c r="BH4" s="238"/>
      <c r="BI4" s="239"/>
      <c r="BJ4" s="238"/>
      <c r="BK4" s="239"/>
      <c r="BL4" s="238"/>
      <c r="BM4" s="239"/>
      <c r="BN4" s="238"/>
      <c r="BO4" s="239"/>
      <c r="BP4" s="9"/>
      <c r="BQ4" s="9"/>
      <c r="BR4" s="9"/>
      <c r="BS4" s="9"/>
      <c r="BT4" s="9"/>
    </row>
    <row r="5" spans="1:72" ht="40.15" customHeight="1" x14ac:dyDescent="0.25">
      <c r="A5" s="222">
        <v>2</v>
      </c>
      <c r="B5" s="235" t="s">
        <v>323</v>
      </c>
      <c r="C5" s="235" t="s">
        <v>323</v>
      </c>
      <c r="D5" s="210" t="str">
        <f>IFERROR(VLOOKUP($B5,MANAGER!$A$2:$D$22,3,0),"OFF")</f>
        <v>OFF</v>
      </c>
      <c r="E5" s="211" t="str">
        <f>IFERROR(VLOOKUP($B5,MANAGER!$A$2:$D$22,4,0),"OFF")</f>
        <v>OFF</v>
      </c>
      <c r="F5" s="210" t="str">
        <f>IFERROR(VLOOKUP($B5,MANAGER!$A$23:$D$43,3,0),"OFF")</f>
        <v>OFF</v>
      </c>
      <c r="G5" s="211" t="str">
        <f>IFERROR(VLOOKUP($B5,MANAGER!$A$23:$D$43,4,0),"OFF")</f>
        <v>OFF</v>
      </c>
      <c r="H5" s="210" t="str">
        <f>IFERROR(VLOOKUP($B5,MANAGER!$A$44:$D$64,3,0),"OFF")</f>
        <v>OFF</v>
      </c>
      <c r="I5" s="211" t="str">
        <f>IFERROR(VLOOKUP($B5,MANAGER!$A$44:$D$64,4,0),"OFF")</f>
        <v>OFF</v>
      </c>
      <c r="J5" s="210" t="str">
        <f>IFERROR(VLOOKUP($B5,MANAGER!$A$65:$D$85,3,0),"OFF")</f>
        <v>OFF</v>
      </c>
      <c r="K5" s="211" t="str">
        <f>IFERROR(VLOOKUP($B5,MANAGER!$A$65:$D$85,4,0),"OFF")</f>
        <v>OFF</v>
      </c>
      <c r="L5" s="210" t="str">
        <f>IFERROR(VLOOKUP($B5,MANAGER!$A$86:$D$106,3,0),"OFF")</f>
        <v>OFF</v>
      </c>
      <c r="M5" s="211" t="str">
        <f>IFERROR(VLOOKUP($B5,MANAGER!$A$86:$D$106,4,0),"OFF")</f>
        <v>OFF</v>
      </c>
      <c r="N5" s="210" t="str">
        <f>IFERROR(VLOOKUP($B5,MANAGER!$A$107:$D$127,3,0),"OFF")</f>
        <v>OFF</v>
      </c>
      <c r="O5" s="211" t="str">
        <f>IFERROR(VLOOKUP($B5,MANAGER!$A$107:$D$127,4,0),"OFF")</f>
        <v>OFF</v>
      </c>
      <c r="P5" s="210" t="str">
        <f>IFERROR(VLOOKUP($B5,MANAGER!$A$128:$D$148,3,0),"OFF")</f>
        <v>OFF</v>
      </c>
      <c r="Q5" s="211" t="str">
        <f>IFERROR(VLOOKUP($B5,MANAGER!$A$128:$D$148,4,0),"OFF")</f>
        <v>OFF</v>
      </c>
      <c r="R5" s="218" t="str">
        <f t="shared" si="5"/>
        <v>OFF</v>
      </c>
      <c r="S5" s="218" t="str">
        <f t="shared" si="6"/>
        <v>OFF</v>
      </c>
      <c r="T5" s="218" t="str">
        <f t="shared" si="7"/>
        <v>OFF</v>
      </c>
      <c r="U5" s="218" t="str">
        <f t="shared" si="8"/>
        <v>OFF</v>
      </c>
      <c r="V5" s="218" t="str">
        <f t="shared" si="9"/>
        <v>OFF</v>
      </c>
      <c r="W5" s="218" t="str">
        <f t="shared" si="10"/>
        <v>OFF</v>
      </c>
      <c r="X5" s="218" t="str">
        <f t="shared" si="11"/>
        <v>OFF</v>
      </c>
      <c r="Y5" s="237">
        <f t="shared" si="12"/>
        <v>0</v>
      </c>
      <c r="Z5" s="235" t="s">
        <v>323</v>
      </c>
      <c r="AA5" s="235">
        <v>36</v>
      </c>
      <c r="AB5" s="221">
        <f t="shared" si="13"/>
        <v>-36</v>
      </c>
      <c r="AC5" s="235">
        <f t="shared" si="14"/>
        <v>0</v>
      </c>
      <c r="AD5" s="236">
        <f t="shared" si="15"/>
        <v>-1</v>
      </c>
      <c r="AE5" s="8"/>
      <c r="AF5" s="17"/>
      <c r="AG5" s="236" t="s">
        <v>323</v>
      </c>
      <c r="AH5" s="236" t="s">
        <v>323</v>
      </c>
      <c r="AI5" s="615"/>
      <c r="AJ5" s="616"/>
      <c r="AK5" s="615"/>
      <c r="AL5" s="616"/>
      <c r="AM5" s="615"/>
      <c r="AN5" s="616"/>
      <c r="AO5" s="615"/>
      <c r="AP5" s="616"/>
      <c r="AQ5" s="615"/>
      <c r="AR5" s="616"/>
      <c r="AS5" s="615"/>
      <c r="AT5" s="616"/>
      <c r="AU5" s="615"/>
      <c r="AV5" s="616"/>
      <c r="AW5" s="12"/>
      <c r="AX5" s="9"/>
      <c r="AY5" s="9"/>
      <c r="AZ5" s="9"/>
      <c r="BA5" s="235" t="s">
        <v>323</v>
      </c>
      <c r="BB5" s="238"/>
      <c r="BC5" s="239"/>
      <c r="BD5" s="238"/>
      <c r="BE5" s="239"/>
      <c r="BF5" s="238"/>
      <c r="BG5" s="239"/>
      <c r="BH5" s="238"/>
      <c r="BI5" s="239"/>
      <c r="BJ5" s="238"/>
      <c r="BK5" s="239"/>
      <c r="BL5" s="238"/>
      <c r="BM5" s="239"/>
      <c r="BN5" s="238"/>
      <c r="BO5" s="239"/>
      <c r="BP5" s="9"/>
      <c r="BQ5" s="9"/>
      <c r="BR5" s="9"/>
      <c r="BS5" s="9"/>
      <c r="BT5" s="9"/>
    </row>
    <row r="6" spans="1:72" ht="40.15" customHeight="1" x14ac:dyDescent="0.25">
      <c r="A6" s="222">
        <v>3</v>
      </c>
      <c r="B6" s="235" t="s">
        <v>324</v>
      </c>
      <c r="C6" s="235" t="s">
        <v>324</v>
      </c>
      <c r="D6" s="210" t="str">
        <f>IFERROR(VLOOKUP($B6,MANAGER!$A$2:$D$22,3,0),"OFF")</f>
        <v>OFF</v>
      </c>
      <c r="E6" s="211" t="str">
        <f>IFERROR(VLOOKUP($B6,MANAGER!$A$2:$D$22,4,0),"OFF")</f>
        <v>OFF</v>
      </c>
      <c r="F6" s="210" t="str">
        <f>IFERROR(VLOOKUP($B6,MANAGER!$A$23:$D$43,3,0),"OFF")</f>
        <v>OFF</v>
      </c>
      <c r="G6" s="211" t="str">
        <f>IFERROR(VLOOKUP($B6,MANAGER!$A$23:$D$43,4,0),"OFF")</f>
        <v>OFF</v>
      </c>
      <c r="H6" s="210" t="str">
        <f>IFERROR(VLOOKUP($B6,MANAGER!$A$44:$D$64,3,0),"OFF")</f>
        <v>OFF</v>
      </c>
      <c r="I6" s="211" t="str">
        <f>IFERROR(VLOOKUP($B6,MANAGER!$A$44:$D$64,4,0),"OFF")</f>
        <v>OFF</v>
      </c>
      <c r="J6" s="210" t="str">
        <f>IFERROR(VLOOKUP($B6,MANAGER!$A$65:$D$85,3,0),"OFF")</f>
        <v>OFF</v>
      </c>
      <c r="K6" s="211" t="str">
        <f>IFERROR(VLOOKUP($B6,MANAGER!$A$65:$D$85,4,0),"OFF")</f>
        <v>OFF</v>
      </c>
      <c r="L6" s="210" t="str">
        <f>IFERROR(VLOOKUP($B6,MANAGER!$A$86:$D$106,3,0),"OFF")</f>
        <v>OFF</v>
      </c>
      <c r="M6" s="211" t="str">
        <f>IFERROR(VLOOKUP($B6,MANAGER!$A$86:$D$106,4,0),"OFF")</f>
        <v>OFF</v>
      </c>
      <c r="N6" s="210" t="str">
        <f>IFERROR(VLOOKUP($B6,MANAGER!$A$107:$D$127,3,0),"OFF")</f>
        <v>OFF</v>
      </c>
      <c r="O6" s="211" t="str">
        <f>IFERROR(VLOOKUP($B6,MANAGER!$A$107:$D$127,4,0),"OFF")</f>
        <v>OFF</v>
      </c>
      <c r="P6" s="210" t="str">
        <f>IFERROR(VLOOKUP($B6,MANAGER!$A$128:$D$148,3,0),"OFF")</f>
        <v>OFF</v>
      </c>
      <c r="Q6" s="211" t="str">
        <f>IFERROR(VLOOKUP($B6,MANAGER!$A$128:$D$148,4,0),"OFF")</f>
        <v>OFF</v>
      </c>
      <c r="R6" s="218" t="str">
        <f t="shared" si="5"/>
        <v>OFF</v>
      </c>
      <c r="S6" s="218" t="str">
        <f t="shared" si="6"/>
        <v>OFF</v>
      </c>
      <c r="T6" s="218" t="str">
        <f t="shared" si="7"/>
        <v>OFF</v>
      </c>
      <c r="U6" s="218" t="str">
        <f t="shared" si="8"/>
        <v>OFF</v>
      </c>
      <c r="V6" s="218" t="str">
        <f t="shared" si="9"/>
        <v>OFF</v>
      </c>
      <c r="W6" s="218" t="str">
        <f t="shared" si="10"/>
        <v>OFF</v>
      </c>
      <c r="X6" s="218" t="str">
        <f t="shared" si="11"/>
        <v>OFF</v>
      </c>
      <c r="Y6" s="237">
        <f t="shared" si="12"/>
        <v>0</v>
      </c>
      <c r="Z6" s="235" t="s">
        <v>324</v>
      </c>
      <c r="AA6" s="235">
        <v>36</v>
      </c>
      <c r="AB6" s="221">
        <f t="shared" si="13"/>
        <v>-36</v>
      </c>
      <c r="AC6" s="235">
        <f t="shared" si="14"/>
        <v>0</v>
      </c>
      <c r="AD6" s="236">
        <f t="shared" si="15"/>
        <v>-1</v>
      </c>
      <c r="AE6" s="8"/>
      <c r="AF6" s="17"/>
      <c r="AG6" s="236" t="s">
        <v>324</v>
      </c>
      <c r="AH6" s="236" t="s">
        <v>324</v>
      </c>
      <c r="AI6" s="615"/>
      <c r="AJ6" s="616"/>
      <c r="AK6" s="615"/>
      <c r="AL6" s="616"/>
      <c r="AM6" s="615"/>
      <c r="AN6" s="616"/>
      <c r="AO6" s="615"/>
      <c r="AP6" s="616"/>
      <c r="AQ6" s="615"/>
      <c r="AR6" s="616"/>
      <c r="AS6" s="615"/>
      <c r="AT6" s="616"/>
      <c r="AU6" s="615"/>
      <c r="AV6" s="616"/>
      <c r="AW6" s="12"/>
      <c r="AX6" s="9"/>
      <c r="AY6" s="9"/>
      <c r="AZ6" s="9"/>
      <c r="BA6" s="235" t="s">
        <v>324</v>
      </c>
      <c r="BB6" s="238"/>
      <c r="BC6" s="239"/>
      <c r="BD6" s="238"/>
      <c r="BE6" s="239"/>
      <c r="BF6" s="238"/>
      <c r="BG6" s="239"/>
      <c r="BH6" s="238"/>
      <c r="BI6" s="239"/>
      <c r="BJ6" s="238"/>
      <c r="BK6" s="239"/>
      <c r="BL6" s="238"/>
      <c r="BM6" s="239"/>
      <c r="BN6" s="238"/>
      <c r="BO6" s="239"/>
      <c r="BP6" s="9"/>
      <c r="BQ6" s="9"/>
      <c r="BR6" s="9"/>
      <c r="BS6" s="9"/>
      <c r="BT6" s="9"/>
    </row>
    <row r="7" spans="1:72" ht="40.15" customHeight="1" x14ac:dyDescent="0.25">
      <c r="A7" s="222">
        <v>4</v>
      </c>
      <c r="B7" s="235" t="s">
        <v>325</v>
      </c>
      <c r="C7" s="235" t="s">
        <v>325</v>
      </c>
      <c r="D7" s="210" t="str">
        <f>IFERROR(VLOOKUP($B7,MANAGER!$A$2:$D$22,3,0),"OFF")</f>
        <v>OFF</v>
      </c>
      <c r="E7" s="211" t="str">
        <f>IFERROR(VLOOKUP($B7,MANAGER!$A$2:$D$22,4,0),"OFF")</f>
        <v>OFF</v>
      </c>
      <c r="F7" s="210" t="str">
        <f>IFERROR(VLOOKUP($B7,MANAGER!$A$23:$D$43,3,0),"OFF")</f>
        <v>OFF</v>
      </c>
      <c r="G7" s="211" t="str">
        <f>IFERROR(VLOOKUP($B7,MANAGER!$A$23:$D$43,4,0),"OFF")</f>
        <v>OFF</v>
      </c>
      <c r="H7" s="210" t="str">
        <f>IFERROR(VLOOKUP($B7,MANAGER!$A$44:$D$64,3,0),"OFF")</f>
        <v>OFF</v>
      </c>
      <c r="I7" s="211" t="str">
        <f>IFERROR(VLOOKUP($B7,MANAGER!$A$44:$D$64,4,0),"OFF")</f>
        <v>OFF</v>
      </c>
      <c r="J7" s="210" t="str">
        <f>IFERROR(VLOOKUP($B7,MANAGER!$A$65:$D$85,3,0),"OFF")</f>
        <v>OFF</v>
      </c>
      <c r="K7" s="211" t="str">
        <f>IFERROR(VLOOKUP($B7,MANAGER!$A$65:$D$85,4,0),"OFF")</f>
        <v>OFF</v>
      </c>
      <c r="L7" s="210" t="str">
        <f>IFERROR(VLOOKUP($B7,MANAGER!$A$86:$D$106,3,0),"OFF")</f>
        <v>OFF</v>
      </c>
      <c r="M7" s="211" t="str">
        <f>IFERROR(VLOOKUP($B7,MANAGER!$A$86:$D$106,4,0),"OFF")</f>
        <v>OFF</v>
      </c>
      <c r="N7" s="210" t="str">
        <f>IFERROR(VLOOKUP($B7,MANAGER!$A$107:$D$127,3,0),"OFF")</f>
        <v>OFF</v>
      </c>
      <c r="O7" s="211" t="str">
        <f>IFERROR(VLOOKUP($B7,MANAGER!$A$107:$D$127,4,0),"OFF")</f>
        <v>OFF</v>
      </c>
      <c r="P7" s="210" t="str">
        <f>IFERROR(VLOOKUP($B7,MANAGER!$A$128:$D$148,3,0),"OFF")</f>
        <v>OFF</v>
      </c>
      <c r="Q7" s="211" t="str">
        <f>IFERROR(VLOOKUP($B7,MANAGER!$A$128:$D$148,4,0),"OFF")</f>
        <v>OFF</v>
      </c>
      <c r="R7" s="218" t="str">
        <f t="shared" si="5"/>
        <v>OFF</v>
      </c>
      <c r="S7" s="218" t="str">
        <f t="shared" si="6"/>
        <v>OFF</v>
      </c>
      <c r="T7" s="218" t="str">
        <f t="shared" si="7"/>
        <v>OFF</v>
      </c>
      <c r="U7" s="218" t="str">
        <f t="shared" si="8"/>
        <v>OFF</v>
      </c>
      <c r="V7" s="218" t="str">
        <f t="shared" si="9"/>
        <v>OFF</v>
      </c>
      <c r="W7" s="218" t="str">
        <f t="shared" si="10"/>
        <v>OFF</v>
      </c>
      <c r="X7" s="218" t="str">
        <f t="shared" si="11"/>
        <v>OFF</v>
      </c>
      <c r="Y7" s="237">
        <f t="shared" si="12"/>
        <v>0</v>
      </c>
      <c r="Z7" s="235" t="s">
        <v>325</v>
      </c>
      <c r="AA7" s="235">
        <v>36</v>
      </c>
      <c r="AB7" s="221">
        <f t="shared" si="13"/>
        <v>-36</v>
      </c>
      <c r="AC7" s="235">
        <f t="shared" si="14"/>
        <v>0</v>
      </c>
      <c r="AD7" s="236">
        <f t="shared" si="15"/>
        <v>-1</v>
      </c>
      <c r="AE7" s="8"/>
      <c r="AF7" s="17"/>
      <c r="AG7" s="236" t="s">
        <v>325</v>
      </c>
      <c r="AH7" s="236" t="s">
        <v>325</v>
      </c>
      <c r="AI7" s="615"/>
      <c r="AJ7" s="616"/>
      <c r="AK7" s="615"/>
      <c r="AL7" s="616"/>
      <c r="AM7" s="615"/>
      <c r="AN7" s="616"/>
      <c r="AO7" s="615"/>
      <c r="AP7" s="616"/>
      <c r="AQ7" s="615"/>
      <c r="AR7" s="616"/>
      <c r="AS7" s="615"/>
      <c r="AT7" s="616"/>
      <c r="AU7" s="615"/>
      <c r="AV7" s="616"/>
      <c r="AW7" s="12"/>
      <c r="AX7" s="9"/>
      <c r="AY7" s="9"/>
      <c r="AZ7" s="9"/>
      <c r="BA7" s="235" t="s">
        <v>325</v>
      </c>
      <c r="BB7" s="238"/>
      <c r="BC7" s="239"/>
      <c r="BD7" s="238"/>
      <c r="BE7" s="239"/>
      <c r="BF7" s="238"/>
      <c r="BG7" s="239"/>
      <c r="BH7" s="238"/>
      <c r="BI7" s="239"/>
      <c r="BJ7" s="238"/>
      <c r="BK7" s="239"/>
      <c r="BL7" s="238"/>
      <c r="BM7" s="239"/>
      <c r="BN7" s="238"/>
      <c r="BO7" s="239"/>
      <c r="BP7" s="9"/>
      <c r="BQ7" s="9"/>
      <c r="BR7" s="9"/>
      <c r="BS7" s="9"/>
      <c r="BT7" s="9"/>
    </row>
    <row r="8" spans="1:72" ht="40.15" customHeight="1" x14ac:dyDescent="0.25">
      <c r="A8" s="222">
        <v>5</v>
      </c>
      <c r="B8" s="235" t="s">
        <v>326</v>
      </c>
      <c r="C8" s="235" t="s">
        <v>326</v>
      </c>
      <c r="D8" s="617" t="s">
        <v>264</v>
      </c>
      <c r="E8" s="618"/>
      <c r="F8" s="617" t="s">
        <v>264</v>
      </c>
      <c r="G8" s="618"/>
      <c r="H8" s="617" t="s">
        <v>264</v>
      </c>
      <c r="I8" s="618"/>
      <c r="J8" s="617" t="s">
        <v>264</v>
      </c>
      <c r="K8" s="618"/>
      <c r="L8" s="617" t="s">
        <v>264</v>
      </c>
      <c r="M8" s="618"/>
      <c r="N8" s="617" t="s">
        <v>264</v>
      </c>
      <c r="O8" s="618"/>
      <c r="P8" s="617" t="s">
        <v>264</v>
      </c>
      <c r="Q8" s="618"/>
      <c r="R8" s="218">
        <f t="shared" si="5"/>
        <v>0</v>
      </c>
      <c r="S8" s="218">
        <f t="shared" si="6"/>
        <v>0</v>
      </c>
      <c r="T8" s="218">
        <f t="shared" si="7"/>
        <v>0</v>
      </c>
      <c r="U8" s="218">
        <f t="shared" si="8"/>
        <v>0</v>
      </c>
      <c r="V8" s="218">
        <f t="shared" si="9"/>
        <v>0</v>
      </c>
      <c r="W8" s="218">
        <f t="shared" si="10"/>
        <v>0</v>
      </c>
      <c r="X8" s="218">
        <f t="shared" si="11"/>
        <v>0</v>
      </c>
      <c r="Y8" s="237">
        <f t="shared" si="12"/>
        <v>0</v>
      </c>
      <c r="Z8" s="235" t="s">
        <v>326</v>
      </c>
      <c r="AA8" s="235">
        <v>36</v>
      </c>
      <c r="AB8" s="221">
        <f t="shared" si="13"/>
        <v>-36</v>
      </c>
      <c r="AC8" s="235">
        <f t="shared" si="14"/>
        <v>0</v>
      </c>
      <c r="AD8" s="236">
        <f t="shared" si="15"/>
        <v>-1</v>
      </c>
      <c r="AE8" s="8"/>
      <c r="AF8" s="17"/>
      <c r="AG8" s="236" t="s">
        <v>326</v>
      </c>
      <c r="AH8" s="236" t="s">
        <v>326</v>
      </c>
      <c r="AI8" s="615"/>
      <c r="AJ8" s="616"/>
      <c r="AK8" s="615"/>
      <c r="AL8" s="616"/>
      <c r="AM8" s="615"/>
      <c r="AN8" s="616"/>
      <c r="AO8" s="615"/>
      <c r="AP8" s="616"/>
      <c r="AQ8" s="615"/>
      <c r="AR8" s="616"/>
      <c r="AS8" s="615"/>
      <c r="AT8" s="616"/>
      <c r="AU8" s="615"/>
      <c r="AV8" s="616"/>
      <c r="AW8" s="12"/>
      <c r="AX8" s="9"/>
      <c r="AY8" s="9"/>
      <c r="AZ8" s="9"/>
      <c r="BA8" s="235" t="s">
        <v>326</v>
      </c>
      <c r="BB8" s="238"/>
      <c r="BC8" s="239"/>
      <c r="BD8" s="238"/>
      <c r="BE8" s="239"/>
      <c r="BF8" s="238"/>
      <c r="BG8" s="239"/>
      <c r="BH8" s="238"/>
      <c r="BI8" s="239"/>
      <c r="BJ8" s="238"/>
      <c r="BK8" s="239"/>
      <c r="BL8" s="238"/>
      <c r="BM8" s="239"/>
      <c r="BN8" s="238"/>
      <c r="BO8" s="239"/>
      <c r="BP8" s="9"/>
      <c r="BQ8" s="9"/>
      <c r="BR8" s="9"/>
      <c r="BS8" s="9"/>
      <c r="BT8" s="9"/>
    </row>
    <row r="9" spans="1:72" ht="40.15" customHeight="1" x14ac:dyDescent="0.25">
      <c r="A9" s="222">
        <v>6</v>
      </c>
      <c r="B9" s="235" t="s">
        <v>327</v>
      </c>
      <c r="C9" s="235" t="s">
        <v>327</v>
      </c>
      <c r="D9" s="210" t="str">
        <f>IFERROR(VLOOKUP($B9,MANAGER!$A$2:$D$22,3,0),"OFF")</f>
        <v>OFF</v>
      </c>
      <c r="E9" s="211" t="str">
        <f>IFERROR(VLOOKUP($B9,MANAGER!$A$2:$D$22,4,0),"OFF")</f>
        <v>OFF</v>
      </c>
      <c r="F9" s="210" t="str">
        <f>IFERROR(VLOOKUP($B9,MANAGER!$A$23:$D$43,3,0),"OFF")</f>
        <v>OFF</v>
      </c>
      <c r="G9" s="211" t="str">
        <f>IFERROR(VLOOKUP($B9,MANAGER!$A$23:$D$43,4,0),"OFF")</f>
        <v>OFF</v>
      </c>
      <c r="H9" s="210" t="str">
        <f>IFERROR(VLOOKUP($B9,MANAGER!$A$44:$D$64,3,0),"OFF")</f>
        <v>OFF</v>
      </c>
      <c r="I9" s="211" t="str">
        <f>IFERROR(VLOOKUP($B9,MANAGER!$A$44:$D$64,4,0),"OFF")</f>
        <v>OFF</v>
      </c>
      <c r="J9" s="210" t="str">
        <f>IFERROR(VLOOKUP($B9,MANAGER!$A$65:$D$85,3,0),"OFF")</f>
        <v>OFF</v>
      </c>
      <c r="K9" s="211" t="str">
        <f>IFERROR(VLOOKUP($B9,MANAGER!$A$65:$D$85,4,0),"OFF")</f>
        <v>OFF</v>
      </c>
      <c r="L9" s="210" t="str">
        <f>IFERROR(VLOOKUP($B9,MANAGER!$A$86:$D$106,3,0),"OFF")</f>
        <v>OFF</v>
      </c>
      <c r="M9" s="211" t="str">
        <f>IFERROR(VLOOKUP($B9,MANAGER!$A$86:$D$106,4,0),"OFF")</f>
        <v>OFF</v>
      </c>
      <c r="N9" s="210" t="str">
        <f>IFERROR(VLOOKUP($B9,MANAGER!$A$107:$D$127,3,0),"OFF")</f>
        <v>OFF</v>
      </c>
      <c r="O9" s="211" t="str">
        <f>IFERROR(VLOOKUP($B9,MANAGER!$A$107:$D$127,4,0),"OFF")</f>
        <v>OFF</v>
      </c>
      <c r="P9" s="210" t="str">
        <f>IFERROR(VLOOKUP($B9,MANAGER!$A$128:$D$148,3,0),"OFF")</f>
        <v>OFF</v>
      </c>
      <c r="Q9" s="211" t="str">
        <f>IFERROR(VLOOKUP($B9,MANAGER!$A$128:$D$148,4,0),"OFF")</f>
        <v>OFF</v>
      </c>
      <c r="R9" s="218" t="str">
        <f t="shared" si="5"/>
        <v>OFF</v>
      </c>
      <c r="S9" s="218" t="str">
        <f t="shared" si="6"/>
        <v>OFF</v>
      </c>
      <c r="T9" s="218" t="str">
        <f t="shared" si="7"/>
        <v>OFF</v>
      </c>
      <c r="U9" s="218" t="str">
        <f t="shared" si="8"/>
        <v>OFF</v>
      </c>
      <c r="V9" s="218" t="str">
        <f t="shared" si="9"/>
        <v>OFF</v>
      </c>
      <c r="W9" s="218" t="str">
        <f t="shared" si="10"/>
        <v>OFF</v>
      </c>
      <c r="X9" s="218" t="str">
        <f t="shared" si="11"/>
        <v>OFF</v>
      </c>
      <c r="Y9" s="237">
        <f t="shared" si="12"/>
        <v>0</v>
      </c>
      <c r="Z9" s="235" t="s">
        <v>327</v>
      </c>
      <c r="AA9" s="235">
        <v>30</v>
      </c>
      <c r="AB9" s="221">
        <f t="shared" si="13"/>
        <v>-30</v>
      </c>
      <c r="AC9" s="235">
        <f t="shared" si="14"/>
        <v>0</v>
      </c>
      <c r="AD9" s="236">
        <f t="shared" si="15"/>
        <v>-1</v>
      </c>
      <c r="AE9" s="8"/>
      <c r="AF9" s="17"/>
      <c r="AG9" s="236" t="s">
        <v>327</v>
      </c>
      <c r="AH9" s="236" t="s">
        <v>327</v>
      </c>
      <c r="AI9" s="615"/>
      <c r="AJ9" s="616"/>
      <c r="AK9" s="615"/>
      <c r="AL9" s="616"/>
      <c r="AM9" s="615"/>
      <c r="AN9" s="616"/>
      <c r="AO9" s="615"/>
      <c r="AP9" s="616"/>
      <c r="AQ9" s="615"/>
      <c r="AR9" s="616"/>
      <c r="AS9" s="615"/>
      <c r="AT9" s="616"/>
      <c r="AU9" s="615"/>
      <c r="AV9" s="616"/>
      <c r="AW9" s="12"/>
      <c r="AX9" s="9"/>
      <c r="AY9" s="9"/>
      <c r="AZ9" s="9"/>
      <c r="BA9" s="235" t="s">
        <v>327</v>
      </c>
      <c r="BB9" s="238"/>
      <c r="BC9" s="239"/>
      <c r="BD9" s="238"/>
      <c r="BE9" s="239"/>
      <c r="BF9" s="238"/>
      <c r="BG9" s="239"/>
      <c r="BH9" s="238"/>
      <c r="BI9" s="239"/>
      <c r="BJ9" s="238"/>
      <c r="BK9" s="239"/>
      <c r="BL9" s="238"/>
      <c r="BM9" s="239"/>
      <c r="BN9" s="238"/>
      <c r="BO9" s="239"/>
      <c r="BP9" s="9"/>
      <c r="BQ9" s="9"/>
      <c r="BR9" s="9"/>
      <c r="BS9" s="9"/>
      <c r="BT9" s="9"/>
    </row>
    <row r="10" spans="1:72" ht="40.15" customHeight="1" x14ac:dyDescent="0.25">
      <c r="A10" s="222">
        <v>7</v>
      </c>
      <c r="B10" s="235" t="s">
        <v>328</v>
      </c>
      <c r="C10" s="235" t="s">
        <v>328</v>
      </c>
      <c r="D10" s="210" t="str">
        <f>IFERROR(VLOOKUP($B10,MANAGER!$A$2:$D$22,3,0),"OFF")</f>
        <v>OFF</v>
      </c>
      <c r="E10" s="211" t="str">
        <f>IFERROR(VLOOKUP($B10,MANAGER!$A$2:$D$22,4,0),"OFF")</f>
        <v>OFF</v>
      </c>
      <c r="F10" s="210" t="str">
        <f>IFERROR(VLOOKUP($B10,MANAGER!$A$23:$D$43,3,0),"OFF")</f>
        <v>OFF</v>
      </c>
      <c r="G10" s="211" t="str">
        <f>IFERROR(VLOOKUP($B10,MANAGER!$A$23:$D$43,4,0),"OFF")</f>
        <v>OFF</v>
      </c>
      <c r="H10" s="210" t="str">
        <f>IFERROR(VLOOKUP($B10,MANAGER!$A$44:$D$64,3,0),"OFF")</f>
        <v>OFF</v>
      </c>
      <c r="I10" s="211" t="str">
        <f>IFERROR(VLOOKUP($B10,MANAGER!$A$44:$D$64,4,0),"OFF")</f>
        <v>OFF</v>
      </c>
      <c r="J10" s="210" t="str">
        <f>IFERROR(VLOOKUP($B10,MANAGER!$A$65:$D$85,3,0),"OFF")</f>
        <v>OFF</v>
      </c>
      <c r="K10" s="211" t="str">
        <f>IFERROR(VLOOKUP($B10,MANAGER!$A$65:$D$85,4,0),"OFF")</f>
        <v>OFF</v>
      </c>
      <c r="L10" s="210" t="str">
        <f>IFERROR(VLOOKUP($B10,MANAGER!$A$86:$D$106,3,0),"OFF")</f>
        <v>OFF</v>
      </c>
      <c r="M10" s="211" t="str">
        <f>IFERROR(VLOOKUP($B10,MANAGER!$A$86:$D$106,4,0),"OFF")</f>
        <v>OFF</v>
      </c>
      <c r="N10" s="210" t="str">
        <f>IFERROR(VLOOKUP($B10,MANAGER!$A$107:$D$127,3,0),"OFF")</f>
        <v>OFF</v>
      </c>
      <c r="O10" s="211" t="str">
        <f>IFERROR(VLOOKUP($B10,MANAGER!$A$107:$D$127,4,0),"OFF")</f>
        <v>OFF</v>
      </c>
      <c r="P10" s="210" t="str">
        <f>IFERROR(VLOOKUP($B10,MANAGER!$A$128:$D$148,3,0),"OFF")</f>
        <v>OFF</v>
      </c>
      <c r="Q10" s="211" t="str">
        <f>IFERROR(VLOOKUP($B10,MANAGER!$A$128:$D$148,4,0),"OFF")</f>
        <v>OFF</v>
      </c>
      <c r="R10" s="218" t="str">
        <f t="shared" si="5"/>
        <v>OFF</v>
      </c>
      <c r="S10" s="218" t="str">
        <f t="shared" si="6"/>
        <v>OFF</v>
      </c>
      <c r="T10" s="218" t="str">
        <f t="shared" si="7"/>
        <v>OFF</v>
      </c>
      <c r="U10" s="218" t="str">
        <f t="shared" si="8"/>
        <v>OFF</v>
      </c>
      <c r="V10" s="218" t="str">
        <f t="shared" si="9"/>
        <v>OFF</v>
      </c>
      <c r="W10" s="218" t="str">
        <f t="shared" si="10"/>
        <v>OFF</v>
      </c>
      <c r="X10" s="218" t="str">
        <f t="shared" si="11"/>
        <v>OFF</v>
      </c>
      <c r="Y10" s="237">
        <f t="shared" si="12"/>
        <v>0</v>
      </c>
      <c r="Z10" s="235" t="s">
        <v>328</v>
      </c>
      <c r="AA10" s="235">
        <v>36</v>
      </c>
      <c r="AB10" s="221">
        <f t="shared" si="13"/>
        <v>-36</v>
      </c>
      <c r="AC10" s="235">
        <f t="shared" si="14"/>
        <v>0</v>
      </c>
      <c r="AD10" s="236">
        <f t="shared" si="15"/>
        <v>-1</v>
      </c>
      <c r="AE10" s="8"/>
      <c r="AF10" s="17"/>
      <c r="AG10" s="236" t="s">
        <v>328</v>
      </c>
      <c r="AH10" s="236" t="s">
        <v>328</v>
      </c>
      <c r="AI10" s="615"/>
      <c r="AJ10" s="616"/>
      <c r="AK10" s="615"/>
      <c r="AL10" s="616"/>
      <c r="AM10" s="615"/>
      <c r="AN10" s="616"/>
      <c r="AO10" s="615"/>
      <c r="AP10" s="616"/>
      <c r="AQ10" s="615"/>
      <c r="AR10" s="616"/>
      <c r="AS10" s="615"/>
      <c r="AT10" s="616"/>
      <c r="AU10" s="615"/>
      <c r="AV10" s="616"/>
      <c r="AW10" s="12"/>
      <c r="AX10" s="9"/>
      <c r="AY10" s="9"/>
      <c r="AZ10" s="9"/>
      <c r="BA10" s="235" t="s">
        <v>328</v>
      </c>
      <c r="BB10" s="238"/>
      <c r="BC10" s="239"/>
      <c r="BD10" s="238"/>
      <c r="BE10" s="239"/>
      <c r="BF10" s="238"/>
      <c r="BG10" s="239"/>
      <c r="BH10" s="238"/>
      <c r="BI10" s="239"/>
      <c r="BJ10" s="238"/>
      <c r="BK10" s="239"/>
      <c r="BL10" s="238"/>
      <c r="BM10" s="239"/>
      <c r="BN10" s="238"/>
      <c r="BO10" s="239"/>
      <c r="BP10" s="9"/>
      <c r="BQ10" s="9"/>
      <c r="BR10" s="9"/>
      <c r="BS10" s="9"/>
      <c r="BT10" s="9"/>
    </row>
    <row r="11" spans="1:72" ht="40.15" customHeight="1" thickBot="1" x14ac:dyDescent="0.3">
      <c r="A11" s="222">
        <v>8</v>
      </c>
      <c r="B11" s="235" t="s">
        <v>329</v>
      </c>
      <c r="C11" s="235" t="s">
        <v>329</v>
      </c>
      <c r="D11" s="210" t="str">
        <f>IFERROR(VLOOKUP($B11,MANAGER!$A$2:$D$22,3,0),"OFF")</f>
        <v>OFF</v>
      </c>
      <c r="E11" s="211" t="str">
        <f>IFERROR(VLOOKUP($B11,MANAGER!$A$2:$D$22,4,0),"OFF")</f>
        <v>OFF</v>
      </c>
      <c r="F11" s="210" t="str">
        <f>IFERROR(VLOOKUP($B11,MANAGER!$A$23:$D$43,3,0),"OFF")</f>
        <v>OFF</v>
      </c>
      <c r="G11" s="211" t="str">
        <f>IFERROR(VLOOKUP($B11,MANAGER!$A$23:$D$43,4,0),"OFF")</f>
        <v>OFF</v>
      </c>
      <c r="H11" s="210" t="str">
        <f>IFERROR(VLOOKUP($B11,MANAGER!$A$44:$D$64,3,0),"OFF")</f>
        <v>OFF</v>
      </c>
      <c r="I11" s="211" t="str">
        <f>IFERROR(VLOOKUP($B11,MANAGER!$A$44:$D$64,4,0),"OFF")</f>
        <v>OFF</v>
      </c>
      <c r="J11" s="210" t="str">
        <f>IFERROR(VLOOKUP($B11,MANAGER!$A$65:$D$85,3,0),"OFF")</f>
        <v>OFF</v>
      </c>
      <c r="K11" s="211" t="str">
        <f>IFERROR(VLOOKUP($B11,MANAGER!$A$65:$D$85,4,0),"OFF")</f>
        <v>OFF</v>
      </c>
      <c r="L11" s="210" t="str">
        <f>IFERROR(VLOOKUP($B11,MANAGER!$A$86:$D$106,3,0),"OFF")</f>
        <v>OFF</v>
      </c>
      <c r="M11" s="211" t="str">
        <f>IFERROR(VLOOKUP($B11,MANAGER!$A$86:$D$106,4,0),"OFF")</f>
        <v>OFF</v>
      </c>
      <c r="N11" s="210" t="str">
        <f>IFERROR(VLOOKUP($B11,MANAGER!$A$107:$D$127,3,0),"OFF")</f>
        <v>OFF</v>
      </c>
      <c r="O11" s="211" t="str">
        <f>IFERROR(VLOOKUP($B11,MANAGER!$A$107:$D$127,4,0),"OFF")</f>
        <v>OFF</v>
      </c>
      <c r="P11" s="210" t="str">
        <f>IFERROR(VLOOKUP($B11,MANAGER!$A$128:$D$148,3,0),"OFF")</f>
        <v>OFF</v>
      </c>
      <c r="Q11" s="211" t="str">
        <f>IFERROR(VLOOKUP($B11,MANAGER!$A$128:$D$148,4,0),"OFF")</f>
        <v>OFF</v>
      </c>
      <c r="R11" s="218" t="str">
        <f t="shared" si="5"/>
        <v>OFF</v>
      </c>
      <c r="S11" s="218" t="str">
        <f t="shared" si="6"/>
        <v>OFF</v>
      </c>
      <c r="T11" s="218" t="str">
        <f t="shared" si="7"/>
        <v>OFF</v>
      </c>
      <c r="U11" s="218" t="str">
        <f t="shared" si="8"/>
        <v>OFF</v>
      </c>
      <c r="V11" s="218" t="str">
        <f t="shared" si="9"/>
        <v>OFF</v>
      </c>
      <c r="W11" s="218" t="str">
        <f t="shared" si="10"/>
        <v>OFF</v>
      </c>
      <c r="X11" s="218" t="str">
        <f t="shared" si="11"/>
        <v>OFF</v>
      </c>
      <c r="Y11" s="237">
        <f t="shared" si="12"/>
        <v>0</v>
      </c>
      <c r="Z11" s="235" t="s">
        <v>329</v>
      </c>
      <c r="AA11" s="235">
        <v>36</v>
      </c>
      <c r="AB11" s="221">
        <f t="shared" si="13"/>
        <v>-36</v>
      </c>
      <c r="AC11" s="235">
        <f t="shared" si="14"/>
        <v>0</v>
      </c>
      <c r="AD11" s="236">
        <f t="shared" si="15"/>
        <v>-1</v>
      </c>
      <c r="AE11" s="8"/>
      <c r="AF11" s="17"/>
      <c r="AG11" s="236" t="s">
        <v>329</v>
      </c>
      <c r="AH11" s="236" t="s">
        <v>329</v>
      </c>
      <c r="AI11" s="615"/>
      <c r="AJ11" s="616"/>
      <c r="AK11" s="615"/>
      <c r="AL11" s="616"/>
      <c r="AM11" s="615"/>
      <c r="AN11" s="616"/>
      <c r="AO11" s="615"/>
      <c r="AP11" s="616"/>
      <c r="AQ11" s="615"/>
      <c r="AR11" s="616"/>
      <c r="AS11" s="615"/>
      <c r="AT11" s="616"/>
      <c r="AU11" s="615"/>
      <c r="AV11" s="616"/>
      <c r="AW11" s="12"/>
      <c r="AX11" s="9"/>
      <c r="AY11" s="9"/>
      <c r="AZ11" s="9"/>
      <c r="BA11" s="235" t="s">
        <v>329</v>
      </c>
      <c r="BB11" s="238"/>
      <c r="BC11" s="239"/>
      <c r="BD11" s="238"/>
      <c r="BE11" s="239"/>
      <c r="BF11" s="238"/>
      <c r="BG11" s="239"/>
      <c r="BH11" s="238"/>
      <c r="BI11" s="239"/>
      <c r="BJ11" s="238"/>
      <c r="BK11" s="239"/>
      <c r="BL11" s="238"/>
      <c r="BM11" s="239"/>
      <c r="BN11" s="238"/>
      <c r="BO11" s="239"/>
      <c r="BP11" s="9"/>
      <c r="BQ11" s="9"/>
      <c r="BR11" s="9"/>
      <c r="BS11" s="9"/>
      <c r="BT11" s="9"/>
    </row>
    <row r="12" spans="1:72" ht="25.15" customHeight="1" x14ac:dyDescent="0.35">
      <c r="A12" s="15"/>
      <c r="B12" s="16"/>
      <c r="C12" s="509">
        <f>TOT!C12</f>
        <v>0</v>
      </c>
      <c r="D12" s="510"/>
      <c r="E12" s="510"/>
      <c r="F12" s="510"/>
      <c r="G12" s="510"/>
      <c r="H12" s="510"/>
      <c r="I12" s="510"/>
      <c r="J12" s="510"/>
      <c r="K12" s="510"/>
      <c r="L12" s="510"/>
      <c r="M12" s="510"/>
      <c r="N12" s="510"/>
      <c r="O12" s="510"/>
      <c r="P12" s="510"/>
      <c r="Q12" s="511"/>
      <c r="R12" s="13"/>
      <c r="S12" s="15"/>
      <c r="T12" s="15"/>
      <c r="U12" s="15"/>
      <c r="V12" s="15"/>
      <c r="W12" s="15"/>
      <c r="X12" s="15"/>
      <c r="Y12" s="22"/>
      <c r="Z12" s="611" t="s">
        <v>254</v>
      </c>
      <c r="AA12" s="612"/>
      <c r="AB12" s="162">
        <f>SUM(AB4:AB11)</f>
        <v>-286</v>
      </c>
      <c r="AC12" s="267"/>
      <c r="AD12" s="223"/>
      <c r="AE12" s="9"/>
      <c r="AF12" s="12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2"/>
      <c r="AX12" s="9"/>
      <c r="AY12" s="9"/>
      <c r="AZ12" s="9"/>
      <c r="BA12" s="509">
        <f>C12</f>
        <v>0</v>
      </c>
      <c r="BB12" s="510"/>
      <c r="BC12" s="510"/>
      <c r="BD12" s="510"/>
      <c r="BE12" s="510"/>
      <c r="BF12" s="510"/>
      <c r="BG12" s="510"/>
      <c r="BH12" s="510"/>
      <c r="BI12" s="510"/>
      <c r="BJ12" s="510"/>
      <c r="BK12" s="510"/>
      <c r="BL12" s="510"/>
      <c r="BM12" s="510"/>
      <c r="BN12" s="510"/>
      <c r="BO12" s="511"/>
      <c r="BP12" s="9"/>
      <c r="BQ12" s="9"/>
      <c r="BR12" s="9"/>
      <c r="BS12" s="9"/>
      <c r="BT12" s="9"/>
    </row>
    <row r="13" spans="1:72" ht="21" customHeight="1" thickBot="1" x14ac:dyDescent="0.3">
      <c r="A13" s="9"/>
      <c r="B13" s="17"/>
      <c r="C13" s="512"/>
      <c r="D13" s="513"/>
      <c r="E13" s="513"/>
      <c r="F13" s="513"/>
      <c r="G13" s="513"/>
      <c r="H13" s="513"/>
      <c r="I13" s="513"/>
      <c r="J13" s="513"/>
      <c r="K13" s="513"/>
      <c r="L13" s="513"/>
      <c r="M13" s="513"/>
      <c r="N13" s="513"/>
      <c r="O13" s="513"/>
      <c r="P13" s="513"/>
      <c r="Q13" s="514"/>
      <c r="R13" s="14"/>
      <c r="S13" s="9"/>
      <c r="T13" s="9"/>
      <c r="U13" s="9"/>
      <c r="V13" s="9"/>
      <c r="W13" s="9"/>
      <c r="X13" s="9"/>
      <c r="Y13" s="12"/>
      <c r="Z13" s="613" t="s">
        <v>255</v>
      </c>
      <c r="AA13" s="614"/>
      <c r="AB13" s="27">
        <f>SUM(AA4:AA11)</f>
        <v>286</v>
      </c>
      <c r="AC13" s="9"/>
      <c r="AD13" s="9"/>
      <c r="AE13" s="9"/>
      <c r="AF13" s="12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12"/>
      <c r="AX13" s="9"/>
      <c r="AY13" s="9"/>
      <c r="AZ13" s="9"/>
      <c r="BA13" s="512"/>
      <c r="BB13" s="513"/>
      <c r="BC13" s="513"/>
      <c r="BD13" s="513"/>
      <c r="BE13" s="513"/>
      <c r="BF13" s="513"/>
      <c r="BG13" s="513"/>
      <c r="BH13" s="513"/>
      <c r="BI13" s="513"/>
      <c r="BJ13" s="513"/>
      <c r="BK13" s="513"/>
      <c r="BL13" s="513"/>
      <c r="BM13" s="513"/>
      <c r="BN13" s="513"/>
      <c r="BO13" s="514"/>
      <c r="BP13" s="9"/>
      <c r="BQ13" s="9"/>
      <c r="BR13" s="9"/>
      <c r="BS13" s="9"/>
      <c r="BT13" s="9"/>
    </row>
    <row r="14" spans="1:72" ht="21.75" customHeight="1" thickBot="1" x14ac:dyDescent="0.3">
      <c r="A14" s="9"/>
      <c r="B14" s="17"/>
      <c r="C14" s="515"/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7"/>
      <c r="R14" s="14"/>
      <c r="S14" s="9"/>
      <c r="T14" s="9"/>
      <c r="U14" s="9"/>
      <c r="V14" s="9"/>
      <c r="W14" s="9"/>
      <c r="X14" s="9"/>
      <c r="Y14" s="12"/>
      <c r="Z14" s="9"/>
      <c r="AA14" s="9"/>
      <c r="AB14" s="7"/>
      <c r="AC14" s="9"/>
      <c r="AD14" s="9"/>
      <c r="AE14" s="9"/>
      <c r="AF14" s="12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12"/>
      <c r="AX14" s="9"/>
      <c r="AY14" s="9"/>
      <c r="AZ14" s="9"/>
      <c r="BA14" s="515"/>
      <c r="BB14" s="516"/>
      <c r="BC14" s="516"/>
      <c r="BD14" s="516"/>
      <c r="BE14" s="516"/>
      <c r="BF14" s="516"/>
      <c r="BG14" s="516"/>
      <c r="BH14" s="516"/>
      <c r="BI14" s="516"/>
      <c r="BJ14" s="516"/>
      <c r="BK14" s="516"/>
      <c r="BL14" s="516"/>
      <c r="BM14" s="516"/>
      <c r="BN14" s="516"/>
      <c r="BO14" s="517"/>
      <c r="BP14" s="9"/>
      <c r="BQ14" s="9"/>
      <c r="BR14" s="9"/>
      <c r="BS14" s="9"/>
      <c r="BT14" s="9"/>
    </row>
    <row r="15" spans="1:72" x14ac:dyDescent="0.25">
      <c r="A15" s="7"/>
      <c r="B15" s="7"/>
      <c r="C15" s="174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14"/>
      <c r="S15" s="9"/>
      <c r="T15" s="9"/>
      <c r="U15" s="9"/>
      <c r="V15" s="9"/>
      <c r="W15" s="9"/>
      <c r="X15" s="9"/>
      <c r="Y15" s="12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12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</row>
    <row r="16" spans="1:72" x14ac:dyDescent="0.25">
      <c r="A16" s="10"/>
      <c r="B16" s="10"/>
      <c r="C16" s="175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S16" s="7"/>
      <c r="T16" s="7"/>
      <c r="U16" s="7"/>
      <c r="V16" s="7"/>
      <c r="W16" s="7"/>
      <c r="X16" s="7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12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</row>
    <row r="17" spans="1:72" x14ac:dyDescent="0.25">
      <c r="A17" s="9"/>
      <c r="B17" s="9"/>
      <c r="C17" s="176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12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</row>
    <row r="18" spans="1:72" x14ac:dyDescent="0.25">
      <c r="A18" s="9"/>
      <c r="B18" s="9"/>
      <c r="C18" s="176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12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</row>
    <row r="19" spans="1:72" x14ac:dyDescent="0.25">
      <c r="A19" s="9"/>
      <c r="B19" s="9"/>
      <c r="C19" s="176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12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</row>
    <row r="20" spans="1:72" x14ac:dyDescent="0.25">
      <c r="A20" s="9"/>
      <c r="B20" s="9"/>
      <c r="C20" s="176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12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</row>
    <row r="21" spans="1:72" x14ac:dyDescent="0.25">
      <c r="A21" s="9"/>
      <c r="B21" s="9"/>
      <c r="C21" s="176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12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</row>
    <row r="22" spans="1:72" x14ac:dyDescent="0.25">
      <c r="A22" s="9"/>
      <c r="B22" s="9"/>
      <c r="C22" s="176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12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</row>
    <row r="23" spans="1:72" ht="51" customHeight="1" x14ac:dyDescent="0.25">
      <c r="A23" s="9"/>
      <c r="B23" s="9"/>
      <c r="C23" s="176"/>
      <c r="D23" s="12"/>
      <c r="E23" s="525" t="s">
        <v>279</v>
      </c>
      <c r="F23" s="525"/>
      <c r="G23" s="525"/>
      <c r="H23" s="525"/>
      <c r="I23" s="525"/>
      <c r="J23" s="525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12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</row>
    <row r="24" spans="1:72" x14ac:dyDescent="0.25">
      <c r="A24" s="9"/>
      <c r="B24" s="9"/>
      <c r="C24" s="176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12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</row>
    <row r="25" spans="1:72" x14ac:dyDescent="0.25">
      <c r="A25" s="9"/>
      <c r="B25" s="9"/>
      <c r="C25" s="176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12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</row>
    <row r="26" spans="1:72" x14ac:dyDescent="0.25">
      <c r="A26" s="9"/>
      <c r="B26" s="9"/>
      <c r="C26" s="176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12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</row>
    <row r="27" spans="1:72" ht="49.5" customHeight="1" x14ac:dyDescent="0.25">
      <c r="A27" s="9"/>
      <c r="B27" s="9"/>
      <c r="C27" s="176"/>
      <c r="D27" s="12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12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</row>
    <row r="28" spans="1:72" x14ac:dyDescent="0.25">
      <c r="A28" s="9"/>
      <c r="B28" s="9"/>
      <c r="C28" s="176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12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</row>
    <row r="29" spans="1:72" x14ac:dyDescent="0.25">
      <c r="A29" s="9"/>
      <c r="B29" s="9"/>
      <c r="C29" s="176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12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</row>
    <row r="30" spans="1:72" x14ac:dyDescent="0.25">
      <c r="A30" s="9"/>
      <c r="B30" s="9"/>
      <c r="C30" s="176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12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</row>
    <row r="31" spans="1:72" ht="43.5" customHeight="1" x14ac:dyDescent="0.25">
      <c r="A31" s="9"/>
      <c r="B31" s="9"/>
      <c r="C31" s="176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</row>
    <row r="32" spans="1:72" x14ac:dyDescent="0.25">
      <c r="A32" s="9"/>
      <c r="B32" s="9"/>
      <c r="C32" s="176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</row>
    <row r="33" spans="1:72" x14ac:dyDescent="0.25">
      <c r="A33" s="9"/>
      <c r="B33" s="9"/>
      <c r="C33" s="176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</row>
    <row r="34" spans="1:72" x14ac:dyDescent="0.25">
      <c r="A34" s="9"/>
      <c r="B34" s="9"/>
      <c r="C34" s="176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</row>
    <row r="35" spans="1:72" ht="32.25" customHeight="1" x14ac:dyDescent="0.25">
      <c r="A35" s="9"/>
      <c r="B35" s="9"/>
      <c r="C35" s="176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</row>
    <row r="36" spans="1:72" x14ac:dyDescent="0.25">
      <c r="A36" s="9"/>
      <c r="B36" s="9"/>
      <c r="C36" s="176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</row>
    <row r="37" spans="1:72" x14ac:dyDescent="0.25">
      <c r="A37" s="9"/>
      <c r="B37" s="9"/>
      <c r="C37" s="176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</row>
    <row r="38" spans="1:72" x14ac:dyDescent="0.25">
      <c r="A38" s="9"/>
      <c r="B38" s="9"/>
      <c r="C38" s="176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</row>
    <row r="39" spans="1:72" x14ac:dyDescent="0.25">
      <c r="A39" s="9"/>
      <c r="B39" s="9"/>
      <c r="C39" s="176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</row>
    <row r="40" spans="1:72" x14ac:dyDescent="0.25">
      <c r="A40" s="9"/>
      <c r="B40" s="9"/>
      <c r="C40" s="176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</row>
    <row r="41" spans="1:72" x14ac:dyDescent="0.25">
      <c r="A41" s="9"/>
      <c r="B41" s="9"/>
      <c r="C41" s="176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</row>
    <row r="42" spans="1:72" x14ac:dyDescent="0.25">
      <c r="A42" s="9"/>
      <c r="B42" s="9"/>
      <c r="C42" s="176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</row>
    <row r="43" spans="1:72" x14ac:dyDescent="0.25">
      <c r="A43" s="9"/>
      <c r="B43" s="9"/>
      <c r="C43" s="176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</row>
    <row r="44" spans="1:72" x14ac:dyDescent="0.25">
      <c r="A44" s="9"/>
      <c r="B44" s="9"/>
      <c r="C44" s="176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</row>
    <row r="45" spans="1:72" x14ac:dyDescent="0.25">
      <c r="A45" s="9"/>
      <c r="B45" s="9"/>
      <c r="C45" s="176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</row>
    <row r="46" spans="1:72" x14ac:dyDescent="0.25">
      <c r="A46" s="9"/>
      <c r="B46" s="9"/>
      <c r="C46" s="176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</row>
    <row r="47" spans="1:72" x14ac:dyDescent="0.25">
      <c r="A47" s="9"/>
      <c r="B47" s="9"/>
      <c r="C47" s="176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</row>
    <row r="48" spans="1:72" x14ac:dyDescent="0.25">
      <c r="A48" s="9"/>
      <c r="B48" s="9"/>
      <c r="C48" s="176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</row>
    <row r="49" spans="1:72" x14ac:dyDescent="0.25">
      <c r="A49" s="9"/>
      <c r="B49" s="9"/>
      <c r="C49" s="176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</row>
    <row r="50" spans="1:72" x14ac:dyDescent="0.25">
      <c r="A50" s="9"/>
      <c r="B50" s="9"/>
      <c r="C50" s="176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</row>
    <row r="51" spans="1:72" x14ac:dyDescent="0.25">
      <c r="A51" s="9"/>
      <c r="B51" s="9"/>
      <c r="C51" s="176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</row>
    <row r="52" spans="1:72" x14ac:dyDescent="0.25">
      <c r="A52" s="9"/>
      <c r="B52" s="9"/>
      <c r="C52" s="176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</row>
    <row r="53" spans="1:72" x14ac:dyDescent="0.25">
      <c r="A53" s="9"/>
      <c r="B53" s="9"/>
      <c r="C53" s="176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</row>
    <row r="54" spans="1:72" x14ac:dyDescent="0.25">
      <c r="A54" s="9"/>
      <c r="B54" s="9"/>
      <c r="C54" s="176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</row>
    <row r="55" spans="1:72" x14ac:dyDescent="0.25">
      <c r="A55" s="9"/>
      <c r="B55" s="9"/>
      <c r="C55" s="176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</row>
    <row r="56" spans="1:72" x14ac:dyDescent="0.25">
      <c r="A56" s="9"/>
      <c r="B56" s="9"/>
      <c r="C56" s="176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</row>
    <row r="57" spans="1:72" x14ac:dyDescent="0.25">
      <c r="A57" s="9"/>
      <c r="B57" s="9"/>
      <c r="C57" s="176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</row>
    <row r="58" spans="1:72" x14ac:dyDescent="0.25">
      <c r="A58" s="9"/>
      <c r="B58" s="9"/>
      <c r="C58" s="176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</row>
    <row r="59" spans="1:72" x14ac:dyDescent="0.25">
      <c r="A59" s="9"/>
      <c r="B59" s="9"/>
      <c r="C59" s="176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</row>
    <row r="60" spans="1:72" x14ac:dyDescent="0.25">
      <c r="A60" s="9"/>
      <c r="B60" s="9"/>
      <c r="C60" s="176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</row>
    <row r="61" spans="1:72" x14ac:dyDescent="0.25">
      <c r="A61" s="9"/>
      <c r="B61" s="9"/>
      <c r="C61" s="176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</row>
    <row r="62" spans="1:72" x14ac:dyDescent="0.25">
      <c r="A62" s="9"/>
      <c r="B62" s="9"/>
      <c r="C62" s="176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</row>
    <row r="63" spans="1:72" x14ac:dyDescent="0.25">
      <c r="A63" s="9"/>
      <c r="B63" s="9"/>
      <c r="C63" s="176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</row>
    <row r="64" spans="1:72" x14ac:dyDescent="0.25">
      <c r="A64" s="9"/>
      <c r="B64" s="9"/>
      <c r="C64" s="176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</row>
    <row r="65" spans="1:72" x14ac:dyDescent="0.25">
      <c r="A65" s="9"/>
      <c r="B65" s="9"/>
      <c r="C65" s="176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</row>
    <row r="66" spans="1:72" x14ac:dyDescent="0.25">
      <c r="A66" s="9"/>
      <c r="B66" s="9"/>
      <c r="C66" s="176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</row>
    <row r="67" spans="1:72" x14ac:dyDescent="0.25">
      <c r="A67" s="9"/>
      <c r="B67" s="9"/>
      <c r="C67" s="176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</row>
    <row r="68" spans="1:72" x14ac:dyDescent="0.25">
      <c r="A68" s="9"/>
      <c r="B68" s="9"/>
      <c r="C68" s="176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</row>
    <row r="69" spans="1:72" x14ac:dyDescent="0.25">
      <c r="A69" s="9"/>
      <c r="B69" s="9"/>
      <c r="C69" s="176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</row>
    <row r="75" spans="1:72" ht="15.75" x14ac:dyDescent="0.25">
      <c r="A75" s="23"/>
    </row>
    <row r="76" spans="1:72" ht="15.75" x14ac:dyDescent="0.25">
      <c r="A76" s="23"/>
    </row>
  </sheetData>
  <sheetProtection algorithmName="SHA-512" hashValue="o/vs/xEDsva3z2S9/NyaDSVi8WtgOCVIyb3tc7yJ9Xal265jpxn329OiU4rkRDrXFvni1XdoH6qpX6XQgrYrPQ==" saltValue="bl+Koga6V9rHsQcNBdatWA==" spinCount="100000" sheet="1" objects="1" scenarios="1"/>
  <mergeCells count="129">
    <mergeCell ref="AI11:AJ11"/>
    <mergeCell ref="AK11:AL11"/>
    <mergeCell ref="AM11:AN11"/>
    <mergeCell ref="AO11:AP11"/>
    <mergeCell ref="AQ11:AR11"/>
    <mergeCell ref="AS11:AT11"/>
    <mergeCell ref="AU11:AV11"/>
    <mergeCell ref="AM9:AN9"/>
    <mergeCell ref="AO9:AP9"/>
    <mergeCell ref="AQ9:AR9"/>
    <mergeCell ref="AS9:AT9"/>
    <mergeCell ref="AU9:AV9"/>
    <mergeCell ref="AI10:AJ10"/>
    <mergeCell ref="AK10:AL10"/>
    <mergeCell ref="AM10:AN10"/>
    <mergeCell ref="AO10:AP10"/>
    <mergeCell ref="AQ10:AR10"/>
    <mergeCell ref="AS10:AT10"/>
    <mergeCell ref="AU10:AV10"/>
    <mergeCell ref="D8:E8"/>
    <mergeCell ref="F8:G8"/>
    <mergeCell ref="H8:I8"/>
    <mergeCell ref="J8:K8"/>
    <mergeCell ref="L8:M8"/>
    <mergeCell ref="N8:O8"/>
    <mergeCell ref="P8:Q8"/>
    <mergeCell ref="AI9:AJ9"/>
    <mergeCell ref="AK9:AL9"/>
    <mergeCell ref="AI7:AJ7"/>
    <mergeCell ref="AK7:AL7"/>
    <mergeCell ref="AM7:AN7"/>
    <mergeCell ref="AO7:AP7"/>
    <mergeCell ref="AQ7:AR7"/>
    <mergeCell ref="AS7:AT7"/>
    <mergeCell ref="AU7:AV7"/>
    <mergeCell ref="AI8:AJ8"/>
    <mergeCell ref="AK8:AL8"/>
    <mergeCell ref="AM8:AN8"/>
    <mergeCell ref="AO8:AP8"/>
    <mergeCell ref="AQ8:AR8"/>
    <mergeCell ref="AS8:AT8"/>
    <mergeCell ref="AU8:AV8"/>
    <mergeCell ref="AI5:AJ5"/>
    <mergeCell ref="AK5:AL5"/>
    <mergeCell ref="AM5:AN5"/>
    <mergeCell ref="AO5:AP5"/>
    <mergeCell ref="AQ5:AR5"/>
    <mergeCell ref="AS5:AT5"/>
    <mergeCell ref="AU5:AV5"/>
    <mergeCell ref="AI6:AJ6"/>
    <mergeCell ref="AK6:AL6"/>
    <mergeCell ref="AM6:AN6"/>
    <mergeCell ref="AO6:AP6"/>
    <mergeCell ref="AQ6:AR6"/>
    <mergeCell ref="AS6:AT6"/>
    <mergeCell ref="AU6:AV6"/>
    <mergeCell ref="AK4:AL4"/>
    <mergeCell ref="AM4:AN4"/>
    <mergeCell ref="AO4:AP4"/>
    <mergeCell ref="AQ4:AR4"/>
    <mergeCell ref="AS4:AT4"/>
    <mergeCell ref="AU4:AV4"/>
    <mergeCell ref="D4:E4"/>
    <mergeCell ref="F4:G4"/>
    <mergeCell ref="H4:I4"/>
    <mergeCell ref="J4:K4"/>
    <mergeCell ref="L4:M4"/>
    <mergeCell ref="N4:O4"/>
    <mergeCell ref="P4:Q4"/>
    <mergeCell ref="P1:Q1"/>
    <mergeCell ref="R1:Y2"/>
    <mergeCell ref="Z1:Z3"/>
    <mergeCell ref="AA1:AA3"/>
    <mergeCell ref="AB1:AB3"/>
    <mergeCell ref="AC1:AC3"/>
    <mergeCell ref="D1:E1"/>
    <mergeCell ref="F1:G1"/>
    <mergeCell ref="H1:I1"/>
    <mergeCell ref="J1:K1"/>
    <mergeCell ref="L1:M1"/>
    <mergeCell ref="N1:O1"/>
    <mergeCell ref="BJ1:BK1"/>
    <mergeCell ref="BL1:BM1"/>
    <mergeCell ref="BN1:BO1"/>
    <mergeCell ref="A2:A3"/>
    <mergeCell ref="B2:B3"/>
    <mergeCell ref="C2:C3"/>
    <mergeCell ref="D2:E2"/>
    <mergeCell ref="F2:G2"/>
    <mergeCell ref="H2:I2"/>
    <mergeCell ref="J2:K2"/>
    <mergeCell ref="AS1:AT1"/>
    <mergeCell ref="AU1:AV1"/>
    <mergeCell ref="BB1:BC1"/>
    <mergeCell ref="BD1:BE1"/>
    <mergeCell ref="BF1:BG1"/>
    <mergeCell ref="BH1:BI1"/>
    <mergeCell ref="AD1:AD3"/>
    <mergeCell ref="AI1:AJ1"/>
    <mergeCell ref="AK1:AL1"/>
    <mergeCell ref="AM1:AN1"/>
    <mergeCell ref="AO1:AP1"/>
    <mergeCell ref="AQ1:AR1"/>
    <mergeCell ref="AK2:AL3"/>
    <mergeCell ref="AM2:AN3"/>
    <mergeCell ref="E23:J23"/>
    <mergeCell ref="C12:Q14"/>
    <mergeCell ref="Z12:AA12"/>
    <mergeCell ref="BA12:BO14"/>
    <mergeCell ref="Z13:AA13"/>
    <mergeCell ref="BH2:BI2"/>
    <mergeCell ref="BJ2:BK2"/>
    <mergeCell ref="BL2:BM2"/>
    <mergeCell ref="BN2:BO2"/>
    <mergeCell ref="AS2:AT3"/>
    <mergeCell ref="AU2:AV3"/>
    <mergeCell ref="BA2:BA3"/>
    <mergeCell ref="BB2:BC2"/>
    <mergeCell ref="BD2:BE2"/>
    <mergeCell ref="BF2:BG2"/>
    <mergeCell ref="L2:M2"/>
    <mergeCell ref="N2:O2"/>
    <mergeCell ref="P2:Q2"/>
    <mergeCell ref="AG2:AG3"/>
    <mergeCell ref="AH2:AH3"/>
    <mergeCell ref="AI2:AJ3"/>
    <mergeCell ref="AO2:AP3"/>
    <mergeCell ref="AQ2:AR3"/>
    <mergeCell ref="AI4:AJ4"/>
  </mergeCells>
  <conditionalFormatting sqref="AB4:AB11">
    <cfRule type="cellIs" dxfId="46" priority="2530" operator="lessThan">
      <formula>0</formula>
    </cfRule>
    <cfRule type="cellIs" dxfId="45" priority="2531" operator="greaterThan">
      <formula>0</formula>
    </cfRule>
  </conditionalFormatting>
  <conditionalFormatting sqref="AB4:AB11">
    <cfRule type="cellIs" dxfId="44" priority="2523" operator="equal">
      <formula>"FERIE"</formula>
    </cfRule>
  </conditionalFormatting>
  <conditionalFormatting sqref="E4:F11">
    <cfRule type="expression" dxfId="43" priority="2532" stopIfTrue="1">
      <formula>AND(OR($E4&lt;&gt;"OFF",$F4&lt;&gt;"OFF"),OR(AND($D4&gt;$E4,$F4-$E4&lt;0.46),AND($D4&lt;$E4,(1-$E4)+($F4)&lt;0.46)))</formula>
    </cfRule>
  </conditionalFormatting>
  <conditionalFormatting sqref="G4:H11">
    <cfRule type="expression" dxfId="42" priority="2533" stopIfTrue="1">
      <formula>AND(OR($G4&lt;&gt;"OFF",$H4&lt;&gt;"OFF"),OR(AND($F4&gt;$G4,$H4-$G4&lt;0.46),AND($F4&lt;$G4,(1-$G4)+($H4)&lt;0.46)))</formula>
    </cfRule>
  </conditionalFormatting>
  <conditionalFormatting sqref="I4:J11">
    <cfRule type="expression" dxfId="41" priority="2534" stopIfTrue="1">
      <formula>AND(OR($I4&lt;&gt;"OFF",$J4&lt;&gt;"OFF"),OR(AND($H4&gt;$I4,$J4-$I4&lt;0.46),AND($H4&lt;$I4,(1-$I4)+($J4)&lt;0.46)))</formula>
    </cfRule>
  </conditionalFormatting>
  <conditionalFormatting sqref="K4:L11">
    <cfRule type="expression" dxfId="40" priority="2535" stopIfTrue="1">
      <formula>AND(OR($K4&lt;&gt;"OFF",$L4&lt;&gt;"OFF"),OR(AND($J4&gt;$K4,$L4-$K4&lt;0.46),AND($J4&lt;$K4,(1-$K4)+($L4)&lt;0.46)))</formula>
    </cfRule>
  </conditionalFormatting>
  <conditionalFormatting sqref="M4:N11">
    <cfRule type="expression" dxfId="39" priority="2536" stopIfTrue="1">
      <formula>AND(OR($M4&lt;&gt;"OFF",$N4&lt;&gt;"OFF"),OR(AND($L4&gt;$M4,$N4-$M4&lt;0.46),AND($L4&lt;$M4,(1-$M4)+($N4)&lt;0.46)))</formula>
    </cfRule>
  </conditionalFormatting>
  <conditionalFormatting sqref="O4:P11">
    <cfRule type="expression" dxfId="38" priority="2537" stopIfTrue="1">
      <formula>AND(OR($O4&lt;&gt;"OFF",$P4&lt;&gt;"OFF"),OR(AND($N4&gt;$O4,$P4-$O4&lt;0.46),AND($N4&lt;$O4,(1-$O4)+($P4)&lt;0.46)))</formula>
    </cfRule>
  </conditionalFormatting>
  <conditionalFormatting sqref="E4:H11">
    <cfRule type="expression" dxfId="37" priority="2538" stopIfTrue="1">
      <formula>AND($E4&lt;&gt;"OFF",$F4="OFF",$H4&lt;&gt;"OFF",OR(AND($D4&gt;$E4,$H4-$E4&lt;0.46),AND($D4&lt;$E4,(1-$E4)+$H4&lt;0.46)))</formula>
    </cfRule>
  </conditionalFormatting>
  <conditionalFormatting sqref="G4:J11">
    <cfRule type="expression" dxfId="36" priority="2539" stopIfTrue="1">
      <formula>AND($G4&lt;&gt;"OFF",$H4="OFF",$J4&lt;&gt;"OFF",OR(AND($F4&gt;$G4,$J4-$G4&lt;0.46),AND($F4&lt;$G4,(1-$G4)+$J4&lt;0.46)))</formula>
    </cfRule>
  </conditionalFormatting>
  <conditionalFormatting sqref="I4:L11">
    <cfRule type="expression" dxfId="35" priority="2540" stopIfTrue="1">
      <formula>AND($I4&lt;&gt;"OFF",$J4="OFF",$L4&lt;&gt;"OFF",OR(AND($H4&gt;$I4,$L4-$I4&lt;0.46),AND($H4&lt;$I4,(1-$I4)+$L4&lt;0.46)))</formula>
    </cfRule>
  </conditionalFormatting>
  <conditionalFormatting sqref="K4:N11">
    <cfRule type="expression" dxfId="34" priority="2541" stopIfTrue="1">
      <formula>AND($K4&lt;&gt;"OFF",$L4="OFF",$N4&lt;&gt;"OFF",OR(AND($J4&gt;$K4,$N4-$K4&lt;0.46),AND($J4&lt;$K4,(1-$K4)+$N4&lt;0.46)))</formula>
    </cfRule>
  </conditionalFormatting>
  <conditionalFormatting sqref="M4:P11">
    <cfRule type="expression" dxfId="33" priority="2542" stopIfTrue="1">
      <formula>AND($M4&lt;&gt;"OFF",$N4="OFF",$P4&lt;&gt;"OFF",OR(AND($L4&gt;$M4,$P4-$M4&lt;0.46),AND($L4&lt;$M4,(1-$M4)+$P4&lt;0.46)))</formula>
    </cfRule>
  </conditionalFormatting>
  <conditionalFormatting sqref="D4:Q11">
    <cfRule type="cellIs" dxfId="32" priority="2543" stopIfTrue="1" operator="equal">
      <formula>"OFF"</formula>
    </cfRule>
  </conditionalFormatting>
  <printOptions horizontalCentered="1" verticalCentered="1" gridLines="1"/>
  <pageMargins left="0" right="0" top="0.15748031496062992" bottom="0" header="0" footer="0"/>
  <pageSetup paperSize="9" scale="5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tampaFogliSovrapposti">
                <anchor moveWithCells="1" sizeWithCells="1">
                  <from>
                    <xdr:col>2</xdr:col>
                    <xdr:colOff>2181225</xdr:colOff>
                    <xdr:row>21</xdr:row>
                    <xdr:rowOff>95250</xdr:rowOff>
                  </from>
                  <to>
                    <xdr:col>3</xdr:col>
                    <xdr:colOff>1009650</xdr:colOff>
                    <xdr:row>23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BD6EE-77EE-4DD5-A4BE-3E5BD795DD5D}">
  <sheetPr codeName="FormazioneManager">
    <tabColor rgb="FFFFFF00"/>
    <pageSetUpPr fitToPage="1"/>
  </sheetPr>
  <dimension ref="A1:BX31"/>
  <sheetViews>
    <sheetView topLeftCell="AA1" zoomScale="40" zoomScaleNormal="40" workbookViewId="0">
      <pane ySplit="3" topLeftCell="A4" activePane="bottomLeft" state="frozen"/>
      <selection activeCell="A2" sqref="A2:E3"/>
      <selection pane="bottomLeft" activeCell="BL36" sqref="BL36"/>
    </sheetView>
  </sheetViews>
  <sheetFormatPr defaultRowHeight="15" x14ac:dyDescent="0.25"/>
  <cols>
    <col min="2" max="2" width="51.42578125" customWidth="1"/>
    <col min="3" max="16" width="12.7109375" customWidth="1"/>
    <col min="19" max="19" width="49" customWidth="1"/>
    <col min="20" max="55" width="10.7109375" customWidth="1"/>
    <col min="57" max="57" width="9.42578125" customWidth="1"/>
    <col min="58" max="58" width="46.28515625" customWidth="1"/>
    <col min="59" max="72" width="13.85546875" customWidth="1"/>
  </cols>
  <sheetData>
    <row r="1" spans="1:76" ht="55.15" customHeight="1" x14ac:dyDescent="0.25">
      <c r="A1" s="18"/>
      <c r="B1" s="220" t="s">
        <v>235</v>
      </c>
      <c r="C1" s="499" t="s">
        <v>186</v>
      </c>
      <c r="D1" s="499"/>
      <c r="E1" s="499" t="s">
        <v>185</v>
      </c>
      <c r="F1" s="499"/>
      <c r="G1" s="499" t="s">
        <v>187</v>
      </c>
      <c r="H1" s="499"/>
      <c r="I1" s="499" t="s">
        <v>188</v>
      </c>
      <c r="J1" s="499"/>
      <c r="K1" s="499" t="s">
        <v>189</v>
      </c>
      <c r="L1" s="499"/>
      <c r="M1" s="499" t="s">
        <v>190</v>
      </c>
      <c r="N1" s="499"/>
      <c r="O1" s="499" t="s">
        <v>191</v>
      </c>
      <c r="P1" s="499"/>
      <c r="Q1" s="20"/>
      <c r="R1" s="21"/>
      <c r="S1" s="220" t="s">
        <v>216</v>
      </c>
      <c r="T1" s="547"/>
      <c r="U1" s="538"/>
      <c r="V1" s="538"/>
      <c r="W1" s="538"/>
      <c r="X1" s="538"/>
      <c r="Y1" s="538"/>
      <c r="Z1" s="538"/>
      <c r="AA1" s="538"/>
      <c r="AB1" s="538"/>
      <c r="AC1" s="543"/>
      <c r="AD1" s="543"/>
      <c r="AE1" s="545"/>
      <c r="AF1" s="547"/>
      <c r="AG1" s="543"/>
      <c r="AH1" s="543"/>
      <c r="AI1" s="543"/>
      <c r="AJ1" s="543"/>
      <c r="AK1" s="543"/>
      <c r="AL1" s="543"/>
      <c r="AM1" s="543"/>
      <c r="AN1" s="543"/>
      <c r="AO1" s="543"/>
      <c r="AP1" s="543"/>
      <c r="AQ1" s="543"/>
      <c r="AR1" s="543"/>
      <c r="AS1" s="543"/>
      <c r="AT1" s="550"/>
      <c r="AU1" s="554"/>
      <c r="AV1" s="543"/>
      <c r="AW1" s="543"/>
      <c r="AX1" s="543"/>
      <c r="AY1" s="543"/>
      <c r="AZ1" s="543"/>
      <c r="BA1" s="543"/>
      <c r="BB1" s="543"/>
      <c r="BC1" s="550"/>
      <c r="BD1" s="219"/>
      <c r="BE1" s="21"/>
      <c r="BF1" s="220" t="s">
        <v>272</v>
      </c>
      <c r="BG1" s="556" t="s">
        <v>273</v>
      </c>
      <c r="BH1" s="557"/>
      <c r="BI1" s="557"/>
      <c r="BJ1" s="558"/>
      <c r="BK1" s="556" t="s">
        <v>274</v>
      </c>
      <c r="BL1" s="557"/>
      <c r="BM1" s="557"/>
      <c r="BN1" s="558"/>
      <c r="BO1" s="556" t="s">
        <v>275</v>
      </c>
      <c r="BP1" s="557"/>
      <c r="BQ1" s="557"/>
      <c r="BR1" s="557"/>
      <c r="BS1" s="557"/>
      <c r="BT1" s="558"/>
      <c r="BU1" s="212"/>
      <c r="BV1" s="7"/>
      <c r="BW1" s="7"/>
      <c r="BX1" s="7"/>
    </row>
    <row r="2" spans="1:76" ht="65.099999999999994" customHeight="1" thickBot="1" x14ac:dyDescent="0.3">
      <c r="A2" s="18"/>
      <c r="B2" s="536" t="s">
        <v>215</v>
      </c>
      <c r="C2" s="523">
        <f>'TOT-M'!D2</f>
        <v>45887</v>
      </c>
      <c r="D2" s="523"/>
      <c r="E2" s="523">
        <f>C2+1</f>
        <v>45888</v>
      </c>
      <c r="F2" s="523"/>
      <c r="G2" s="523">
        <f>E2+1</f>
        <v>45889</v>
      </c>
      <c r="H2" s="523"/>
      <c r="I2" s="523">
        <f>G2+1</f>
        <v>45890</v>
      </c>
      <c r="J2" s="523"/>
      <c r="K2" s="523">
        <f>I2+1</f>
        <v>45891</v>
      </c>
      <c r="L2" s="523"/>
      <c r="M2" s="523">
        <f>K2+1</f>
        <v>45892</v>
      </c>
      <c r="N2" s="523"/>
      <c r="O2" s="523">
        <f>M2+1</f>
        <v>45893</v>
      </c>
      <c r="P2" s="523"/>
      <c r="Q2" s="20"/>
      <c r="R2" s="21"/>
      <c r="S2" s="536" t="s">
        <v>215</v>
      </c>
      <c r="T2" s="548"/>
      <c r="U2" s="539"/>
      <c r="V2" s="539"/>
      <c r="W2" s="539"/>
      <c r="X2" s="539"/>
      <c r="Y2" s="539"/>
      <c r="Z2" s="539"/>
      <c r="AA2" s="539"/>
      <c r="AB2" s="539"/>
      <c r="AC2" s="544"/>
      <c r="AD2" s="544"/>
      <c r="AE2" s="546"/>
      <c r="AF2" s="548"/>
      <c r="AG2" s="544"/>
      <c r="AH2" s="544"/>
      <c r="AI2" s="544"/>
      <c r="AJ2" s="544"/>
      <c r="AK2" s="544"/>
      <c r="AL2" s="544"/>
      <c r="AM2" s="544"/>
      <c r="AN2" s="544"/>
      <c r="AO2" s="544"/>
      <c r="AP2" s="544"/>
      <c r="AQ2" s="544"/>
      <c r="AR2" s="544"/>
      <c r="AS2" s="544"/>
      <c r="AT2" s="551"/>
      <c r="AU2" s="555"/>
      <c r="AV2" s="544"/>
      <c r="AW2" s="544"/>
      <c r="AX2" s="544"/>
      <c r="AY2" s="544"/>
      <c r="AZ2" s="544"/>
      <c r="BA2" s="544"/>
      <c r="BB2" s="544"/>
      <c r="BC2" s="551"/>
      <c r="BD2" s="219"/>
      <c r="BE2" s="21"/>
      <c r="BF2" s="536" t="s">
        <v>215</v>
      </c>
      <c r="BG2" s="559" t="s">
        <v>318</v>
      </c>
      <c r="BH2" s="560"/>
      <c r="BI2" s="559" t="s">
        <v>319</v>
      </c>
      <c r="BJ2" s="560"/>
      <c r="BK2" s="559" t="s">
        <v>320</v>
      </c>
      <c r="BL2" s="560"/>
      <c r="BM2" s="559" t="s">
        <v>321</v>
      </c>
      <c r="BN2" s="560"/>
      <c r="BO2" s="559" t="s">
        <v>276</v>
      </c>
      <c r="BP2" s="560"/>
      <c r="BQ2" s="559" t="s">
        <v>277</v>
      </c>
      <c r="BR2" s="560"/>
      <c r="BS2" s="559" t="s">
        <v>278</v>
      </c>
      <c r="BT2" s="560"/>
      <c r="BU2" s="14"/>
      <c r="BV2" s="9"/>
      <c r="BW2" s="9"/>
      <c r="BX2" s="9"/>
    </row>
    <row r="3" spans="1:76" ht="30" customHeight="1" x14ac:dyDescent="0.25">
      <c r="A3" s="18"/>
      <c r="B3" s="537"/>
      <c r="C3" s="524"/>
      <c r="D3" s="524"/>
      <c r="E3" s="524"/>
      <c r="F3" s="524"/>
      <c r="G3" s="524"/>
      <c r="H3" s="524"/>
      <c r="I3" s="524"/>
      <c r="J3" s="524"/>
      <c r="K3" s="524"/>
      <c r="L3" s="524"/>
      <c r="M3" s="524"/>
      <c r="N3" s="524"/>
      <c r="O3" s="524"/>
      <c r="P3" s="524"/>
      <c r="Q3" s="20"/>
      <c r="R3" s="21"/>
      <c r="S3" s="537"/>
      <c r="T3" s="540" t="s">
        <v>217</v>
      </c>
      <c r="U3" s="541"/>
      <c r="V3" s="541"/>
      <c r="W3" s="541"/>
      <c r="X3" s="541"/>
      <c r="Y3" s="541"/>
      <c r="Z3" s="541"/>
      <c r="AA3" s="541"/>
      <c r="AB3" s="541"/>
      <c r="AC3" s="541"/>
      <c r="AD3" s="541"/>
      <c r="AE3" s="542"/>
      <c r="AF3" s="540" t="s">
        <v>218</v>
      </c>
      <c r="AG3" s="541"/>
      <c r="AH3" s="541"/>
      <c r="AI3" s="541"/>
      <c r="AJ3" s="541"/>
      <c r="AK3" s="541"/>
      <c r="AL3" s="541"/>
      <c r="AM3" s="541"/>
      <c r="AN3" s="541"/>
      <c r="AO3" s="541"/>
      <c r="AP3" s="541"/>
      <c r="AQ3" s="541"/>
      <c r="AR3" s="541"/>
      <c r="AS3" s="541"/>
      <c r="AT3" s="553"/>
      <c r="AU3" s="552" t="s">
        <v>40</v>
      </c>
      <c r="AV3" s="541"/>
      <c r="AW3" s="541"/>
      <c r="AX3" s="541"/>
      <c r="AY3" s="541"/>
      <c r="AZ3" s="541"/>
      <c r="BA3" s="541"/>
      <c r="BB3" s="541"/>
      <c r="BC3" s="553"/>
      <c r="BD3" s="219"/>
      <c r="BE3" s="21"/>
      <c r="BF3" s="549"/>
      <c r="BG3" s="559"/>
      <c r="BH3" s="560"/>
      <c r="BI3" s="559"/>
      <c r="BJ3" s="560"/>
      <c r="BK3" s="559"/>
      <c r="BL3" s="560"/>
      <c r="BM3" s="559"/>
      <c r="BN3" s="560"/>
      <c r="BO3" s="559"/>
      <c r="BP3" s="560"/>
      <c r="BQ3" s="559"/>
      <c r="BR3" s="560"/>
      <c r="BS3" s="559"/>
      <c r="BT3" s="560"/>
      <c r="BU3" s="14"/>
      <c r="BV3" s="9"/>
      <c r="BW3" s="9"/>
      <c r="BX3" s="9"/>
    </row>
    <row r="4" spans="1:76" ht="32.25" customHeight="1" x14ac:dyDescent="0.4">
      <c r="A4" s="226">
        <v>1</v>
      </c>
      <c r="B4" s="235" t="s">
        <v>322</v>
      </c>
      <c r="C4" s="619"/>
      <c r="D4" s="620"/>
      <c r="E4" s="619"/>
      <c r="F4" s="620"/>
      <c r="G4" s="619"/>
      <c r="H4" s="620"/>
      <c r="I4" s="619"/>
      <c r="J4" s="620"/>
      <c r="K4" s="619"/>
      <c r="L4" s="620"/>
      <c r="M4" s="619"/>
      <c r="N4" s="620"/>
      <c r="O4" s="619"/>
      <c r="P4" s="620"/>
      <c r="Q4" s="224"/>
      <c r="R4" s="225"/>
      <c r="S4" s="235" t="s">
        <v>322</v>
      </c>
      <c r="T4" s="228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30"/>
      <c r="AF4" s="228"/>
      <c r="AG4" s="229"/>
      <c r="AH4" s="229"/>
      <c r="AI4" s="229"/>
      <c r="AJ4" s="229"/>
      <c r="AK4" s="229"/>
      <c r="AL4" s="229"/>
      <c r="AM4" s="229"/>
      <c r="AN4" s="229"/>
      <c r="AO4" s="229"/>
      <c r="AP4" s="229"/>
      <c r="AQ4" s="229"/>
      <c r="AR4" s="229"/>
      <c r="AS4" s="229"/>
      <c r="AT4" s="231"/>
      <c r="AU4" s="232"/>
      <c r="AV4" s="229"/>
      <c r="AW4" s="229"/>
      <c r="AX4" s="229"/>
      <c r="AY4" s="229"/>
      <c r="AZ4" s="229"/>
      <c r="BA4" s="229"/>
      <c r="BB4" s="229"/>
      <c r="BC4" s="231"/>
      <c r="BD4" s="8"/>
      <c r="BE4" s="9"/>
      <c r="BF4" s="235" t="s">
        <v>322</v>
      </c>
      <c r="BG4" s="621">
        <v>45762</v>
      </c>
      <c r="BH4" s="622"/>
      <c r="BI4" s="621">
        <v>45762</v>
      </c>
      <c r="BJ4" s="622"/>
      <c r="BK4" s="621">
        <v>45762</v>
      </c>
      <c r="BL4" s="622"/>
      <c r="BM4" s="621">
        <v>45762</v>
      </c>
      <c r="BN4" s="622"/>
      <c r="BO4" s="621"/>
      <c r="BP4" s="622"/>
      <c r="BQ4" s="621"/>
      <c r="BR4" s="622"/>
      <c r="BS4" s="621"/>
      <c r="BT4" s="622"/>
      <c r="BU4" s="14"/>
      <c r="BV4" s="9"/>
      <c r="BW4" s="9"/>
      <c r="BX4" s="9"/>
    </row>
    <row r="5" spans="1:76" ht="32.25" customHeight="1" x14ac:dyDescent="0.4">
      <c r="A5" s="226">
        <v>2</v>
      </c>
      <c r="B5" s="235" t="s">
        <v>323</v>
      </c>
      <c r="C5" s="619"/>
      <c r="D5" s="620"/>
      <c r="E5" s="619"/>
      <c r="F5" s="620"/>
      <c r="G5" s="619"/>
      <c r="H5" s="620"/>
      <c r="I5" s="619"/>
      <c r="J5" s="620"/>
      <c r="K5" s="619"/>
      <c r="L5" s="620"/>
      <c r="M5" s="619"/>
      <c r="N5" s="620"/>
      <c r="O5" s="619"/>
      <c r="P5" s="620"/>
      <c r="Q5" s="224"/>
      <c r="R5" s="225"/>
      <c r="S5" s="235" t="s">
        <v>323</v>
      </c>
      <c r="T5" s="228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30"/>
      <c r="AF5" s="228"/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29"/>
      <c r="AS5" s="229"/>
      <c r="AT5" s="231"/>
      <c r="AU5" s="232"/>
      <c r="AV5" s="229"/>
      <c r="AW5" s="229"/>
      <c r="AX5" s="229"/>
      <c r="AY5" s="229"/>
      <c r="AZ5" s="229"/>
      <c r="BA5" s="229"/>
      <c r="BB5" s="229"/>
      <c r="BC5" s="231"/>
      <c r="BD5" s="8"/>
      <c r="BE5" s="9"/>
      <c r="BF5" s="235" t="s">
        <v>323</v>
      </c>
      <c r="BG5" s="621">
        <v>45762</v>
      </c>
      <c r="BH5" s="622"/>
      <c r="BI5" s="621">
        <v>45762</v>
      </c>
      <c r="BJ5" s="622"/>
      <c r="BK5" s="621">
        <v>45762</v>
      </c>
      <c r="BL5" s="622"/>
      <c r="BM5" s="621">
        <v>45762</v>
      </c>
      <c r="BN5" s="622"/>
      <c r="BO5" s="621"/>
      <c r="BP5" s="622"/>
      <c r="BQ5" s="621"/>
      <c r="BR5" s="622"/>
      <c r="BS5" s="621"/>
      <c r="BT5" s="622"/>
      <c r="BU5" s="14"/>
      <c r="BV5" s="9"/>
      <c r="BW5" s="9"/>
      <c r="BX5" s="9"/>
    </row>
    <row r="6" spans="1:76" ht="32.25" customHeight="1" x14ac:dyDescent="0.4">
      <c r="A6" s="226">
        <v>3</v>
      </c>
      <c r="B6" s="235" t="s">
        <v>324</v>
      </c>
      <c r="C6" s="619"/>
      <c r="D6" s="620"/>
      <c r="E6" s="619"/>
      <c r="F6" s="620"/>
      <c r="G6" s="619"/>
      <c r="H6" s="620"/>
      <c r="I6" s="619"/>
      <c r="J6" s="620"/>
      <c r="K6" s="619"/>
      <c r="L6" s="620"/>
      <c r="M6" s="619"/>
      <c r="N6" s="620"/>
      <c r="O6" s="619"/>
      <c r="P6" s="620"/>
      <c r="Q6" s="224"/>
      <c r="R6" s="225"/>
      <c r="S6" s="235" t="s">
        <v>324</v>
      </c>
      <c r="T6" s="228"/>
      <c r="U6" s="229"/>
      <c r="V6" s="229"/>
      <c r="W6" s="229"/>
      <c r="X6" s="229"/>
      <c r="Y6" s="229"/>
      <c r="Z6" s="229"/>
      <c r="AA6" s="229"/>
      <c r="AB6" s="229"/>
      <c r="AC6" s="229"/>
      <c r="AD6" s="229"/>
      <c r="AE6" s="230"/>
      <c r="AF6" s="228"/>
      <c r="AG6" s="229"/>
      <c r="AH6" s="229"/>
      <c r="AI6" s="229"/>
      <c r="AJ6" s="229"/>
      <c r="AK6" s="229"/>
      <c r="AL6" s="229"/>
      <c r="AM6" s="229"/>
      <c r="AN6" s="229"/>
      <c r="AO6" s="229"/>
      <c r="AP6" s="229"/>
      <c r="AQ6" s="229"/>
      <c r="AR6" s="229"/>
      <c r="AS6" s="229"/>
      <c r="AT6" s="231"/>
      <c r="AU6" s="232"/>
      <c r="AV6" s="229"/>
      <c r="AW6" s="229"/>
      <c r="AX6" s="229"/>
      <c r="AY6" s="229"/>
      <c r="AZ6" s="229"/>
      <c r="BA6" s="229"/>
      <c r="BB6" s="229"/>
      <c r="BC6" s="231"/>
      <c r="BD6" s="8"/>
      <c r="BE6" s="9"/>
      <c r="BF6" s="235" t="s">
        <v>324</v>
      </c>
      <c r="BG6" s="621">
        <v>45762</v>
      </c>
      <c r="BH6" s="622"/>
      <c r="BI6" s="621">
        <v>45762</v>
      </c>
      <c r="BJ6" s="622"/>
      <c r="BK6" s="621">
        <v>45762</v>
      </c>
      <c r="BL6" s="622"/>
      <c r="BM6" s="621">
        <v>45762</v>
      </c>
      <c r="BN6" s="622"/>
      <c r="BO6" s="621"/>
      <c r="BP6" s="622"/>
      <c r="BQ6" s="621"/>
      <c r="BR6" s="622"/>
      <c r="BS6" s="621"/>
      <c r="BT6" s="622"/>
      <c r="BU6" s="14"/>
      <c r="BV6" s="9"/>
      <c r="BW6" s="9"/>
      <c r="BX6" s="9"/>
    </row>
    <row r="7" spans="1:76" ht="32.25" customHeight="1" x14ac:dyDescent="0.4">
      <c r="A7" s="226">
        <v>4</v>
      </c>
      <c r="B7" s="235" t="s">
        <v>325</v>
      </c>
      <c r="C7" s="619"/>
      <c r="D7" s="620"/>
      <c r="E7" s="619"/>
      <c r="F7" s="620"/>
      <c r="G7" s="619"/>
      <c r="H7" s="620"/>
      <c r="I7" s="619"/>
      <c r="J7" s="620"/>
      <c r="K7" s="619"/>
      <c r="L7" s="620"/>
      <c r="M7" s="619"/>
      <c r="N7" s="620"/>
      <c r="O7" s="619"/>
      <c r="P7" s="620"/>
      <c r="Q7" s="224"/>
      <c r="R7" s="225"/>
      <c r="S7" s="235" t="s">
        <v>325</v>
      </c>
      <c r="T7" s="228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30"/>
      <c r="AF7" s="228"/>
      <c r="AG7" s="229"/>
      <c r="AH7" s="229"/>
      <c r="AI7" s="229"/>
      <c r="AJ7" s="229"/>
      <c r="AK7" s="229"/>
      <c r="AL7" s="229"/>
      <c r="AM7" s="229"/>
      <c r="AN7" s="229"/>
      <c r="AO7" s="229"/>
      <c r="AP7" s="229"/>
      <c r="AQ7" s="229"/>
      <c r="AR7" s="229"/>
      <c r="AS7" s="229"/>
      <c r="AT7" s="231"/>
      <c r="AU7" s="232"/>
      <c r="AV7" s="229"/>
      <c r="AW7" s="229"/>
      <c r="AX7" s="229"/>
      <c r="AY7" s="229"/>
      <c r="AZ7" s="229"/>
      <c r="BA7" s="229"/>
      <c r="BB7" s="229"/>
      <c r="BC7" s="231"/>
      <c r="BD7" s="8"/>
      <c r="BE7" s="9"/>
      <c r="BF7" s="235" t="s">
        <v>325</v>
      </c>
      <c r="BG7" s="621">
        <v>45762</v>
      </c>
      <c r="BH7" s="622"/>
      <c r="BI7" s="621">
        <v>45762</v>
      </c>
      <c r="BJ7" s="622"/>
      <c r="BK7" s="621">
        <v>45762</v>
      </c>
      <c r="BL7" s="622"/>
      <c r="BM7" s="621">
        <v>45762</v>
      </c>
      <c r="BN7" s="622"/>
      <c r="BO7" s="621"/>
      <c r="BP7" s="622"/>
      <c r="BQ7" s="621"/>
      <c r="BR7" s="622"/>
      <c r="BS7" s="621"/>
      <c r="BT7" s="622"/>
      <c r="BU7" s="14"/>
      <c r="BV7" s="9"/>
      <c r="BW7" s="9"/>
      <c r="BX7" s="9"/>
    </row>
    <row r="8" spans="1:76" ht="32.25" customHeight="1" x14ac:dyDescent="0.4">
      <c r="A8" s="226">
        <v>5</v>
      </c>
      <c r="B8" s="235" t="s">
        <v>326</v>
      </c>
      <c r="C8" s="619"/>
      <c r="D8" s="620"/>
      <c r="E8" s="619"/>
      <c r="F8" s="620"/>
      <c r="G8" s="619"/>
      <c r="H8" s="620"/>
      <c r="I8" s="619"/>
      <c r="J8" s="620"/>
      <c r="K8" s="619"/>
      <c r="L8" s="620"/>
      <c r="M8" s="619"/>
      <c r="N8" s="620"/>
      <c r="O8" s="619"/>
      <c r="P8" s="620"/>
      <c r="Q8" s="224"/>
      <c r="R8" s="225"/>
      <c r="S8" s="235" t="s">
        <v>326</v>
      </c>
      <c r="T8" s="228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30"/>
      <c r="AF8" s="228"/>
      <c r="AG8" s="229"/>
      <c r="AH8" s="229"/>
      <c r="AI8" s="229"/>
      <c r="AJ8" s="229"/>
      <c r="AK8" s="229"/>
      <c r="AL8" s="229"/>
      <c r="AM8" s="229"/>
      <c r="AN8" s="229"/>
      <c r="AO8" s="229"/>
      <c r="AP8" s="229"/>
      <c r="AQ8" s="229"/>
      <c r="AR8" s="229"/>
      <c r="AS8" s="229"/>
      <c r="AT8" s="231"/>
      <c r="AU8" s="232"/>
      <c r="AV8" s="229"/>
      <c r="AW8" s="229"/>
      <c r="AX8" s="229"/>
      <c r="AY8" s="229"/>
      <c r="AZ8" s="229"/>
      <c r="BA8" s="229"/>
      <c r="BB8" s="229"/>
      <c r="BC8" s="231"/>
      <c r="BD8" s="8"/>
      <c r="BE8" s="9"/>
      <c r="BF8" s="235" t="s">
        <v>326</v>
      </c>
      <c r="BG8" s="621">
        <v>45762</v>
      </c>
      <c r="BH8" s="622"/>
      <c r="BI8" s="621">
        <v>45762</v>
      </c>
      <c r="BJ8" s="622"/>
      <c r="BK8" s="621">
        <v>45762</v>
      </c>
      <c r="BL8" s="622"/>
      <c r="BM8" s="621">
        <v>45762</v>
      </c>
      <c r="BN8" s="622"/>
      <c r="BO8" s="621"/>
      <c r="BP8" s="622"/>
      <c r="BQ8" s="621"/>
      <c r="BR8" s="622"/>
      <c r="BS8" s="621"/>
      <c r="BT8" s="622"/>
      <c r="BU8" s="14"/>
      <c r="BV8" s="9"/>
      <c r="BW8" s="9"/>
      <c r="BX8" s="9"/>
    </row>
    <row r="9" spans="1:76" ht="32.25" customHeight="1" x14ac:dyDescent="0.4">
      <c r="A9" s="226">
        <v>6</v>
      </c>
      <c r="B9" s="235" t="s">
        <v>327</v>
      </c>
      <c r="C9" s="619"/>
      <c r="D9" s="620"/>
      <c r="E9" s="619"/>
      <c r="F9" s="620"/>
      <c r="G9" s="619"/>
      <c r="H9" s="620"/>
      <c r="I9" s="619"/>
      <c r="J9" s="620"/>
      <c r="K9" s="619"/>
      <c r="L9" s="620"/>
      <c r="M9" s="619"/>
      <c r="N9" s="620"/>
      <c r="O9" s="619"/>
      <c r="P9" s="620"/>
      <c r="Q9" s="224"/>
      <c r="R9" s="225"/>
      <c r="S9" s="235" t="s">
        <v>327</v>
      </c>
      <c r="T9" s="228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30"/>
      <c r="AF9" s="228"/>
      <c r="AG9" s="229"/>
      <c r="AH9" s="229"/>
      <c r="AI9" s="229"/>
      <c r="AJ9" s="229"/>
      <c r="AK9" s="229"/>
      <c r="AL9" s="229"/>
      <c r="AM9" s="229"/>
      <c r="AN9" s="229"/>
      <c r="AO9" s="229"/>
      <c r="AP9" s="229"/>
      <c r="AQ9" s="229"/>
      <c r="AR9" s="229"/>
      <c r="AS9" s="229"/>
      <c r="AT9" s="231"/>
      <c r="AU9" s="232"/>
      <c r="AV9" s="229"/>
      <c r="AW9" s="229"/>
      <c r="AX9" s="229"/>
      <c r="AY9" s="229"/>
      <c r="AZ9" s="229"/>
      <c r="BA9" s="229"/>
      <c r="BB9" s="229"/>
      <c r="BC9" s="231"/>
      <c r="BD9" s="8"/>
      <c r="BE9" s="9"/>
      <c r="BF9" s="235" t="s">
        <v>327</v>
      </c>
      <c r="BG9" s="621">
        <v>45762</v>
      </c>
      <c r="BH9" s="622"/>
      <c r="BI9" s="621">
        <v>45762</v>
      </c>
      <c r="BJ9" s="622"/>
      <c r="BK9" s="621">
        <v>45762</v>
      </c>
      <c r="BL9" s="622"/>
      <c r="BM9" s="621">
        <v>45762</v>
      </c>
      <c r="BN9" s="622"/>
      <c r="BO9" s="621"/>
      <c r="BP9" s="622"/>
      <c r="BQ9" s="621"/>
      <c r="BR9" s="622"/>
      <c r="BS9" s="621"/>
      <c r="BT9" s="622"/>
      <c r="BU9" s="14"/>
      <c r="BV9" s="9"/>
      <c r="BW9" s="9"/>
      <c r="BX9" s="9"/>
    </row>
    <row r="10" spans="1:76" ht="32.25" customHeight="1" x14ac:dyDescent="0.4">
      <c r="A10" s="226">
        <v>7</v>
      </c>
      <c r="B10" s="235" t="s">
        <v>328</v>
      </c>
      <c r="C10" s="619"/>
      <c r="D10" s="620"/>
      <c r="E10" s="619"/>
      <c r="F10" s="620"/>
      <c r="G10" s="619"/>
      <c r="H10" s="620"/>
      <c r="I10" s="619"/>
      <c r="J10" s="620"/>
      <c r="K10" s="619"/>
      <c r="L10" s="620"/>
      <c r="M10" s="619"/>
      <c r="N10" s="620"/>
      <c r="O10" s="619"/>
      <c r="P10" s="620"/>
      <c r="Q10" s="224"/>
      <c r="R10" s="225"/>
      <c r="S10" s="235" t="s">
        <v>328</v>
      </c>
      <c r="T10" s="228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30"/>
      <c r="AF10" s="228"/>
      <c r="AG10" s="229"/>
      <c r="AH10" s="229"/>
      <c r="AI10" s="229"/>
      <c r="AJ10" s="229"/>
      <c r="AK10" s="229"/>
      <c r="AL10" s="229"/>
      <c r="AM10" s="229"/>
      <c r="AN10" s="229"/>
      <c r="AO10" s="229"/>
      <c r="AP10" s="229"/>
      <c r="AQ10" s="229"/>
      <c r="AR10" s="229"/>
      <c r="AS10" s="229"/>
      <c r="AT10" s="231"/>
      <c r="AU10" s="232"/>
      <c r="AV10" s="229"/>
      <c r="AW10" s="229"/>
      <c r="AX10" s="229"/>
      <c r="AY10" s="229"/>
      <c r="AZ10" s="229"/>
      <c r="BA10" s="229"/>
      <c r="BB10" s="229"/>
      <c r="BC10" s="231"/>
      <c r="BD10" s="8"/>
      <c r="BE10" s="9"/>
      <c r="BF10" s="235" t="s">
        <v>328</v>
      </c>
      <c r="BG10" s="621">
        <v>45762</v>
      </c>
      <c r="BH10" s="622"/>
      <c r="BI10" s="621">
        <v>45762</v>
      </c>
      <c r="BJ10" s="622"/>
      <c r="BK10" s="621">
        <v>45762</v>
      </c>
      <c r="BL10" s="622"/>
      <c r="BM10" s="621">
        <v>45762</v>
      </c>
      <c r="BN10" s="622"/>
      <c r="BO10" s="621"/>
      <c r="BP10" s="622"/>
      <c r="BQ10" s="621"/>
      <c r="BR10" s="622"/>
      <c r="BS10" s="621"/>
      <c r="BT10" s="622"/>
      <c r="BU10" s="14"/>
      <c r="BV10" s="9"/>
      <c r="BW10" s="9"/>
      <c r="BX10" s="9"/>
    </row>
    <row r="11" spans="1:76" ht="32.25" customHeight="1" x14ac:dyDescent="0.4">
      <c r="A11" s="226">
        <v>8</v>
      </c>
      <c r="B11" s="235" t="s">
        <v>329</v>
      </c>
      <c r="C11" s="619"/>
      <c r="D11" s="620"/>
      <c r="E11" s="619"/>
      <c r="F11" s="620"/>
      <c r="G11" s="619"/>
      <c r="H11" s="620"/>
      <c r="I11" s="619"/>
      <c r="J11" s="620"/>
      <c r="K11" s="619"/>
      <c r="L11" s="620"/>
      <c r="M11" s="619"/>
      <c r="N11" s="620"/>
      <c r="O11" s="619"/>
      <c r="P11" s="620"/>
      <c r="Q11" s="224"/>
      <c r="R11" s="225"/>
      <c r="S11" s="235" t="s">
        <v>329</v>
      </c>
      <c r="T11" s="228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30"/>
      <c r="AF11" s="228"/>
      <c r="AG11" s="229"/>
      <c r="AH11" s="229"/>
      <c r="AI11" s="229"/>
      <c r="AJ11" s="229"/>
      <c r="AK11" s="229"/>
      <c r="AL11" s="229"/>
      <c r="AM11" s="229"/>
      <c r="AN11" s="229"/>
      <c r="AO11" s="229"/>
      <c r="AP11" s="229"/>
      <c r="AQ11" s="229"/>
      <c r="AR11" s="229"/>
      <c r="AS11" s="229"/>
      <c r="AT11" s="231"/>
      <c r="AU11" s="232"/>
      <c r="AV11" s="229"/>
      <c r="AW11" s="229"/>
      <c r="AX11" s="229"/>
      <c r="AY11" s="229"/>
      <c r="AZ11" s="229"/>
      <c r="BA11" s="229"/>
      <c r="BB11" s="229"/>
      <c r="BC11" s="231"/>
      <c r="BD11" s="8"/>
      <c r="BE11" s="9"/>
      <c r="BF11" s="235" t="s">
        <v>329</v>
      </c>
      <c r="BG11" s="621">
        <v>45762</v>
      </c>
      <c r="BH11" s="622"/>
      <c r="BI11" s="621">
        <v>45762</v>
      </c>
      <c r="BJ11" s="622"/>
      <c r="BK11" s="621">
        <v>45762</v>
      </c>
      <c r="BL11" s="622"/>
      <c r="BM11" s="621">
        <v>45762</v>
      </c>
      <c r="BN11" s="622"/>
      <c r="BO11" s="621"/>
      <c r="BP11" s="622"/>
      <c r="BQ11" s="621"/>
      <c r="BR11" s="622"/>
      <c r="BS11" s="621"/>
      <c r="BT11" s="622"/>
      <c r="BU11" s="14"/>
      <c r="BV11" s="9"/>
      <c r="BW11" s="9"/>
      <c r="BX11" s="9"/>
    </row>
    <row r="12" spans="1:76" ht="32.25" customHeight="1" x14ac:dyDescent="0.25">
      <c r="A12" s="18"/>
      <c r="B12" s="9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9"/>
      <c r="S12" s="9"/>
      <c r="T12" s="12"/>
      <c r="U12" s="9"/>
      <c r="V12" s="12"/>
      <c r="W12" s="9"/>
      <c r="X12" s="12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W12" s="9"/>
      <c r="BX12" s="9"/>
    </row>
    <row r="13" spans="1:76" ht="32.25" customHeight="1" x14ac:dyDescent="0.25">
      <c r="A13" s="18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14"/>
      <c r="R13" s="9"/>
      <c r="S13" s="9"/>
      <c r="T13" s="12"/>
      <c r="U13" s="9"/>
      <c r="V13" s="12"/>
      <c r="W13" s="9"/>
      <c r="X13" s="12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</row>
    <row r="14" spans="1:76" ht="32.25" customHeight="1" x14ac:dyDescent="0.25">
      <c r="A14" s="18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14"/>
      <c r="R14" s="9"/>
      <c r="S14" s="9"/>
      <c r="T14" s="12"/>
      <c r="U14" s="9"/>
      <c r="V14" s="12"/>
      <c r="W14" s="9"/>
      <c r="X14" s="12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</row>
    <row r="15" spans="1:76" ht="32.25" customHeight="1" x14ac:dyDescent="0.25">
      <c r="A15" s="18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14"/>
      <c r="R15" s="9"/>
      <c r="S15" s="9"/>
      <c r="T15" s="12"/>
      <c r="U15" s="9"/>
      <c r="V15" s="12"/>
      <c r="W15" s="9"/>
      <c r="X15" s="12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</row>
    <row r="16" spans="1:76" ht="32.25" customHeight="1" x14ac:dyDescent="0.25">
      <c r="A16" s="18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14"/>
      <c r="R16" s="9"/>
      <c r="S16" s="9"/>
      <c r="T16" s="12"/>
      <c r="U16" s="9"/>
      <c r="V16" s="12"/>
      <c r="W16" s="9"/>
      <c r="X16" s="12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</row>
    <row r="17" spans="1:76" ht="32.25" customHeight="1" x14ac:dyDescent="0.25">
      <c r="A17" s="18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14"/>
      <c r="R17" s="9"/>
      <c r="S17" s="9"/>
      <c r="T17" s="12"/>
      <c r="U17" s="9"/>
      <c r="V17" s="12"/>
      <c r="W17" s="9"/>
      <c r="X17" s="12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</row>
    <row r="18" spans="1:76" ht="32.25" customHeight="1" x14ac:dyDescent="0.25">
      <c r="A18" s="1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14"/>
      <c r="R18" s="9"/>
      <c r="S18" s="9"/>
      <c r="T18" s="12"/>
      <c r="U18" s="9"/>
      <c r="V18" s="12"/>
      <c r="W18" s="9"/>
      <c r="X18" s="12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</row>
    <row r="19" spans="1:76" ht="32.25" customHeight="1" x14ac:dyDescent="0.25">
      <c r="A19" s="18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14"/>
      <c r="R19" s="9"/>
      <c r="S19" s="9"/>
      <c r="T19" s="12"/>
      <c r="U19" s="9"/>
      <c r="V19" s="12"/>
      <c r="W19" s="9"/>
      <c r="X19" s="12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</row>
    <row r="20" spans="1:76" x14ac:dyDescent="0.25">
      <c r="A20" s="18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14"/>
      <c r="R20" s="9"/>
      <c r="S20" s="9"/>
      <c r="T20" s="12"/>
      <c r="U20" s="9"/>
      <c r="V20" s="12"/>
      <c r="W20" s="9"/>
      <c r="X20" s="12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</row>
    <row r="21" spans="1:76" x14ac:dyDescent="0.25">
      <c r="A21" s="18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14"/>
      <c r="R21" s="9"/>
      <c r="S21" s="9"/>
      <c r="T21" s="12"/>
      <c r="U21" s="9"/>
      <c r="V21" s="12"/>
      <c r="W21" s="9"/>
      <c r="X21" s="12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</row>
    <row r="22" spans="1:76" ht="72" customHeight="1" x14ac:dyDescent="0.25">
      <c r="A22" s="18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14"/>
      <c r="R22" s="9"/>
      <c r="S22" s="9"/>
      <c r="T22" s="12"/>
      <c r="U22" s="9"/>
      <c r="V22" s="12"/>
      <c r="W22" s="9"/>
      <c r="X22" s="12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</row>
    <row r="23" spans="1:76" x14ac:dyDescent="0.25">
      <c r="A23" s="18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14" t="s">
        <v>246</v>
      </c>
      <c r="R23" s="9"/>
      <c r="S23" s="9"/>
      <c r="T23" s="12"/>
      <c r="U23" s="9"/>
      <c r="V23" s="12"/>
      <c r="W23" s="9"/>
      <c r="X23" s="12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7"/>
      <c r="BG23" s="9"/>
      <c r="BH23" s="9"/>
      <c r="BI23" s="9"/>
      <c r="BJ23" s="12"/>
      <c r="BK23" s="7"/>
      <c r="BL23" s="7"/>
      <c r="BM23" s="9"/>
      <c r="BN23" s="9"/>
      <c r="BO23" s="9"/>
      <c r="BP23" s="9"/>
      <c r="BQ23" s="9"/>
      <c r="BR23" s="9"/>
      <c r="BS23" s="9"/>
      <c r="BT23" s="9"/>
      <c r="BU23" s="14"/>
      <c r="BV23" s="9"/>
      <c r="BW23" s="9"/>
      <c r="BX23" s="9"/>
    </row>
    <row r="24" spans="1:76" x14ac:dyDescent="0.25">
      <c r="A24" s="1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14"/>
      <c r="R24" s="9"/>
      <c r="S24" s="9"/>
      <c r="T24" s="12"/>
      <c r="U24" s="9"/>
      <c r="V24" s="12"/>
      <c r="W24" s="9"/>
      <c r="X24" s="12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12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14"/>
      <c r="BV24" s="9"/>
      <c r="BW24" s="9"/>
      <c r="BX24" s="9"/>
    </row>
    <row r="25" spans="1:76" x14ac:dyDescent="0.25">
      <c r="A25" s="18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14"/>
      <c r="R25" s="9"/>
      <c r="S25" s="9"/>
      <c r="T25" s="12"/>
      <c r="U25" s="9"/>
      <c r="V25" s="12"/>
      <c r="W25" s="9"/>
      <c r="X25" s="12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12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14"/>
      <c r="BV25" s="9"/>
      <c r="BW25" s="9"/>
      <c r="BX25" s="9"/>
    </row>
    <row r="26" spans="1:76" x14ac:dyDescent="0.25">
      <c r="A26" s="18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14"/>
      <c r="R26" s="9"/>
      <c r="S26" s="9"/>
      <c r="T26" s="12"/>
      <c r="U26" s="9"/>
      <c r="V26" s="12"/>
      <c r="W26" s="9"/>
      <c r="X26" s="12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12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14"/>
      <c r="BV26" s="9"/>
      <c r="BW26" s="9"/>
      <c r="BX26" s="9"/>
    </row>
    <row r="27" spans="1:76" x14ac:dyDescent="0.25">
      <c r="A27" s="18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4"/>
      <c r="R27" s="9"/>
      <c r="S27" s="9"/>
      <c r="T27" s="12"/>
      <c r="U27" s="9"/>
      <c r="V27" s="12"/>
      <c r="W27" s="9"/>
      <c r="X27" s="12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12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14"/>
      <c r="BV27" s="9"/>
      <c r="BW27" s="9"/>
      <c r="BX27" s="9"/>
    </row>
    <row r="28" spans="1:76" x14ac:dyDescent="0.25">
      <c r="A28" s="18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14"/>
      <c r="R28" s="9"/>
      <c r="S28" s="9"/>
      <c r="T28" s="12"/>
      <c r="U28" s="9"/>
      <c r="V28" s="12"/>
      <c r="W28" s="9"/>
      <c r="X28" s="1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12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14"/>
      <c r="BV28" s="9"/>
      <c r="BW28" s="9"/>
      <c r="BX28" s="9"/>
    </row>
    <row r="29" spans="1:76" x14ac:dyDescent="0.25">
      <c r="A29" s="18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213"/>
      <c r="BV29" s="10"/>
      <c r="BW29" s="10"/>
      <c r="BX29" s="10"/>
    </row>
    <row r="30" spans="1:76" x14ac:dyDescent="0.25">
      <c r="A30" s="18"/>
    </row>
    <row r="31" spans="1:76" x14ac:dyDescent="0.25">
      <c r="A31" s="18"/>
    </row>
  </sheetData>
  <sheetProtection algorithmName="SHA-512" hashValue="MaT4V9o3UL4V+4RkMUNMUvBhaMlULuJpgIxDpCgKQhWn7SiSRhyM2tJXdll7mpUn/3Ww0bg7tzXLZM78avguNA==" saltValue="iePm+TVKNAA8qsW9G3jkfA==" spinCount="100000" sheet="1" objects="1" scenarios="1"/>
  <mergeCells count="178">
    <mergeCell ref="BK11:BL11"/>
    <mergeCell ref="BM11:BN11"/>
    <mergeCell ref="BO11:BP11"/>
    <mergeCell ref="BQ11:BR11"/>
    <mergeCell ref="BS11:BT11"/>
    <mergeCell ref="C10:D10"/>
    <mergeCell ref="E10:F10"/>
    <mergeCell ref="G10:H10"/>
    <mergeCell ref="I10:J10"/>
    <mergeCell ref="K10:L10"/>
    <mergeCell ref="C11:D11"/>
    <mergeCell ref="E11:F11"/>
    <mergeCell ref="G11:H11"/>
    <mergeCell ref="I11:J11"/>
    <mergeCell ref="K11:L11"/>
    <mergeCell ref="M11:N11"/>
    <mergeCell ref="O11:P11"/>
    <mergeCell ref="BG11:BH11"/>
    <mergeCell ref="BI11:BJ11"/>
    <mergeCell ref="M10:N10"/>
    <mergeCell ref="O10:P10"/>
    <mergeCell ref="BG10:BH10"/>
    <mergeCell ref="BI10:BJ10"/>
    <mergeCell ref="BK10:BL10"/>
    <mergeCell ref="BK8:BL8"/>
    <mergeCell ref="BM8:BN8"/>
    <mergeCell ref="BO8:BP8"/>
    <mergeCell ref="BQ8:BR8"/>
    <mergeCell ref="BS8:BT8"/>
    <mergeCell ref="BK9:BL9"/>
    <mergeCell ref="BM9:BN9"/>
    <mergeCell ref="BO9:BP9"/>
    <mergeCell ref="BQ9:BR9"/>
    <mergeCell ref="BS9:BT9"/>
    <mergeCell ref="BM10:BN10"/>
    <mergeCell ref="BO10:BP10"/>
    <mergeCell ref="BQ10:BR10"/>
    <mergeCell ref="BS10:BT10"/>
    <mergeCell ref="C9:D9"/>
    <mergeCell ref="E9:F9"/>
    <mergeCell ref="G9:H9"/>
    <mergeCell ref="I9:J9"/>
    <mergeCell ref="K9:L9"/>
    <mergeCell ref="M9:N9"/>
    <mergeCell ref="O9:P9"/>
    <mergeCell ref="BG9:BH9"/>
    <mergeCell ref="BI9:BJ9"/>
    <mergeCell ref="C8:D8"/>
    <mergeCell ref="E8:F8"/>
    <mergeCell ref="G8:H8"/>
    <mergeCell ref="I8:J8"/>
    <mergeCell ref="K8:L8"/>
    <mergeCell ref="M8:N8"/>
    <mergeCell ref="O8:P8"/>
    <mergeCell ref="BG8:BH8"/>
    <mergeCell ref="BI8:BJ8"/>
    <mergeCell ref="BK7:BL7"/>
    <mergeCell ref="BM7:BN7"/>
    <mergeCell ref="BO7:BP7"/>
    <mergeCell ref="BQ7:BR7"/>
    <mergeCell ref="BS7:BT7"/>
    <mergeCell ref="C6:D6"/>
    <mergeCell ref="E6:F6"/>
    <mergeCell ref="G6:H6"/>
    <mergeCell ref="I6:J6"/>
    <mergeCell ref="K6:L6"/>
    <mergeCell ref="C7:D7"/>
    <mergeCell ref="E7:F7"/>
    <mergeCell ref="G7:H7"/>
    <mergeCell ref="I7:J7"/>
    <mergeCell ref="K7:L7"/>
    <mergeCell ref="M7:N7"/>
    <mergeCell ref="O7:P7"/>
    <mergeCell ref="BG7:BH7"/>
    <mergeCell ref="BI7:BJ7"/>
    <mergeCell ref="M6:N6"/>
    <mergeCell ref="O6:P6"/>
    <mergeCell ref="BG6:BH6"/>
    <mergeCell ref="BI6:BJ6"/>
    <mergeCell ref="BK6:BL6"/>
    <mergeCell ref="BK4:BL4"/>
    <mergeCell ref="BM4:BN4"/>
    <mergeCell ref="BO4:BP4"/>
    <mergeCell ref="BQ4:BR4"/>
    <mergeCell ref="BS4:BT4"/>
    <mergeCell ref="BK5:BL5"/>
    <mergeCell ref="BM5:BN5"/>
    <mergeCell ref="BO5:BP5"/>
    <mergeCell ref="BQ5:BR5"/>
    <mergeCell ref="BS5:BT5"/>
    <mergeCell ref="BM6:BN6"/>
    <mergeCell ref="BO6:BP6"/>
    <mergeCell ref="BQ6:BR6"/>
    <mergeCell ref="BS6:BT6"/>
    <mergeCell ref="C5:D5"/>
    <mergeCell ref="E5:F5"/>
    <mergeCell ref="G5:H5"/>
    <mergeCell ref="I5:J5"/>
    <mergeCell ref="K5:L5"/>
    <mergeCell ref="M5:N5"/>
    <mergeCell ref="O5:P5"/>
    <mergeCell ref="BG5:BH5"/>
    <mergeCell ref="BI5:BJ5"/>
    <mergeCell ref="C4:D4"/>
    <mergeCell ref="E4:F4"/>
    <mergeCell ref="G4:H4"/>
    <mergeCell ref="I4:J4"/>
    <mergeCell ref="K4:L4"/>
    <mergeCell ref="M4:N4"/>
    <mergeCell ref="O4:P4"/>
    <mergeCell ref="BG4:BH4"/>
    <mergeCell ref="BI4:BJ4"/>
    <mergeCell ref="AD1:AD2"/>
    <mergeCell ref="O1:P1"/>
    <mergeCell ref="T1:T2"/>
    <mergeCell ref="U1:U2"/>
    <mergeCell ref="V1:V2"/>
    <mergeCell ref="W1:W2"/>
    <mergeCell ref="Y1:Y2"/>
    <mergeCell ref="Z1:Z2"/>
    <mergeCell ref="AA1:AA2"/>
    <mergeCell ref="AB1:AB2"/>
    <mergeCell ref="AC1:AC2"/>
    <mergeCell ref="G1:H1"/>
    <mergeCell ref="I1:J1"/>
    <mergeCell ref="K1:L1"/>
    <mergeCell ref="M1:N1"/>
    <mergeCell ref="X1:X2"/>
    <mergeCell ref="B2:B3"/>
    <mergeCell ref="C2:D3"/>
    <mergeCell ref="E2:F3"/>
    <mergeCell ref="G2:H3"/>
    <mergeCell ref="I2:J3"/>
    <mergeCell ref="K2:L3"/>
    <mergeCell ref="C1:D1"/>
    <mergeCell ref="E1:F1"/>
    <mergeCell ref="AW1:AW2"/>
    <mergeCell ref="AX1:AX2"/>
    <mergeCell ref="AY1:AY2"/>
    <mergeCell ref="AQ1:AQ2"/>
    <mergeCell ref="AR1:AR2"/>
    <mergeCell ref="AS1:AS2"/>
    <mergeCell ref="AT1:AT2"/>
    <mergeCell ref="AU1:AU2"/>
    <mergeCell ref="AV1:AV2"/>
    <mergeCell ref="AK1:AK2"/>
    <mergeCell ref="AL1:AL2"/>
    <mergeCell ref="AM1:AM2"/>
    <mergeCell ref="AN1:AN2"/>
    <mergeCell ref="AO1:AO2"/>
    <mergeCell ref="AP1:AP2"/>
    <mergeCell ref="AE1:AE2"/>
    <mergeCell ref="AF1:AF2"/>
    <mergeCell ref="AG1:AG2"/>
    <mergeCell ref="BK2:BL3"/>
    <mergeCell ref="BM2:BN3"/>
    <mergeCell ref="BO2:BP3"/>
    <mergeCell ref="BQ2:BR3"/>
    <mergeCell ref="BS2:BT3"/>
    <mergeCell ref="T3:AE3"/>
    <mergeCell ref="AF3:AT3"/>
    <mergeCell ref="AU3:BC3"/>
    <mergeCell ref="M2:N3"/>
    <mergeCell ref="O2:P3"/>
    <mergeCell ref="S2:S3"/>
    <mergeCell ref="BF2:BF3"/>
    <mergeCell ref="BG2:BH3"/>
    <mergeCell ref="BI2:BJ3"/>
    <mergeCell ref="BC1:BC2"/>
    <mergeCell ref="BG1:BJ1"/>
    <mergeCell ref="BK1:BN1"/>
    <mergeCell ref="BO1:BT1"/>
    <mergeCell ref="AZ1:AZ2"/>
    <mergeCell ref="BA1:BA2"/>
    <mergeCell ref="BB1:BB2"/>
    <mergeCell ref="AH1:AH2"/>
    <mergeCell ref="AI1:AI2"/>
    <mergeCell ref="AJ1:AJ2"/>
  </mergeCells>
  <phoneticPr fontId="6" type="noConversion"/>
  <conditionalFormatting sqref="BG4:BJ4">
    <cfRule type="expression" dxfId="31" priority="31">
      <formula>TODAY() - BG4 &gt; 165</formula>
    </cfRule>
    <cfRule type="expression" dxfId="30" priority="32">
      <formula>AND(TODAY() - BG4 &gt; 150, TODAY() - BG4 &lt;= 165)</formula>
    </cfRule>
  </conditionalFormatting>
  <conditionalFormatting sqref="BK4:BN4">
    <cfRule type="expression" dxfId="29" priority="29">
      <formula>TODAY() - BK4 &gt; 345</formula>
    </cfRule>
    <cfRule type="expression" dxfId="28" priority="30">
      <formula>AND(TODAY() - BK4 &gt; 315, TODAY() - BK4 &lt;= 345)</formula>
    </cfRule>
  </conditionalFormatting>
  <conditionalFormatting sqref="BG5:BJ5">
    <cfRule type="expression" dxfId="27" priority="27">
      <formula>TODAY() - BG5 &gt; 165</formula>
    </cfRule>
    <cfRule type="expression" dxfId="26" priority="28">
      <formula>AND(TODAY() - BG5 &gt; 150, TODAY() - BG5 &lt;= 165)</formula>
    </cfRule>
  </conditionalFormatting>
  <conditionalFormatting sqref="BK5:BN5">
    <cfRule type="expression" dxfId="25" priority="25">
      <formula>TODAY() - BK5 &gt; 345</formula>
    </cfRule>
    <cfRule type="expression" dxfId="24" priority="26">
      <formula>AND(TODAY() - BK5 &gt; 315, TODAY() - BK5 &lt;= 345)</formula>
    </cfRule>
  </conditionalFormatting>
  <conditionalFormatting sqref="BG6:BJ6">
    <cfRule type="expression" dxfId="23" priority="23">
      <formula>TODAY() - BG6 &gt; 165</formula>
    </cfRule>
    <cfRule type="expression" dxfId="22" priority="24">
      <formula>AND(TODAY() - BG6 &gt; 150, TODAY() - BG6 &lt;= 165)</formula>
    </cfRule>
  </conditionalFormatting>
  <conditionalFormatting sqref="BK6:BN6">
    <cfRule type="expression" dxfId="21" priority="21">
      <formula>TODAY() - BK6 &gt; 345</formula>
    </cfRule>
    <cfRule type="expression" dxfId="20" priority="22">
      <formula>AND(TODAY() - BK6 &gt; 315, TODAY() - BK6 &lt;= 345)</formula>
    </cfRule>
  </conditionalFormatting>
  <conditionalFormatting sqref="BG7:BJ7">
    <cfRule type="expression" dxfId="19" priority="19">
      <formula>TODAY() - BG7 &gt; 165</formula>
    </cfRule>
    <cfRule type="expression" dxfId="18" priority="20">
      <formula>AND(TODAY() - BG7 &gt; 150, TODAY() - BG7 &lt;= 165)</formula>
    </cfRule>
  </conditionalFormatting>
  <conditionalFormatting sqref="BK7:BN7">
    <cfRule type="expression" dxfId="17" priority="17">
      <formula>TODAY() - BK7 &gt; 345</formula>
    </cfRule>
    <cfRule type="expression" dxfId="16" priority="18">
      <formula>AND(TODAY() - BK7 &gt; 315, TODAY() - BK7 &lt;= 345)</formula>
    </cfRule>
  </conditionalFormatting>
  <conditionalFormatting sqref="BG8:BJ8">
    <cfRule type="expression" dxfId="15" priority="15">
      <formula>TODAY() - BG8 &gt; 165</formula>
    </cfRule>
    <cfRule type="expression" dxfId="14" priority="16">
      <formula>AND(TODAY() - BG8 &gt; 150, TODAY() - BG8 &lt;= 165)</formula>
    </cfRule>
  </conditionalFormatting>
  <conditionalFormatting sqref="BK8:BN8">
    <cfRule type="expression" dxfId="13" priority="13">
      <formula>TODAY() - BK8 &gt; 345</formula>
    </cfRule>
    <cfRule type="expression" dxfId="12" priority="14">
      <formula>AND(TODAY() - BK8 &gt; 315, TODAY() - BK8 &lt;= 345)</formula>
    </cfRule>
  </conditionalFormatting>
  <conditionalFormatting sqref="BG9:BJ9">
    <cfRule type="expression" dxfId="11" priority="11">
      <formula>TODAY() - BG9 &gt; 165</formula>
    </cfRule>
    <cfRule type="expression" dxfId="10" priority="12">
      <formula>AND(TODAY() - BG9 &gt; 150, TODAY() - BG9 &lt;= 165)</formula>
    </cfRule>
  </conditionalFormatting>
  <conditionalFormatting sqref="BK9:BN9">
    <cfRule type="expression" dxfId="9" priority="9">
      <formula>TODAY() - BK9 &gt; 345</formula>
    </cfRule>
    <cfRule type="expression" dxfId="8" priority="10">
      <formula>AND(TODAY() - BK9 &gt; 315, TODAY() - BK9 &lt;= 345)</formula>
    </cfRule>
  </conditionalFormatting>
  <conditionalFormatting sqref="BG10:BJ10">
    <cfRule type="expression" dxfId="7" priority="7">
      <formula>TODAY() - BG10 &gt; 165</formula>
    </cfRule>
    <cfRule type="expression" dxfId="6" priority="8">
      <formula>AND(TODAY() - BG10 &gt; 150, TODAY() - BG10 &lt;= 165)</formula>
    </cfRule>
  </conditionalFormatting>
  <conditionalFormatting sqref="BK10:BN10">
    <cfRule type="expression" dxfId="5" priority="5">
      <formula>TODAY() - BK10 &gt; 345</formula>
    </cfRule>
    <cfRule type="expression" dxfId="4" priority="6">
      <formula>AND(TODAY() - BK10 &gt; 315, TODAY() - BK10 &lt;= 345)</formula>
    </cfRule>
  </conditionalFormatting>
  <conditionalFormatting sqref="BG11:BJ11">
    <cfRule type="expression" dxfId="3" priority="3">
      <formula>TODAY() - BG11 &gt; 165</formula>
    </cfRule>
    <cfRule type="expression" dxfId="2" priority="4">
      <formula>AND(TODAY() - BG11 &gt; 150, TODAY() - BG11 &lt;= 165)</formula>
    </cfRule>
  </conditionalFormatting>
  <conditionalFormatting sqref="BK11:BN11">
    <cfRule type="expression" dxfId="1" priority="1">
      <formula>TODAY() - BK11 &gt; 345</formula>
    </cfRule>
    <cfRule type="expression" dxfId="0" priority="2">
      <formula>AND(TODAY() - BK11 &gt; 315, TODAY() - BK11 &lt;= 345)</formula>
    </cfRule>
  </conditionalFormatting>
  <printOptions horizontalCentered="1" verticalCentered="1"/>
  <pageMargins left="3.937007874015748E-2" right="3.937007874015748E-2" top="0.74803149606299213" bottom="0.74803149606299213" header="0.31496062992125984" footer="0.31496062992125984"/>
  <pageSetup paperSize="9" scale="33" orientation="landscape" horizontalDpi="360" verticalDpi="36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3674E-0A7F-4227-9286-7E65F86489E7}">
  <sheetPr codeName="DatabaseWorkersManager">
    <tabColor rgb="FFFFC000"/>
  </sheetPr>
  <dimension ref="A1:AO221"/>
  <sheetViews>
    <sheetView zoomScaleNormal="100" workbookViewId="0">
      <selection activeCell="G19" sqref="G19"/>
    </sheetView>
  </sheetViews>
  <sheetFormatPr defaultRowHeight="15" x14ac:dyDescent="0.25"/>
  <cols>
    <col min="2" max="2" width="26.7109375" customWidth="1"/>
    <col min="3" max="3" width="26.85546875" customWidth="1"/>
    <col min="4" max="4" width="19.28515625" customWidth="1"/>
    <col min="5" max="7" width="11.85546875" customWidth="1"/>
    <col min="9" max="15" width="5.140625" customWidth="1"/>
    <col min="17" max="23" width="5.140625" customWidth="1"/>
    <col min="25" max="31" width="5.140625" customWidth="1"/>
    <col min="32" max="32" width="9.140625" customWidth="1"/>
    <col min="33" max="33" width="10.140625" hidden="1" customWidth="1"/>
    <col min="34" max="34" width="9.5703125" hidden="1" customWidth="1"/>
  </cols>
  <sheetData>
    <row r="1" spans="1:41" ht="40.5" customHeight="1" x14ac:dyDescent="0.25">
      <c r="A1" s="565" t="s">
        <v>270</v>
      </c>
      <c r="B1" s="565"/>
      <c r="C1" s="565"/>
      <c r="D1" s="565"/>
      <c r="E1" s="565"/>
      <c r="F1" s="565"/>
      <c r="G1" s="565"/>
      <c r="I1" s="566" t="s">
        <v>264</v>
      </c>
      <c r="J1" s="567"/>
      <c r="K1" s="567"/>
      <c r="L1" s="567"/>
      <c r="M1" s="567"/>
      <c r="N1" s="567"/>
      <c r="O1" s="568"/>
      <c r="Q1" s="565" t="s">
        <v>265</v>
      </c>
      <c r="R1" s="565"/>
      <c r="S1" s="565"/>
      <c r="T1" s="565"/>
      <c r="U1" s="565"/>
      <c r="V1" s="565"/>
      <c r="W1" s="565"/>
      <c r="Y1" s="566" t="s">
        <v>256</v>
      </c>
      <c r="Z1" s="567"/>
      <c r="AA1" s="567"/>
      <c r="AB1" s="567"/>
      <c r="AC1" s="567"/>
      <c r="AD1" s="567"/>
      <c r="AE1" s="568"/>
    </row>
    <row r="2" spans="1:41" ht="15" customHeight="1" x14ac:dyDescent="0.25">
      <c r="A2" s="205" t="s">
        <v>262</v>
      </c>
      <c r="B2" s="205" t="s">
        <v>214</v>
      </c>
      <c r="C2" s="205" t="s">
        <v>215</v>
      </c>
      <c r="D2" s="205" t="s">
        <v>208</v>
      </c>
      <c r="E2" s="205" t="s">
        <v>264</v>
      </c>
      <c r="F2" s="205" t="s">
        <v>265</v>
      </c>
      <c r="G2" s="205" t="s">
        <v>256</v>
      </c>
      <c r="I2" s="205" t="s">
        <v>186</v>
      </c>
      <c r="J2" s="205" t="s">
        <v>185</v>
      </c>
      <c r="K2" s="205" t="s">
        <v>187</v>
      </c>
      <c r="L2" s="205" t="s">
        <v>188</v>
      </c>
      <c r="M2" s="205" t="s">
        <v>189</v>
      </c>
      <c r="N2" s="205" t="s">
        <v>190</v>
      </c>
      <c r="O2" s="205" t="s">
        <v>191</v>
      </c>
      <c r="Q2" s="205" t="s">
        <v>186</v>
      </c>
      <c r="R2" s="205" t="s">
        <v>185</v>
      </c>
      <c r="S2" s="205" t="s">
        <v>187</v>
      </c>
      <c r="T2" s="205" t="s">
        <v>188</v>
      </c>
      <c r="U2" s="205" t="s">
        <v>189</v>
      </c>
      <c r="V2" s="205" t="s">
        <v>190</v>
      </c>
      <c r="W2" s="205" t="s">
        <v>191</v>
      </c>
      <c r="Y2" s="205" t="s">
        <v>186</v>
      </c>
      <c r="Z2" s="205" t="s">
        <v>185</v>
      </c>
      <c r="AA2" s="205" t="s">
        <v>187</v>
      </c>
      <c r="AB2" s="205" t="s">
        <v>188</v>
      </c>
      <c r="AC2" s="205" t="s">
        <v>189</v>
      </c>
      <c r="AD2" s="205" t="s">
        <v>190</v>
      </c>
      <c r="AE2" s="205" t="s">
        <v>191</v>
      </c>
    </row>
    <row r="3" spans="1:41" x14ac:dyDescent="0.25">
      <c r="A3" s="203" t="s">
        <v>266</v>
      </c>
      <c r="B3" s="203" t="s">
        <v>322</v>
      </c>
      <c r="C3" s="203" t="s">
        <v>322</v>
      </c>
      <c r="D3" s="203">
        <v>40</v>
      </c>
      <c r="E3" s="203" t="s">
        <v>289</v>
      </c>
      <c r="F3" s="203" t="s">
        <v>266</v>
      </c>
      <c r="G3" s="203" t="s">
        <v>266</v>
      </c>
      <c r="I3" s="203" t="s">
        <v>289</v>
      </c>
      <c r="J3" s="203" t="s">
        <v>289</v>
      </c>
      <c r="K3" s="203" t="s">
        <v>289</v>
      </c>
      <c r="L3" s="203" t="s">
        <v>289</v>
      </c>
      <c r="M3" s="203" t="s">
        <v>289</v>
      </c>
      <c r="N3" s="203" t="s">
        <v>289</v>
      </c>
      <c r="O3" s="203" t="s">
        <v>289</v>
      </c>
      <c r="Q3" s="203" t="s">
        <v>266</v>
      </c>
      <c r="R3" s="203" t="s">
        <v>266</v>
      </c>
      <c r="S3" s="203" t="s">
        <v>266</v>
      </c>
      <c r="T3" s="203" t="s">
        <v>266</v>
      </c>
      <c r="U3" s="203" t="s">
        <v>266</v>
      </c>
      <c r="V3" s="203" t="s">
        <v>266</v>
      </c>
      <c r="W3" s="203" t="s">
        <v>266</v>
      </c>
      <c r="Y3" s="203" t="s">
        <v>266</v>
      </c>
      <c r="Z3" s="203" t="s">
        <v>266</v>
      </c>
      <c r="AA3" s="203" t="s">
        <v>266</v>
      </c>
      <c r="AB3" s="203" t="s">
        <v>266</v>
      </c>
      <c r="AC3" s="203" t="s">
        <v>266</v>
      </c>
      <c r="AD3" s="203" t="s">
        <v>266</v>
      </c>
      <c r="AE3" s="203" t="s">
        <v>266</v>
      </c>
      <c r="AG3">
        <v>0</v>
      </c>
      <c r="AH3">
        <v>0</v>
      </c>
    </row>
    <row r="4" spans="1:41" x14ac:dyDescent="0.25">
      <c r="A4" s="203" t="s">
        <v>266</v>
      </c>
      <c r="B4" s="203" t="s">
        <v>323</v>
      </c>
      <c r="C4" s="203" t="s">
        <v>323</v>
      </c>
      <c r="D4" s="203">
        <v>36</v>
      </c>
      <c r="E4" s="203" t="s">
        <v>266</v>
      </c>
      <c r="F4" s="203" t="s">
        <v>266</v>
      </c>
      <c r="G4" s="203" t="s">
        <v>266</v>
      </c>
      <c r="I4" s="203" t="s">
        <v>266</v>
      </c>
      <c r="J4" s="203" t="s">
        <v>266</v>
      </c>
      <c r="K4" s="203" t="s">
        <v>266</v>
      </c>
      <c r="L4" s="203" t="s">
        <v>266</v>
      </c>
      <c r="M4" s="203" t="s">
        <v>266</v>
      </c>
      <c r="N4" s="203" t="s">
        <v>266</v>
      </c>
      <c r="O4" s="203" t="s">
        <v>266</v>
      </c>
      <c r="Q4" s="203" t="s">
        <v>266</v>
      </c>
      <c r="R4" s="203" t="s">
        <v>266</v>
      </c>
      <c r="S4" s="203" t="s">
        <v>266</v>
      </c>
      <c r="T4" s="203" t="s">
        <v>266</v>
      </c>
      <c r="U4" s="203" t="s">
        <v>266</v>
      </c>
      <c r="V4" s="203" t="s">
        <v>266</v>
      </c>
      <c r="W4" s="203" t="s">
        <v>266</v>
      </c>
      <c r="Y4" s="203" t="s">
        <v>266</v>
      </c>
      <c r="Z4" s="203" t="s">
        <v>266</v>
      </c>
      <c r="AA4" s="203" t="s">
        <v>266</v>
      </c>
      <c r="AB4" s="203" t="s">
        <v>266</v>
      </c>
      <c r="AC4" s="203" t="s">
        <v>266</v>
      </c>
      <c r="AD4" s="203" t="s">
        <v>266</v>
      </c>
      <c r="AE4" s="203" t="s">
        <v>266</v>
      </c>
      <c r="AG4">
        <v>0</v>
      </c>
      <c r="AH4">
        <v>0</v>
      </c>
    </row>
    <row r="5" spans="1:41" x14ac:dyDescent="0.25">
      <c r="A5" s="203" t="s">
        <v>266</v>
      </c>
      <c r="B5" s="203" t="s">
        <v>324</v>
      </c>
      <c r="C5" s="203" t="s">
        <v>324</v>
      </c>
      <c r="D5" s="203">
        <v>36</v>
      </c>
      <c r="E5" s="203" t="s">
        <v>266</v>
      </c>
      <c r="F5" s="203" t="s">
        <v>266</v>
      </c>
      <c r="G5" s="203" t="s">
        <v>266</v>
      </c>
      <c r="I5" s="203" t="s">
        <v>266</v>
      </c>
      <c r="J5" s="203" t="s">
        <v>266</v>
      </c>
      <c r="K5" s="203" t="s">
        <v>266</v>
      </c>
      <c r="L5" s="203" t="s">
        <v>266</v>
      </c>
      <c r="M5" s="203" t="s">
        <v>266</v>
      </c>
      <c r="N5" s="203" t="s">
        <v>266</v>
      </c>
      <c r="O5" s="203" t="s">
        <v>266</v>
      </c>
      <c r="Q5" s="203" t="s">
        <v>266</v>
      </c>
      <c r="R5" s="203" t="s">
        <v>266</v>
      </c>
      <c r="S5" s="203" t="s">
        <v>266</v>
      </c>
      <c r="T5" s="203" t="s">
        <v>266</v>
      </c>
      <c r="U5" s="203" t="s">
        <v>266</v>
      </c>
      <c r="V5" s="203" t="s">
        <v>266</v>
      </c>
      <c r="W5" s="203" t="s">
        <v>266</v>
      </c>
      <c r="Y5" s="203" t="s">
        <v>266</v>
      </c>
      <c r="Z5" s="203" t="s">
        <v>266</v>
      </c>
      <c r="AA5" s="203" t="s">
        <v>266</v>
      </c>
      <c r="AB5" s="203" t="s">
        <v>266</v>
      </c>
      <c r="AC5" s="203" t="s">
        <v>266</v>
      </c>
      <c r="AD5" s="203" t="s">
        <v>266</v>
      </c>
      <c r="AE5" s="203" t="s">
        <v>266</v>
      </c>
      <c r="AG5">
        <v>0</v>
      </c>
      <c r="AH5">
        <v>0</v>
      </c>
    </row>
    <row r="6" spans="1:41" x14ac:dyDescent="0.25">
      <c r="A6" s="203" t="s">
        <v>266</v>
      </c>
      <c r="B6" s="203" t="s">
        <v>325</v>
      </c>
      <c r="C6" s="203" t="s">
        <v>325</v>
      </c>
      <c r="D6" s="203">
        <v>36</v>
      </c>
      <c r="E6" s="203" t="s">
        <v>266</v>
      </c>
      <c r="F6" s="203" t="s">
        <v>266</v>
      </c>
      <c r="G6" s="203" t="s">
        <v>266</v>
      </c>
      <c r="I6" s="203" t="s">
        <v>266</v>
      </c>
      <c r="J6" s="203" t="s">
        <v>266</v>
      </c>
      <c r="K6" s="203" t="s">
        <v>266</v>
      </c>
      <c r="L6" s="203" t="s">
        <v>266</v>
      </c>
      <c r="M6" s="203" t="s">
        <v>266</v>
      </c>
      <c r="N6" s="203" t="s">
        <v>266</v>
      </c>
      <c r="O6" s="203" t="s">
        <v>266</v>
      </c>
      <c r="Q6" s="203" t="s">
        <v>266</v>
      </c>
      <c r="R6" s="203" t="s">
        <v>266</v>
      </c>
      <c r="S6" s="203" t="s">
        <v>266</v>
      </c>
      <c r="T6" s="203" t="s">
        <v>266</v>
      </c>
      <c r="U6" s="203" t="s">
        <v>266</v>
      </c>
      <c r="V6" s="203" t="s">
        <v>266</v>
      </c>
      <c r="W6" s="203" t="s">
        <v>266</v>
      </c>
      <c r="Y6" s="203" t="s">
        <v>266</v>
      </c>
      <c r="Z6" s="203" t="s">
        <v>266</v>
      </c>
      <c r="AA6" s="203" t="s">
        <v>266</v>
      </c>
      <c r="AB6" s="203" t="s">
        <v>266</v>
      </c>
      <c r="AC6" s="203" t="s">
        <v>266</v>
      </c>
      <c r="AD6" s="203" t="s">
        <v>266</v>
      </c>
      <c r="AE6" s="203" t="s">
        <v>266</v>
      </c>
      <c r="AG6">
        <v>0</v>
      </c>
      <c r="AH6">
        <v>0</v>
      </c>
    </row>
    <row r="7" spans="1:41" x14ac:dyDescent="0.25">
      <c r="A7" s="203" t="s">
        <v>266</v>
      </c>
      <c r="B7" s="203" t="s">
        <v>326</v>
      </c>
      <c r="C7" s="203" t="s">
        <v>326</v>
      </c>
      <c r="D7" s="203">
        <v>36</v>
      </c>
      <c r="E7" s="203" t="s">
        <v>289</v>
      </c>
      <c r="F7" s="203" t="s">
        <v>266</v>
      </c>
      <c r="G7" s="203" t="s">
        <v>266</v>
      </c>
      <c r="I7" s="203" t="s">
        <v>289</v>
      </c>
      <c r="J7" s="203" t="s">
        <v>289</v>
      </c>
      <c r="K7" s="203" t="s">
        <v>289</v>
      </c>
      <c r="L7" s="203" t="s">
        <v>289</v>
      </c>
      <c r="M7" s="203" t="s">
        <v>289</v>
      </c>
      <c r="N7" s="203" t="s">
        <v>289</v>
      </c>
      <c r="O7" s="203" t="s">
        <v>289</v>
      </c>
      <c r="Q7" s="203" t="s">
        <v>266</v>
      </c>
      <c r="R7" s="203" t="s">
        <v>266</v>
      </c>
      <c r="S7" s="203" t="s">
        <v>266</v>
      </c>
      <c r="T7" s="203" t="s">
        <v>266</v>
      </c>
      <c r="U7" s="203" t="s">
        <v>266</v>
      </c>
      <c r="V7" s="203" t="s">
        <v>266</v>
      </c>
      <c r="W7" s="203" t="s">
        <v>266</v>
      </c>
      <c r="Y7" s="203" t="s">
        <v>266</v>
      </c>
      <c r="Z7" s="203" t="s">
        <v>266</v>
      </c>
      <c r="AA7" s="203" t="s">
        <v>266</v>
      </c>
      <c r="AB7" s="203" t="s">
        <v>266</v>
      </c>
      <c r="AC7" s="203" t="s">
        <v>266</v>
      </c>
      <c r="AD7" s="203" t="s">
        <v>266</v>
      </c>
      <c r="AE7" s="203" t="s">
        <v>266</v>
      </c>
      <c r="AG7">
        <v>0</v>
      </c>
      <c r="AH7">
        <v>0</v>
      </c>
    </row>
    <row r="8" spans="1:41" x14ac:dyDescent="0.25">
      <c r="A8" s="203" t="s">
        <v>266</v>
      </c>
      <c r="B8" s="203" t="s">
        <v>327</v>
      </c>
      <c r="C8" s="203" t="s">
        <v>327</v>
      </c>
      <c r="D8" s="203">
        <v>30</v>
      </c>
      <c r="E8" s="203" t="s">
        <v>266</v>
      </c>
      <c r="F8" s="203" t="s">
        <v>266</v>
      </c>
      <c r="G8" s="203" t="s">
        <v>266</v>
      </c>
      <c r="I8" s="203" t="s">
        <v>266</v>
      </c>
      <c r="J8" s="203" t="s">
        <v>266</v>
      </c>
      <c r="K8" s="203" t="s">
        <v>266</v>
      </c>
      <c r="L8" s="203" t="s">
        <v>266</v>
      </c>
      <c r="M8" s="203" t="s">
        <v>266</v>
      </c>
      <c r="N8" s="203" t="s">
        <v>266</v>
      </c>
      <c r="O8" s="203" t="s">
        <v>266</v>
      </c>
      <c r="Q8" s="203" t="s">
        <v>266</v>
      </c>
      <c r="R8" s="203" t="s">
        <v>266</v>
      </c>
      <c r="S8" s="203" t="s">
        <v>266</v>
      </c>
      <c r="T8" s="203" t="s">
        <v>266</v>
      </c>
      <c r="U8" s="203" t="s">
        <v>266</v>
      </c>
      <c r="V8" s="203" t="s">
        <v>266</v>
      </c>
      <c r="W8" s="203" t="s">
        <v>266</v>
      </c>
      <c r="Y8" s="203" t="s">
        <v>266</v>
      </c>
      <c r="Z8" s="203" t="s">
        <v>266</v>
      </c>
      <c r="AA8" s="203" t="s">
        <v>266</v>
      </c>
      <c r="AB8" s="203" t="s">
        <v>266</v>
      </c>
      <c r="AC8" s="203" t="s">
        <v>266</v>
      </c>
      <c r="AD8" s="203" t="s">
        <v>266</v>
      </c>
      <c r="AE8" s="203" t="s">
        <v>266</v>
      </c>
      <c r="AG8">
        <v>0</v>
      </c>
      <c r="AH8">
        <v>0</v>
      </c>
    </row>
    <row r="9" spans="1:41" x14ac:dyDescent="0.25">
      <c r="A9" s="203" t="s">
        <v>266</v>
      </c>
      <c r="B9" s="203" t="s">
        <v>328</v>
      </c>
      <c r="C9" s="203" t="s">
        <v>328</v>
      </c>
      <c r="D9" s="203">
        <v>36</v>
      </c>
      <c r="E9" s="203" t="s">
        <v>266</v>
      </c>
      <c r="F9" s="203" t="s">
        <v>266</v>
      </c>
      <c r="G9" s="203" t="s">
        <v>266</v>
      </c>
      <c r="I9" s="203" t="s">
        <v>266</v>
      </c>
      <c r="J9" s="203" t="s">
        <v>266</v>
      </c>
      <c r="K9" s="203" t="s">
        <v>266</v>
      </c>
      <c r="L9" s="203" t="s">
        <v>266</v>
      </c>
      <c r="M9" s="203" t="s">
        <v>266</v>
      </c>
      <c r="N9" s="203" t="s">
        <v>266</v>
      </c>
      <c r="O9" s="203" t="s">
        <v>266</v>
      </c>
      <c r="Q9" s="203" t="s">
        <v>266</v>
      </c>
      <c r="R9" s="203" t="s">
        <v>266</v>
      </c>
      <c r="S9" s="203" t="s">
        <v>266</v>
      </c>
      <c r="T9" s="203" t="s">
        <v>266</v>
      </c>
      <c r="U9" s="203" t="s">
        <v>266</v>
      </c>
      <c r="V9" s="203" t="s">
        <v>266</v>
      </c>
      <c r="W9" s="203" t="s">
        <v>266</v>
      </c>
      <c r="Y9" s="203" t="s">
        <v>266</v>
      </c>
      <c r="Z9" s="203" t="s">
        <v>266</v>
      </c>
      <c r="AA9" s="203" t="s">
        <v>266</v>
      </c>
      <c r="AB9" s="203" t="s">
        <v>266</v>
      </c>
      <c r="AC9" s="203" t="s">
        <v>266</v>
      </c>
      <c r="AD9" s="203" t="s">
        <v>266</v>
      </c>
      <c r="AE9" s="203" t="s">
        <v>266</v>
      </c>
      <c r="AG9">
        <v>0</v>
      </c>
      <c r="AH9">
        <v>0</v>
      </c>
      <c r="AM9" s="569" t="s">
        <v>271</v>
      </c>
      <c r="AN9" s="569"/>
      <c r="AO9" s="569"/>
    </row>
    <row r="10" spans="1:41" x14ac:dyDescent="0.25">
      <c r="A10" s="203" t="s">
        <v>266</v>
      </c>
      <c r="B10" s="203" t="s">
        <v>329</v>
      </c>
      <c r="C10" s="203" t="s">
        <v>329</v>
      </c>
      <c r="D10" s="203">
        <v>36</v>
      </c>
      <c r="E10" s="203" t="s">
        <v>266</v>
      </c>
      <c r="F10" s="203" t="s">
        <v>266</v>
      </c>
      <c r="G10" s="203" t="s">
        <v>266</v>
      </c>
      <c r="I10" s="203" t="s">
        <v>266</v>
      </c>
      <c r="J10" s="203" t="s">
        <v>266</v>
      </c>
      <c r="K10" s="203" t="s">
        <v>266</v>
      </c>
      <c r="L10" s="203" t="s">
        <v>266</v>
      </c>
      <c r="M10" s="203" t="s">
        <v>266</v>
      </c>
      <c r="N10" s="203" t="s">
        <v>266</v>
      </c>
      <c r="O10" s="203" t="s">
        <v>266</v>
      </c>
      <c r="Q10" s="203" t="s">
        <v>266</v>
      </c>
      <c r="R10" s="203" t="s">
        <v>266</v>
      </c>
      <c r="S10" s="203" t="s">
        <v>266</v>
      </c>
      <c r="T10" s="203" t="s">
        <v>266</v>
      </c>
      <c r="U10" s="203" t="s">
        <v>266</v>
      </c>
      <c r="V10" s="203" t="s">
        <v>266</v>
      </c>
      <c r="W10" s="203" t="s">
        <v>266</v>
      </c>
      <c r="Y10" s="203" t="s">
        <v>266</v>
      </c>
      <c r="Z10" s="203" t="s">
        <v>266</v>
      </c>
      <c r="AA10" s="203" t="s">
        <v>266</v>
      </c>
      <c r="AB10" s="203" t="s">
        <v>266</v>
      </c>
      <c r="AC10" s="203" t="s">
        <v>266</v>
      </c>
      <c r="AD10" s="203" t="s">
        <v>266</v>
      </c>
      <c r="AE10" s="203" t="s">
        <v>266</v>
      </c>
      <c r="AG10">
        <v>0</v>
      </c>
      <c r="AH10">
        <v>0</v>
      </c>
      <c r="AM10" s="569"/>
      <c r="AN10" s="569"/>
      <c r="AO10" s="569"/>
    </row>
    <row r="11" spans="1:41" x14ac:dyDescent="0.25">
      <c r="A11" s="203" t="s">
        <v>266</v>
      </c>
      <c r="B11" s="203"/>
      <c r="C11" s="203"/>
      <c r="D11" s="203"/>
      <c r="E11" s="203" t="s">
        <v>266</v>
      </c>
      <c r="F11" s="203" t="s">
        <v>266</v>
      </c>
      <c r="G11" s="203" t="s">
        <v>266</v>
      </c>
      <c r="I11" s="203" t="s">
        <v>266</v>
      </c>
      <c r="J11" s="203" t="s">
        <v>266</v>
      </c>
      <c r="K11" s="203" t="s">
        <v>266</v>
      </c>
      <c r="L11" s="203" t="s">
        <v>266</v>
      </c>
      <c r="M11" s="203" t="s">
        <v>266</v>
      </c>
      <c r="N11" s="203" t="s">
        <v>266</v>
      </c>
      <c r="O11" s="203" t="s">
        <v>266</v>
      </c>
      <c r="Q11" s="203" t="s">
        <v>266</v>
      </c>
      <c r="R11" s="203" t="s">
        <v>266</v>
      </c>
      <c r="S11" s="203" t="s">
        <v>266</v>
      </c>
      <c r="T11" s="203" t="s">
        <v>266</v>
      </c>
      <c r="U11" s="203" t="s">
        <v>266</v>
      </c>
      <c r="V11" s="203" t="s">
        <v>266</v>
      </c>
      <c r="W11" s="203" t="s">
        <v>266</v>
      </c>
      <c r="Y11" s="203" t="s">
        <v>266</v>
      </c>
      <c r="Z11" s="203" t="s">
        <v>266</v>
      </c>
      <c r="AA11" s="203" t="s">
        <v>266</v>
      </c>
      <c r="AB11" s="203" t="s">
        <v>266</v>
      </c>
      <c r="AC11" s="203" t="s">
        <v>266</v>
      </c>
      <c r="AD11" s="203" t="s">
        <v>266</v>
      </c>
      <c r="AE11" s="203" t="s">
        <v>266</v>
      </c>
      <c r="AG11">
        <v>1</v>
      </c>
      <c r="AH11">
        <v>1</v>
      </c>
    </row>
    <row r="12" spans="1:41" x14ac:dyDescent="0.25">
      <c r="A12" s="203" t="s">
        <v>266</v>
      </c>
      <c r="B12" s="203"/>
      <c r="C12" s="203"/>
      <c r="D12" s="203"/>
      <c r="E12" s="203" t="s">
        <v>266</v>
      </c>
      <c r="F12" s="203" t="s">
        <v>266</v>
      </c>
      <c r="G12" s="203" t="s">
        <v>266</v>
      </c>
      <c r="I12" s="203" t="s">
        <v>266</v>
      </c>
      <c r="J12" s="203" t="s">
        <v>266</v>
      </c>
      <c r="K12" s="203" t="s">
        <v>266</v>
      </c>
      <c r="L12" s="203" t="s">
        <v>266</v>
      </c>
      <c r="M12" s="203" t="s">
        <v>266</v>
      </c>
      <c r="N12" s="203" t="s">
        <v>266</v>
      </c>
      <c r="O12" s="203" t="s">
        <v>266</v>
      </c>
      <c r="Q12" s="203" t="s">
        <v>266</v>
      </c>
      <c r="R12" s="203" t="s">
        <v>266</v>
      </c>
      <c r="S12" s="203" t="s">
        <v>266</v>
      </c>
      <c r="T12" s="203" t="s">
        <v>266</v>
      </c>
      <c r="U12" s="203" t="s">
        <v>266</v>
      </c>
      <c r="V12" s="203" t="s">
        <v>266</v>
      </c>
      <c r="W12" s="203" t="s">
        <v>266</v>
      </c>
      <c r="Y12" s="203" t="s">
        <v>266</v>
      </c>
      <c r="Z12" s="203" t="s">
        <v>266</v>
      </c>
      <c r="AA12" s="203" t="s">
        <v>266</v>
      </c>
      <c r="AB12" s="203" t="s">
        <v>266</v>
      </c>
      <c r="AC12" s="203" t="s">
        <v>266</v>
      </c>
      <c r="AD12" s="203" t="s">
        <v>266</v>
      </c>
      <c r="AE12" s="203" t="s">
        <v>266</v>
      </c>
      <c r="AG12">
        <v>1</v>
      </c>
      <c r="AH12">
        <v>1</v>
      </c>
    </row>
    <row r="13" spans="1:41" x14ac:dyDescent="0.25">
      <c r="A13" s="203" t="s">
        <v>266</v>
      </c>
      <c r="B13" s="203"/>
      <c r="C13" s="203"/>
      <c r="D13" s="203"/>
      <c r="E13" s="203" t="s">
        <v>266</v>
      </c>
      <c r="F13" s="203" t="s">
        <v>266</v>
      </c>
      <c r="G13" s="203" t="s">
        <v>266</v>
      </c>
      <c r="I13" s="203" t="s">
        <v>266</v>
      </c>
      <c r="J13" s="203" t="s">
        <v>266</v>
      </c>
      <c r="K13" s="203" t="s">
        <v>266</v>
      </c>
      <c r="L13" s="203" t="s">
        <v>266</v>
      </c>
      <c r="M13" s="203" t="s">
        <v>266</v>
      </c>
      <c r="N13" s="203" t="s">
        <v>266</v>
      </c>
      <c r="O13" s="203" t="s">
        <v>266</v>
      </c>
      <c r="Q13" s="203" t="s">
        <v>266</v>
      </c>
      <c r="R13" s="203" t="s">
        <v>266</v>
      </c>
      <c r="S13" s="203" t="s">
        <v>266</v>
      </c>
      <c r="T13" s="203" t="s">
        <v>266</v>
      </c>
      <c r="U13" s="203" t="s">
        <v>266</v>
      </c>
      <c r="V13" s="203" t="s">
        <v>266</v>
      </c>
      <c r="W13" s="233" t="s">
        <v>266</v>
      </c>
      <c r="Y13" s="203" t="s">
        <v>266</v>
      </c>
      <c r="Z13" s="203" t="s">
        <v>266</v>
      </c>
      <c r="AA13" s="203" t="s">
        <v>266</v>
      </c>
      <c r="AB13" s="203" t="s">
        <v>266</v>
      </c>
      <c r="AC13" s="203" t="s">
        <v>266</v>
      </c>
      <c r="AD13" s="203" t="s">
        <v>266</v>
      </c>
      <c r="AE13" s="203" t="s">
        <v>266</v>
      </c>
      <c r="AG13">
        <v>1</v>
      </c>
      <c r="AH13">
        <v>1</v>
      </c>
    </row>
    <row r="14" spans="1:41" x14ac:dyDescent="0.25">
      <c r="A14" s="203" t="s">
        <v>266</v>
      </c>
      <c r="B14" s="203"/>
      <c r="C14" s="203"/>
      <c r="D14" s="203"/>
      <c r="E14" s="203" t="s">
        <v>266</v>
      </c>
      <c r="F14" s="203" t="s">
        <v>266</v>
      </c>
      <c r="G14" s="203" t="s">
        <v>266</v>
      </c>
      <c r="I14" s="203" t="s">
        <v>266</v>
      </c>
      <c r="J14" s="203" t="s">
        <v>266</v>
      </c>
      <c r="K14" s="203" t="s">
        <v>266</v>
      </c>
      <c r="L14" s="203" t="s">
        <v>266</v>
      </c>
      <c r="M14" s="203" t="s">
        <v>266</v>
      </c>
      <c r="N14" s="203" t="s">
        <v>266</v>
      </c>
      <c r="O14" s="203" t="s">
        <v>266</v>
      </c>
      <c r="Q14" s="203" t="s">
        <v>266</v>
      </c>
      <c r="R14" s="203" t="s">
        <v>266</v>
      </c>
      <c r="S14" s="203" t="s">
        <v>266</v>
      </c>
      <c r="T14" s="203" t="s">
        <v>266</v>
      </c>
      <c r="U14" s="203" t="s">
        <v>266</v>
      </c>
      <c r="V14" s="203" t="s">
        <v>266</v>
      </c>
      <c r="W14" s="203" t="s">
        <v>266</v>
      </c>
      <c r="Y14" s="203" t="s">
        <v>266</v>
      </c>
      <c r="Z14" s="203" t="s">
        <v>266</v>
      </c>
      <c r="AA14" s="203" t="s">
        <v>266</v>
      </c>
      <c r="AB14" s="203" t="s">
        <v>266</v>
      </c>
      <c r="AC14" s="203" t="s">
        <v>266</v>
      </c>
      <c r="AD14" s="203" t="s">
        <v>266</v>
      </c>
      <c r="AE14" s="203" t="s">
        <v>266</v>
      </c>
      <c r="AG14">
        <v>1</v>
      </c>
      <c r="AH14">
        <v>1</v>
      </c>
    </row>
    <row r="15" spans="1:41" x14ac:dyDescent="0.25">
      <c r="A15" s="203" t="s">
        <v>266</v>
      </c>
      <c r="B15" s="203"/>
      <c r="C15" s="203"/>
      <c r="D15" s="203"/>
      <c r="E15" s="203" t="s">
        <v>266</v>
      </c>
      <c r="F15" s="203" t="s">
        <v>266</v>
      </c>
      <c r="G15" s="203" t="s">
        <v>266</v>
      </c>
      <c r="I15" s="203" t="s">
        <v>266</v>
      </c>
      <c r="J15" s="203" t="s">
        <v>266</v>
      </c>
      <c r="K15" s="203" t="s">
        <v>266</v>
      </c>
      <c r="L15" s="203" t="s">
        <v>266</v>
      </c>
      <c r="M15" s="203" t="s">
        <v>266</v>
      </c>
      <c r="N15" s="203" t="s">
        <v>266</v>
      </c>
      <c r="O15" s="203" t="s">
        <v>266</v>
      </c>
      <c r="Q15" s="203" t="s">
        <v>266</v>
      </c>
      <c r="R15" s="203" t="s">
        <v>266</v>
      </c>
      <c r="S15" s="203" t="s">
        <v>266</v>
      </c>
      <c r="T15" s="203" t="s">
        <v>266</v>
      </c>
      <c r="U15" s="203" t="s">
        <v>266</v>
      </c>
      <c r="V15" s="203" t="s">
        <v>266</v>
      </c>
      <c r="W15" s="203" t="s">
        <v>266</v>
      </c>
      <c r="Y15" s="203" t="s">
        <v>266</v>
      </c>
      <c r="Z15" s="203" t="s">
        <v>266</v>
      </c>
      <c r="AA15" s="203" t="s">
        <v>266</v>
      </c>
      <c r="AB15" s="203" t="s">
        <v>266</v>
      </c>
      <c r="AC15" s="203" t="s">
        <v>266</v>
      </c>
      <c r="AD15" s="203" t="s">
        <v>266</v>
      </c>
      <c r="AE15" s="203" t="s">
        <v>266</v>
      </c>
      <c r="AG15">
        <v>1</v>
      </c>
      <c r="AH15">
        <v>1</v>
      </c>
    </row>
    <row r="16" spans="1:41" x14ac:dyDescent="0.25">
      <c r="A16" s="203" t="s">
        <v>266</v>
      </c>
      <c r="B16" s="203"/>
      <c r="C16" s="203"/>
      <c r="D16" s="203"/>
      <c r="E16" s="203" t="s">
        <v>266</v>
      </c>
      <c r="F16" s="203" t="s">
        <v>266</v>
      </c>
      <c r="G16" s="203" t="s">
        <v>266</v>
      </c>
      <c r="I16" s="203" t="s">
        <v>266</v>
      </c>
      <c r="J16" s="203" t="s">
        <v>266</v>
      </c>
      <c r="K16" s="203" t="s">
        <v>266</v>
      </c>
      <c r="L16" s="203" t="s">
        <v>266</v>
      </c>
      <c r="M16" s="203" t="s">
        <v>266</v>
      </c>
      <c r="N16" s="203" t="s">
        <v>266</v>
      </c>
      <c r="O16" s="203" t="s">
        <v>266</v>
      </c>
      <c r="Q16" s="203" t="s">
        <v>266</v>
      </c>
      <c r="R16" s="203" t="s">
        <v>266</v>
      </c>
      <c r="S16" s="203" t="s">
        <v>266</v>
      </c>
      <c r="T16" s="203" t="s">
        <v>266</v>
      </c>
      <c r="U16" s="203" t="s">
        <v>266</v>
      </c>
      <c r="V16" s="203" t="s">
        <v>266</v>
      </c>
      <c r="W16" s="203" t="s">
        <v>266</v>
      </c>
      <c r="Y16" s="203" t="s">
        <v>266</v>
      </c>
      <c r="Z16" s="203" t="s">
        <v>266</v>
      </c>
      <c r="AA16" s="203" t="s">
        <v>266</v>
      </c>
      <c r="AB16" s="203" t="s">
        <v>266</v>
      </c>
      <c r="AC16" s="203" t="s">
        <v>266</v>
      </c>
      <c r="AD16" s="203" t="s">
        <v>266</v>
      </c>
      <c r="AE16" s="203" t="s">
        <v>266</v>
      </c>
      <c r="AG16">
        <v>1</v>
      </c>
      <c r="AH16">
        <v>1</v>
      </c>
    </row>
    <row r="17" spans="1:34" x14ac:dyDescent="0.25">
      <c r="A17" s="203" t="s">
        <v>266</v>
      </c>
      <c r="B17" s="203"/>
      <c r="C17" s="203"/>
      <c r="D17" s="203"/>
      <c r="E17" s="203" t="s">
        <v>266</v>
      </c>
      <c r="F17" s="203" t="s">
        <v>266</v>
      </c>
      <c r="G17" s="203" t="s">
        <v>266</v>
      </c>
      <c r="I17" s="203" t="s">
        <v>266</v>
      </c>
      <c r="J17" s="203" t="s">
        <v>266</v>
      </c>
      <c r="K17" s="203" t="s">
        <v>266</v>
      </c>
      <c r="L17" s="203" t="s">
        <v>266</v>
      </c>
      <c r="M17" s="203" t="s">
        <v>266</v>
      </c>
      <c r="N17" s="203" t="s">
        <v>266</v>
      </c>
      <c r="O17" s="203" t="s">
        <v>266</v>
      </c>
      <c r="Q17" s="203" t="s">
        <v>266</v>
      </c>
      <c r="R17" s="203" t="s">
        <v>266</v>
      </c>
      <c r="S17" s="203" t="s">
        <v>266</v>
      </c>
      <c r="T17" s="203" t="s">
        <v>266</v>
      </c>
      <c r="U17" s="203" t="s">
        <v>266</v>
      </c>
      <c r="V17" s="203" t="s">
        <v>266</v>
      </c>
      <c r="W17" s="203" t="s">
        <v>266</v>
      </c>
      <c r="Y17" s="203" t="s">
        <v>266</v>
      </c>
      <c r="Z17" s="203" t="s">
        <v>266</v>
      </c>
      <c r="AA17" s="203" t="s">
        <v>266</v>
      </c>
      <c r="AB17" s="203" t="s">
        <v>266</v>
      </c>
      <c r="AC17" s="203" t="s">
        <v>266</v>
      </c>
      <c r="AD17" s="203" t="s">
        <v>266</v>
      </c>
      <c r="AE17" s="203" t="s">
        <v>266</v>
      </c>
      <c r="AG17">
        <v>1</v>
      </c>
      <c r="AH17">
        <v>1</v>
      </c>
    </row>
    <row r="18" spans="1:34" x14ac:dyDescent="0.25">
      <c r="A18" s="203" t="s">
        <v>266</v>
      </c>
      <c r="B18" s="203"/>
      <c r="C18" s="203"/>
      <c r="D18" s="203"/>
      <c r="E18" s="203" t="s">
        <v>266</v>
      </c>
      <c r="F18" s="203" t="s">
        <v>266</v>
      </c>
      <c r="G18" s="203" t="s">
        <v>266</v>
      </c>
      <c r="I18" s="203" t="s">
        <v>266</v>
      </c>
      <c r="J18" s="203" t="s">
        <v>266</v>
      </c>
      <c r="K18" s="203" t="s">
        <v>266</v>
      </c>
      <c r="L18" s="203" t="s">
        <v>266</v>
      </c>
      <c r="M18" s="203" t="s">
        <v>266</v>
      </c>
      <c r="N18" s="203" t="s">
        <v>266</v>
      </c>
      <c r="O18" s="203" t="s">
        <v>266</v>
      </c>
      <c r="Q18" s="203" t="s">
        <v>266</v>
      </c>
      <c r="R18" s="203" t="s">
        <v>266</v>
      </c>
      <c r="S18" s="203" t="s">
        <v>266</v>
      </c>
      <c r="T18" s="203" t="s">
        <v>266</v>
      </c>
      <c r="U18" s="203" t="s">
        <v>266</v>
      </c>
      <c r="V18" s="203" t="s">
        <v>266</v>
      </c>
      <c r="W18" s="203" t="s">
        <v>266</v>
      </c>
      <c r="Y18" s="203" t="s">
        <v>266</v>
      </c>
      <c r="Z18" s="203" t="s">
        <v>266</v>
      </c>
      <c r="AA18" s="203" t="s">
        <v>266</v>
      </c>
      <c r="AB18" s="203" t="s">
        <v>266</v>
      </c>
      <c r="AC18" s="203" t="s">
        <v>266</v>
      </c>
      <c r="AD18" s="203" t="s">
        <v>266</v>
      </c>
      <c r="AE18" s="203" t="s">
        <v>266</v>
      </c>
      <c r="AG18">
        <v>1</v>
      </c>
      <c r="AH18">
        <v>1</v>
      </c>
    </row>
    <row r="19" spans="1:34" x14ac:dyDescent="0.25">
      <c r="A19" s="203" t="s">
        <v>266</v>
      </c>
      <c r="B19" s="203"/>
      <c r="C19" s="203"/>
      <c r="D19" s="203"/>
      <c r="E19" s="203" t="s">
        <v>266</v>
      </c>
      <c r="F19" s="203" t="s">
        <v>266</v>
      </c>
      <c r="G19" s="203" t="s">
        <v>266</v>
      </c>
      <c r="I19" s="203" t="s">
        <v>266</v>
      </c>
      <c r="J19" s="203" t="s">
        <v>266</v>
      </c>
      <c r="K19" s="203" t="s">
        <v>266</v>
      </c>
      <c r="L19" s="203" t="s">
        <v>266</v>
      </c>
      <c r="M19" s="203" t="s">
        <v>266</v>
      </c>
      <c r="N19" s="203" t="s">
        <v>266</v>
      </c>
      <c r="O19" s="203" t="s">
        <v>266</v>
      </c>
      <c r="Q19" s="203" t="s">
        <v>266</v>
      </c>
      <c r="R19" s="203" t="s">
        <v>266</v>
      </c>
      <c r="S19" s="203" t="s">
        <v>266</v>
      </c>
      <c r="T19" s="203" t="s">
        <v>266</v>
      </c>
      <c r="U19" s="203" t="s">
        <v>266</v>
      </c>
      <c r="V19" s="203" t="s">
        <v>266</v>
      </c>
      <c r="W19" s="203" t="s">
        <v>266</v>
      </c>
      <c r="Y19" s="203" t="s">
        <v>266</v>
      </c>
      <c r="Z19" s="203" t="s">
        <v>266</v>
      </c>
      <c r="AA19" s="203" t="s">
        <v>266</v>
      </c>
      <c r="AB19" s="203" t="s">
        <v>266</v>
      </c>
      <c r="AC19" s="203" t="s">
        <v>266</v>
      </c>
      <c r="AD19" s="203" t="s">
        <v>266</v>
      </c>
      <c r="AE19" s="203" t="s">
        <v>266</v>
      </c>
      <c r="AG19">
        <v>1</v>
      </c>
      <c r="AH19">
        <v>1</v>
      </c>
    </row>
    <row r="20" spans="1:34" x14ac:dyDescent="0.25">
      <c r="A20" s="203" t="s">
        <v>266</v>
      </c>
      <c r="B20" s="203"/>
      <c r="C20" s="203"/>
      <c r="D20" s="203"/>
      <c r="E20" s="203" t="s">
        <v>266</v>
      </c>
      <c r="F20" s="203" t="s">
        <v>266</v>
      </c>
      <c r="G20" s="203" t="s">
        <v>266</v>
      </c>
      <c r="I20" s="203" t="s">
        <v>266</v>
      </c>
      <c r="J20" s="203" t="s">
        <v>266</v>
      </c>
      <c r="K20" s="203" t="s">
        <v>266</v>
      </c>
      <c r="L20" s="203" t="s">
        <v>266</v>
      </c>
      <c r="M20" s="203" t="s">
        <v>266</v>
      </c>
      <c r="N20" s="203" t="s">
        <v>266</v>
      </c>
      <c r="O20" s="203" t="s">
        <v>266</v>
      </c>
      <c r="Q20" s="203" t="s">
        <v>266</v>
      </c>
      <c r="R20" s="203" t="s">
        <v>266</v>
      </c>
      <c r="S20" s="203" t="s">
        <v>266</v>
      </c>
      <c r="T20" s="203" t="s">
        <v>266</v>
      </c>
      <c r="U20" s="203" t="s">
        <v>266</v>
      </c>
      <c r="V20" s="203" t="s">
        <v>266</v>
      </c>
      <c r="W20" s="203" t="s">
        <v>266</v>
      </c>
      <c r="Y20" s="203" t="s">
        <v>266</v>
      </c>
      <c r="Z20" s="203" t="s">
        <v>266</v>
      </c>
      <c r="AA20" s="203" t="s">
        <v>266</v>
      </c>
      <c r="AB20" s="203" t="s">
        <v>266</v>
      </c>
      <c r="AC20" s="203" t="s">
        <v>266</v>
      </c>
      <c r="AD20" s="203" t="s">
        <v>266</v>
      </c>
      <c r="AE20" s="203" t="s">
        <v>266</v>
      </c>
      <c r="AG20">
        <v>1</v>
      </c>
      <c r="AH20">
        <v>1</v>
      </c>
    </row>
    <row r="21" spans="1:34" x14ac:dyDescent="0.25">
      <c r="A21" s="203" t="s">
        <v>266</v>
      </c>
      <c r="B21" s="203"/>
      <c r="C21" s="203"/>
      <c r="D21" s="203"/>
      <c r="E21" s="203" t="s">
        <v>266</v>
      </c>
      <c r="F21" s="203" t="s">
        <v>266</v>
      </c>
      <c r="G21" s="203" t="s">
        <v>266</v>
      </c>
      <c r="I21" s="203" t="s">
        <v>266</v>
      </c>
      <c r="J21" s="203" t="s">
        <v>266</v>
      </c>
      <c r="K21" s="203" t="s">
        <v>266</v>
      </c>
      <c r="L21" s="203" t="s">
        <v>266</v>
      </c>
      <c r="M21" s="203" t="s">
        <v>266</v>
      </c>
      <c r="N21" s="203" t="s">
        <v>266</v>
      </c>
      <c r="O21" s="203" t="s">
        <v>266</v>
      </c>
      <c r="Q21" s="203" t="s">
        <v>266</v>
      </c>
      <c r="R21" s="203" t="s">
        <v>266</v>
      </c>
      <c r="S21" s="203" t="s">
        <v>266</v>
      </c>
      <c r="T21" s="203" t="s">
        <v>266</v>
      </c>
      <c r="U21" s="203" t="s">
        <v>266</v>
      </c>
      <c r="V21" s="203" t="s">
        <v>266</v>
      </c>
      <c r="W21" s="203" t="s">
        <v>266</v>
      </c>
      <c r="Y21" s="203" t="s">
        <v>266</v>
      </c>
      <c r="Z21" s="203" t="s">
        <v>266</v>
      </c>
      <c r="AA21" s="203" t="s">
        <v>266</v>
      </c>
      <c r="AB21" s="203" t="s">
        <v>266</v>
      </c>
      <c r="AC21" s="203" t="s">
        <v>266</v>
      </c>
      <c r="AD21" s="203" t="s">
        <v>266</v>
      </c>
      <c r="AE21" s="203" t="s">
        <v>266</v>
      </c>
      <c r="AG21">
        <v>1</v>
      </c>
      <c r="AH21">
        <v>1</v>
      </c>
    </row>
    <row r="22" spans="1:34" x14ac:dyDescent="0.25">
      <c r="A22" s="203" t="s">
        <v>266</v>
      </c>
      <c r="B22" s="203"/>
      <c r="C22" s="203"/>
      <c r="D22" s="233"/>
      <c r="E22" s="203" t="s">
        <v>266</v>
      </c>
      <c r="F22" s="203" t="s">
        <v>266</v>
      </c>
      <c r="G22" s="203" t="s">
        <v>266</v>
      </c>
      <c r="I22" s="203" t="s">
        <v>266</v>
      </c>
      <c r="J22" s="203" t="s">
        <v>266</v>
      </c>
      <c r="K22" s="203" t="s">
        <v>266</v>
      </c>
      <c r="L22" s="203" t="s">
        <v>266</v>
      </c>
      <c r="M22" s="203" t="s">
        <v>266</v>
      </c>
      <c r="N22" s="203" t="s">
        <v>266</v>
      </c>
      <c r="O22" s="203" t="s">
        <v>266</v>
      </c>
      <c r="Q22" s="203" t="s">
        <v>266</v>
      </c>
      <c r="R22" s="203" t="s">
        <v>266</v>
      </c>
      <c r="S22" s="203" t="s">
        <v>266</v>
      </c>
      <c r="T22" s="203" t="s">
        <v>266</v>
      </c>
      <c r="U22" s="203" t="s">
        <v>266</v>
      </c>
      <c r="V22" s="203" t="s">
        <v>266</v>
      </c>
      <c r="W22" s="203" t="s">
        <v>266</v>
      </c>
      <c r="Y22" s="203" t="s">
        <v>266</v>
      </c>
      <c r="Z22" s="203" t="s">
        <v>266</v>
      </c>
      <c r="AA22" s="203" t="s">
        <v>266</v>
      </c>
      <c r="AB22" s="203" t="s">
        <v>266</v>
      </c>
      <c r="AC22" s="203" t="s">
        <v>266</v>
      </c>
      <c r="AD22" s="203" t="s">
        <v>266</v>
      </c>
      <c r="AE22" s="203" t="s">
        <v>266</v>
      </c>
      <c r="AG22">
        <v>1</v>
      </c>
      <c r="AH22">
        <v>1</v>
      </c>
    </row>
    <row r="23" spans="1:34" x14ac:dyDescent="0.25">
      <c r="A23" s="203" t="s">
        <v>266</v>
      </c>
      <c r="B23" s="203"/>
      <c r="C23" s="203"/>
      <c r="D23" s="203"/>
      <c r="E23" s="203" t="s">
        <v>266</v>
      </c>
      <c r="F23" s="203" t="s">
        <v>266</v>
      </c>
      <c r="G23" s="203" t="s">
        <v>266</v>
      </c>
      <c r="I23" s="203" t="s">
        <v>266</v>
      </c>
      <c r="J23" s="203" t="s">
        <v>266</v>
      </c>
      <c r="K23" s="203" t="s">
        <v>266</v>
      </c>
      <c r="L23" s="203" t="s">
        <v>266</v>
      </c>
      <c r="M23" s="203" t="s">
        <v>266</v>
      </c>
      <c r="N23" s="203" t="s">
        <v>266</v>
      </c>
      <c r="O23" s="203" t="s">
        <v>266</v>
      </c>
      <c r="Q23" s="203" t="s">
        <v>266</v>
      </c>
      <c r="R23" s="203" t="s">
        <v>266</v>
      </c>
      <c r="S23" s="203" t="s">
        <v>266</v>
      </c>
      <c r="T23" s="203" t="s">
        <v>266</v>
      </c>
      <c r="U23" s="203" t="s">
        <v>266</v>
      </c>
      <c r="V23" s="203" t="s">
        <v>266</v>
      </c>
      <c r="W23" s="203" t="s">
        <v>266</v>
      </c>
      <c r="Y23" s="203" t="s">
        <v>266</v>
      </c>
      <c r="Z23" s="203" t="s">
        <v>266</v>
      </c>
      <c r="AA23" s="203" t="s">
        <v>266</v>
      </c>
      <c r="AB23" s="203" t="s">
        <v>266</v>
      </c>
      <c r="AC23" s="203" t="s">
        <v>266</v>
      </c>
      <c r="AD23" s="203" t="s">
        <v>266</v>
      </c>
      <c r="AE23" s="203" t="s">
        <v>266</v>
      </c>
      <c r="AG23">
        <v>1</v>
      </c>
      <c r="AH23">
        <v>1</v>
      </c>
    </row>
    <row r="24" spans="1:34" x14ac:dyDescent="0.25">
      <c r="A24" s="203" t="s">
        <v>266</v>
      </c>
      <c r="B24" s="203"/>
      <c r="C24" s="203"/>
      <c r="D24" s="203"/>
      <c r="E24" s="203" t="s">
        <v>266</v>
      </c>
      <c r="F24" s="203" t="s">
        <v>266</v>
      </c>
      <c r="G24" s="203" t="s">
        <v>266</v>
      </c>
      <c r="I24" s="203" t="s">
        <v>266</v>
      </c>
      <c r="J24" s="203" t="s">
        <v>266</v>
      </c>
      <c r="K24" s="203" t="s">
        <v>266</v>
      </c>
      <c r="L24" s="203" t="s">
        <v>266</v>
      </c>
      <c r="M24" s="203" t="s">
        <v>266</v>
      </c>
      <c r="N24" s="203" t="s">
        <v>266</v>
      </c>
      <c r="O24" s="203" t="s">
        <v>266</v>
      </c>
      <c r="Q24" s="203" t="s">
        <v>266</v>
      </c>
      <c r="R24" s="203" t="s">
        <v>266</v>
      </c>
      <c r="S24" s="203" t="s">
        <v>266</v>
      </c>
      <c r="T24" s="203" t="s">
        <v>266</v>
      </c>
      <c r="U24" s="203" t="s">
        <v>266</v>
      </c>
      <c r="V24" s="203" t="s">
        <v>266</v>
      </c>
      <c r="W24" s="203" t="s">
        <v>266</v>
      </c>
      <c r="Y24" s="203" t="s">
        <v>266</v>
      </c>
      <c r="Z24" s="203" t="s">
        <v>266</v>
      </c>
      <c r="AA24" s="203" t="s">
        <v>266</v>
      </c>
      <c r="AB24" s="203" t="s">
        <v>266</v>
      </c>
      <c r="AC24" s="203" t="s">
        <v>266</v>
      </c>
      <c r="AD24" s="203" t="s">
        <v>266</v>
      </c>
      <c r="AE24" s="203" t="s">
        <v>266</v>
      </c>
      <c r="AG24">
        <v>1</v>
      </c>
      <c r="AH24">
        <v>1</v>
      </c>
    </row>
    <row r="25" spans="1:34" x14ac:dyDescent="0.25">
      <c r="A25" s="203" t="s">
        <v>266</v>
      </c>
      <c r="B25" s="203"/>
      <c r="C25" s="203"/>
      <c r="D25" s="203"/>
      <c r="E25" s="203" t="s">
        <v>266</v>
      </c>
      <c r="F25" s="203" t="s">
        <v>266</v>
      </c>
      <c r="G25" s="203" t="s">
        <v>266</v>
      </c>
      <c r="I25" s="203" t="s">
        <v>266</v>
      </c>
      <c r="J25" s="203" t="s">
        <v>266</v>
      </c>
      <c r="K25" s="203" t="s">
        <v>266</v>
      </c>
      <c r="L25" s="203" t="s">
        <v>266</v>
      </c>
      <c r="M25" s="203" t="s">
        <v>266</v>
      </c>
      <c r="N25" s="203" t="s">
        <v>266</v>
      </c>
      <c r="O25" s="203" t="s">
        <v>266</v>
      </c>
      <c r="Q25" s="203" t="s">
        <v>266</v>
      </c>
      <c r="R25" s="203" t="s">
        <v>266</v>
      </c>
      <c r="S25" s="203" t="s">
        <v>266</v>
      </c>
      <c r="T25" s="203" t="s">
        <v>266</v>
      </c>
      <c r="U25" s="203" t="s">
        <v>266</v>
      </c>
      <c r="V25" s="203" t="s">
        <v>266</v>
      </c>
      <c r="W25" s="203" t="s">
        <v>266</v>
      </c>
      <c r="Y25" s="203" t="s">
        <v>266</v>
      </c>
      <c r="Z25" s="203" t="s">
        <v>266</v>
      </c>
      <c r="AA25" s="203" t="s">
        <v>266</v>
      </c>
      <c r="AB25" s="203" t="s">
        <v>266</v>
      </c>
      <c r="AC25" s="203" t="s">
        <v>266</v>
      </c>
      <c r="AD25" s="203" t="s">
        <v>266</v>
      </c>
      <c r="AE25" s="203" t="s">
        <v>266</v>
      </c>
      <c r="AG25">
        <v>1</v>
      </c>
      <c r="AH25">
        <v>1</v>
      </c>
    </row>
    <row r="26" spans="1:34" x14ac:dyDescent="0.25">
      <c r="A26" s="203" t="s">
        <v>266</v>
      </c>
      <c r="B26" s="203"/>
      <c r="C26" s="203"/>
      <c r="D26" s="203"/>
      <c r="E26" s="203" t="s">
        <v>266</v>
      </c>
      <c r="F26" s="203" t="s">
        <v>266</v>
      </c>
      <c r="G26" s="203" t="s">
        <v>266</v>
      </c>
      <c r="I26" s="203" t="s">
        <v>266</v>
      </c>
      <c r="J26" s="203" t="s">
        <v>266</v>
      </c>
      <c r="K26" s="203" t="s">
        <v>266</v>
      </c>
      <c r="L26" s="203" t="s">
        <v>266</v>
      </c>
      <c r="M26" s="203" t="s">
        <v>266</v>
      </c>
      <c r="N26" s="203" t="s">
        <v>266</v>
      </c>
      <c r="O26" s="203" t="s">
        <v>266</v>
      </c>
      <c r="Q26" s="203" t="s">
        <v>266</v>
      </c>
      <c r="R26" s="203" t="s">
        <v>266</v>
      </c>
      <c r="S26" s="203" t="s">
        <v>266</v>
      </c>
      <c r="T26" s="203" t="s">
        <v>266</v>
      </c>
      <c r="U26" s="203" t="s">
        <v>266</v>
      </c>
      <c r="V26" s="203" t="s">
        <v>266</v>
      </c>
      <c r="W26" s="203" t="s">
        <v>266</v>
      </c>
      <c r="Y26" s="203" t="s">
        <v>266</v>
      </c>
      <c r="Z26" s="203" t="s">
        <v>266</v>
      </c>
      <c r="AA26" s="203" t="s">
        <v>266</v>
      </c>
      <c r="AB26" s="203" t="s">
        <v>266</v>
      </c>
      <c r="AC26" s="203" t="s">
        <v>266</v>
      </c>
      <c r="AD26" s="203" t="s">
        <v>266</v>
      </c>
      <c r="AE26" s="203" t="s">
        <v>266</v>
      </c>
      <c r="AG26">
        <v>1</v>
      </c>
      <c r="AH26">
        <v>1</v>
      </c>
    </row>
    <row r="27" spans="1:34" x14ac:dyDescent="0.25">
      <c r="A27" s="203" t="s">
        <v>266</v>
      </c>
      <c r="B27" s="203"/>
      <c r="C27" s="203"/>
      <c r="D27" s="203"/>
      <c r="E27" s="203" t="s">
        <v>266</v>
      </c>
      <c r="F27" s="203" t="s">
        <v>266</v>
      </c>
      <c r="G27" s="203" t="s">
        <v>266</v>
      </c>
      <c r="I27" s="203" t="s">
        <v>266</v>
      </c>
      <c r="J27" s="203" t="s">
        <v>266</v>
      </c>
      <c r="K27" s="203" t="s">
        <v>266</v>
      </c>
      <c r="L27" s="203" t="s">
        <v>266</v>
      </c>
      <c r="M27" s="203" t="s">
        <v>266</v>
      </c>
      <c r="N27" s="203" t="s">
        <v>266</v>
      </c>
      <c r="O27" s="203" t="s">
        <v>266</v>
      </c>
      <c r="Q27" s="203" t="s">
        <v>266</v>
      </c>
      <c r="R27" s="203" t="s">
        <v>266</v>
      </c>
      <c r="S27" s="203" t="s">
        <v>266</v>
      </c>
      <c r="T27" s="203" t="s">
        <v>266</v>
      </c>
      <c r="U27" s="203" t="s">
        <v>266</v>
      </c>
      <c r="V27" s="203" t="s">
        <v>266</v>
      </c>
      <c r="W27" s="203" t="s">
        <v>266</v>
      </c>
      <c r="Y27" s="203" t="s">
        <v>266</v>
      </c>
      <c r="Z27" s="203" t="s">
        <v>266</v>
      </c>
      <c r="AA27" s="203" t="s">
        <v>266</v>
      </c>
      <c r="AB27" s="203" t="s">
        <v>266</v>
      </c>
      <c r="AC27" s="203" t="s">
        <v>266</v>
      </c>
      <c r="AD27" s="203" t="s">
        <v>266</v>
      </c>
      <c r="AE27" s="203" t="s">
        <v>266</v>
      </c>
      <c r="AG27">
        <v>1</v>
      </c>
      <c r="AH27">
        <v>1</v>
      </c>
    </row>
    <row r="28" spans="1:34" x14ac:dyDescent="0.25">
      <c r="A28" s="203" t="s">
        <v>266</v>
      </c>
      <c r="B28" s="203"/>
      <c r="C28" s="203"/>
      <c r="D28" s="203"/>
      <c r="E28" s="203" t="s">
        <v>266</v>
      </c>
      <c r="F28" s="203" t="s">
        <v>266</v>
      </c>
      <c r="G28" s="203" t="s">
        <v>266</v>
      </c>
      <c r="I28" s="203" t="s">
        <v>266</v>
      </c>
      <c r="J28" s="203" t="s">
        <v>266</v>
      </c>
      <c r="K28" s="203" t="s">
        <v>266</v>
      </c>
      <c r="L28" s="203" t="s">
        <v>266</v>
      </c>
      <c r="M28" s="203" t="s">
        <v>266</v>
      </c>
      <c r="N28" s="203" t="s">
        <v>266</v>
      </c>
      <c r="O28" s="203" t="s">
        <v>266</v>
      </c>
      <c r="Q28" s="203" t="s">
        <v>266</v>
      </c>
      <c r="R28" s="203" t="s">
        <v>266</v>
      </c>
      <c r="S28" s="203" t="s">
        <v>266</v>
      </c>
      <c r="T28" s="203" t="s">
        <v>266</v>
      </c>
      <c r="U28" s="203" t="s">
        <v>266</v>
      </c>
      <c r="V28" s="203" t="s">
        <v>266</v>
      </c>
      <c r="W28" s="203" t="s">
        <v>266</v>
      </c>
      <c r="Y28" s="203" t="s">
        <v>266</v>
      </c>
      <c r="Z28" s="203" t="s">
        <v>266</v>
      </c>
      <c r="AA28" s="203" t="s">
        <v>266</v>
      </c>
      <c r="AB28" s="203" t="s">
        <v>266</v>
      </c>
      <c r="AC28" s="203" t="s">
        <v>266</v>
      </c>
      <c r="AD28" s="203" t="s">
        <v>266</v>
      </c>
      <c r="AE28" s="203" t="s">
        <v>266</v>
      </c>
      <c r="AG28">
        <v>1</v>
      </c>
      <c r="AH28">
        <v>1</v>
      </c>
    </row>
    <row r="29" spans="1:34" x14ac:dyDescent="0.25">
      <c r="A29" s="203" t="s">
        <v>266</v>
      </c>
      <c r="B29" s="203"/>
      <c r="C29" s="203"/>
      <c r="D29" s="203"/>
      <c r="E29" s="203" t="s">
        <v>266</v>
      </c>
      <c r="F29" s="203" t="s">
        <v>266</v>
      </c>
      <c r="G29" s="203" t="s">
        <v>266</v>
      </c>
      <c r="I29" s="203" t="s">
        <v>266</v>
      </c>
      <c r="J29" s="203" t="s">
        <v>266</v>
      </c>
      <c r="K29" s="203" t="s">
        <v>266</v>
      </c>
      <c r="L29" s="203" t="s">
        <v>266</v>
      </c>
      <c r="M29" s="203" t="s">
        <v>266</v>
      </c>
      <c r="N29" s="203" t="s">
        <v>266</v>
      </c>
      <c r="O29" s="203" t="s">
        <v>266</v>
      </c>
      <c r="Q29" s="203" t="s">
        <v>266</v>
      </c>
      <c r="R29" s="203" t="s">
        <v>266</v>
      </c>
      <c r="S29" s="203" t="s">
        <v>266</v>
      </c>
      <c r="T29" s="203" t="s">
        <v>266</v>
      </c>
      <c r="U29" s="203" t="s">
        <v>266</v>
      </c>
      <c r="V29" s="203" t="s">
        <v>266</v>
      </c>
      <c r="W29" s="203" t="s">
        <v>266</v>
      </c>
      <c r="Y29" s="203" t="s">
        <v>266</v>
      </c>
      <c r="Z29" s="203" t="s">
        <v>266</v>
      </c>
      <c r="AA29" s="203" t="s">
        <v>266</v>
      </c>
      <c r="AB29" s="203" t="s">
        <v>266</v>
      </c>
      <c r="AC29" s="203" t="s">
        <v>266</v>
      </c>
      <c r="AD29" s="203" t="s">
        <v>266</v>
      </c>
      <c r="AE29" s="203" t="s">
        <v>266</v>
      </c>
      <c r="AG29">
        <v>1</v>
      </c>
      <c r="AH29">
        <v>1</v>
      </c>
    </row>
    <row r="30" spans="1:34" x14ac:dyDescent="0.25">
      <c r="A30" s="203" t="s">
        <v>266</v>
      </c>
      <c r="B30" s="203"/>
      <c r="C30" s="203"/>
      <c r="D30" s="203"/>
      <c r="E30" s="203" t="s">
        <v>266</v>
      </c>
      <c r="F30" s="203" t="s">
        <v>266</v>
      </c>
      <c r="G30" s="203" t="s">
        <v>266</v>
      </c>
      <c r="I30" s="203" t="s">
        <v>266</v>
      </c>
      <c r="J30" s="203" t="s">
        <v>266</v>
      </c>
      <c r="K30" s="203" t="s">
        <v>266</v>
      </c>
      <c r="L30" s="203" t="s">
        <v>266</v>
      </c>
      <c r="M30" s="203" t="s">
        <v>266</v>
      </c>
      <c r="N30" s="203" t="s">
        <v>266</v>
      </c>
      <c r="O30" s="203" t="s">
        <v>266</v>
      </c>
      <c r="Q30" s="203" t="s">
        <v>266</v>
      </c>
      <c r="R30" s="203" t="s">
        <v>266</v>
      </c>
      <c r="S30" s="203" t="s">
        <v>266</v>
      </c>
      <c r="T30" s="203" t="s">
        <v>266</v>
      </c>
      <c r="U30" s="203" t="s">
        <v>266</v>
      </c>
      <c r="V30" s="203" t="s">
        <v>266</v>
      </c>
      <c r="W30" s="203" t="s">
        <v>266</v>
      </c>
      <c r="Y30" s="203" t="s">
        <v>266</v>
      </c>
      <c r="Z30" s="203" t="s">
        <v>266</v>
      </c>
      <c r="AA30" s="203" t="s">
        <v>266</v>
      </c>
      <c r="AB30" s="203" t="s">
        <v>266</v>
      </c>
      <c r="AC30" s="203" t="s">
        <v>266</v>
      </c>
      <c r="AD30" s="203" t="s">
        <v>266</v>
      </c>
      <c r="AE30" s="203" t="s">
        <v>266</v>
      </c>
      <c r="AG30">
        <v>1</v>
      </c>
      <c r="AH30">
        <v>1</v>
      </c>
    </row>
    <row r="31" spans="1:34" x14ac:dyDescent="0.25">
      <c r="A31" s="203" t="s">
        <v>266</v>
      </c>
      <c r="B31" s="203"/>
      <c r="C31" s="203"/>
      <c r="D31" s="203"/>
      <c r="E31" s="203" t="s">
        <v>266</v>
      </c>
      <c r="F31" s="203" t="s">
        <v>266</v>
      </c>
      <c r="G31" s="203" t="s">
        <v>266</v>
      </c>
      <c r="I31" s="203" t="s">
        <v>266</v>
      </c>
      <c r="J31" s="203" t="s">
        <v>266</v>
      </c>
      <c r="K31" s="203" t="s">
        <v>266</v>
      </c>
      <c r="L31" s="203" t="s">
        <v>266</v>
      </c>
      <c r="M31" s="203" t="s">
        <v>266</v>
      </c>
      <c r="N31" s="203" t="s">
        <v>266</v>
      </c>
      <c r="O31" s="203" t="s">
        <v>266</v>
      </c>
      <c r="Q31" s="203" t="s">
        <v>266</v>
      </c>
      <c r="R31" s="203" t="s">
        <v>266</v>
      </c>
      <c r="S31" s="203" t="s">
        <v>266</v>
      </c>
      <c r="T31" s="203" t="s">
        <v>266</v>
      </c>
      <c r="U31" s="203" t="s">
        <v>266</v>
      </c>
      <c r="V31" s="203" t="s">
        <v>266</v>
      </c>
      <c r="W31" s="203" t="s">
        <v>266</v>
      </c>
      <c r="Y31" s="203" t="s">
        <v>266</v>
      </c>
      <c r="Z31" s="203" t="s">
        <v>266</v>
      </c>
      <c r="AA31" s="203" t="s">
        <v>266</v>
      </c>
      <c r="AB31" s="203" t="s">
        <v>266</v>
      </c>
      <c r="AC31" s="203" t="s">
        <v>266</v>
      </c>
      <c r="AD31" s="203" t="s">
        <v>266</v>
      </c>
      <c r="AE31" s="203" t="s">
        <v>266</v>
      </c>
      <c r="AG31">
        <v>1</v>
      </c>
      <c r="AH31">
        <v>1</v>
      </c>
    </row>
    <row r="32" spans="1:34" x14ac:dyDescent="0.25">
      <c r="A32" s="203" t="s">
        <v>266</v>
      </c>
      <c r="B32" s="203"/>
      <c r="C32" s="203"/>
      <c r="D32" s="203"/>
      <c r="E32" s="203" t="s">
        <v>266</v>
      </c>
      <c r="F32" s="203" t="s">
        <v>266</v>
      </c>
      <c r="G32" s="203" t="s">
        <v>266</v>
      </c>
      <c r="I32" s="203" t="s">
        <v>266</v>
      </c>
      <c r="J32" s="203" t="s">
        <v>266</v>
      </c>
      <c r="K32" s="203" t="s">
        <v>266</v>
      </c>
      <c r="L32" s="203" t="s">
        <v>266</v>
      </c>
      <c r="M32" s="203" t="s">
        <v>266</v>
      </c>
      <c r="N32" s="203" t="s">
        <v>266</v>
      </c>
      <c r="O32" s="203" t="s">
        <v>266</v>
      </c>
      <c r="Q32" s="203" t="s">
        <v>266</v>
      </c>
      <c r="R32" s="203" t="s">
        <v>266</v>
      </c>
      <c r="S32" s="203" t="s">
        <v>266</v>
      </c>
      <c r="T32" s="203" t="s">
        <v>266</v>
      </c>
      <c r="U32" s="203" t="s">
        <v>266</v>
      </c>
      <c r="V32" s="203" t="s">
        <v>266</v>
      </c>
      <c r="W32" s="203" t="s">
        <v>266</v>
      </c>
      <c r="Y32" s="203" t="s">
        <v>266</v>
      </c>
      <c r="Z32" s="203" t="s">
        <v>266</v>
      </c>
      <c r="AA32" s="203" t="s">
        <v>266</v>
      </c>
      <c r="AB32" s="203" t="s">
        <v>266</v>
      </c>
      <c r="AC32" s="203" t="s">
        <v>266</v>
      </c>
      <c r="AD32" s="203" t="s">
        <v>266</v>
      </c>
      <c r="AE32" s="203" t="s">
        <v>266</v>
      </c>
      <c r="AG32">
        <v>1</v>
      </c>
      <c r="AH32">
        <v>1</v>
      </c>
    </row>
    <row r="33" spans="1:34" x14ac:dyDescent="0.25">
      <c r="A33" s="203" t="s">
        <v>266</v>
      </c>
      <c r="B33" s="203"/>
      <c r="C33" s="203"/>
      <c r="D33" s="203"/>
      <c r="E33" s="203" t="s">
        <v>266</v>
      </c>
      <c r="F33" s="203" t="s">
        <v>266</v>
      </c>
      <c r="G33" s="203" t="s">
        <v>266</v>
      </c>
      <c r="I33" s="203" t="s">
        <v>266</v>
      </c>
      <c r="J33" s="203" t="s">
        <v>266</v>
      </c>
      <c r="K33" s="203" t="s">
        <v>266</v>
      </c>
      <c r="L33" s="203" t="s">
        <v>266</v>
      </c>
      <c r="M33" s="203" t="s">
        <v>266</v>
      </c>
      <c r="N33" s="203" t="s">
        <v>266</v>
      </c>
      <c r="O33" s="203" t="s">
        <v>266</v>
      </c>
      <c r="Q33" s="203" t="s">
        <v>266</v>
      </c>
      <c r="R33" s="203" t="s">
        <v>266</v>
      </c>
      <c r="S33" s="203" t="s">
        <v>266</v>
      </c>
      <c r="T33" s="203" t="s">
        <v>266</v>
      </c>
      <c r="U33" s="203" t="s">
        <v>266</v>
      </c>
      <c r="V33" s="203" t="s">
        <v>266</v>
      </c>
      <c r="W33" s="203" t="s">
        <v>266</v>
      </c>
      <c r="Y33" s="203" t="s">
        <v>266</v>
      </c>
      <c r="Z33" s="203" t="s">
        <v>266</v>
      </c>
      <c r="AA33" s="203" t="s">
        <v>266</v>
      </c>
      <c r="AB33" s="203" t="s">
        <v>266</v>
      </c>
      <c r="AC33" s="203" t="s">
        <v>266</v>
      </c>
      <c r="AD33" s="203" t="s">
        <v>266</v>
      </c>
      <c r="AE33" s="203" t="s">
        <v>266</v>
      </c>
      <c r="AG33">
        <v>1</v>
      </c>
      <c r="AH33">
        <v>1</v>
      </c>
    </row>
    <row r="34" spans="1:34" x14ac:dyDescent="0.25">
      <c r="A34" s="203" t="s">
        <v>266</v>
      </c>
      <c r="B34" s="203"/>
      <c r="C34" s="203"/>
      <c r="D34" s="203"/>
      <c r="E34" s="203" t="s">
        <v>266</v>
      </c>
      <c r="F34" s="203" t="s">
        <v>266</v>
      </c>
      <c r="G34" s="203" t="s">
        <v>266</v>
      </c>
      <c r="I34" s="203" t="s">
        <v>266</v>
      </c>
      <c r="J34" s="203" t="s">
        <v>266</v>
      </c>
      <c r="K34" s="203" t="s">
        <v>266</v>
      </c>
      <c r="L34" s="203" t="s">
        <v>266</v>
      </c>
      <c r="M34" s="203" t="s">
        <v>266</v>
      </c>
      <c r="N34" s="203" t="s">
        <v>266</v>
      </c>
      <c r="O34" s="203" t="s">
        <v>266</v>
      </c>
      <c r="Q34" s="203" t="s">
        <v>266</v>
      </c>
      <c r="R34" s="203" t="s">
        <v>266</v>
      </c>
      <c r="S34" s="203" t="s">
        <v>266</v>
      </c>
      <c r="T34" s="203" t="s">
        <v>266</v>
      </c>
      <c r="U34" s="203" t="s">
        <v>266</v>
      </c>
      <c r="V34" s="203" t="s">
        <v>266</v>
      </c>
      <c r="W34" s="203" t="s">
        <v>266</v>
      </c>
      <c r="Y34" s="203" t="s">
        <v>266</v>
      </c>
      <c r="Z34" s="203" t="s">
        <v>266</v>
      </c>
      <c r="AA34" s="203" t="s">
        <v>266</v>
      </c>
      <c r="AB34" s="203" t="s">
        <v>266</v>
      </c>
      <c r="AC34" s="203" t="s">
        <v>266</v>
      </c>
      <c r="AD34" s="203" t="s">
        <v>266</v>
      </c>
      <c r="AE34" s="203" t="s">
        <v>266</v>
      </c>
      <c r="AG34">
        <v>1</v>
      </c>
      <c r="AH34">
        <v>1</v>
      </c>
    </row>
    <row r="35" spans="1:34" x14ac:dyDescent="0.25">
      <c r="A35" s="203" t="s">
        <v>266</v>
      </c>
      <c r="B35" s="203"/>
      <c r="C35" s="203"/>
      <c r="D35" s="203"/>
      <c r="E35" s="203" t="s">
        <v>266</v>
      </c>
      <c r="F35" s="203" t="s">
        <v>266</v>
      </c>
      <c r="G35" s="203" t="s">
        <v>266</v>
      </c>
      <c r="I35" s="203" t="s">
        <v>266</v>
      </c>
      <c r="J35" s="203" t="s">
        <v>266</v>
      </c>
      <c r="K35" s="203" t="s">
        <v>266</v>
      </c>
      <c r="L35" s="203" t="s">
        <v>266</v>
      </c>
      <c r="M35" s="203" t="s">
        <v>266</v>
      </c>
      <c r="N35" s="203" t="s">
        <v>266</v>
      </c>
      <c r="O35" s="203" t="s">
        <v>266</v>
      </c>
      <c r="Q35" s="203" t="s">
        <v>266</v>
      </c>
      <c r="R35" s="203" t="s">
        <v>266</v>
      </c>
      <c r="S35" s="203" t="s">
        <v>266</v>
      </c>
      <c r="T35" s="203" t="s">
        <v>266</v>
      </c>
      <c r="U35" s="203" t="s">
        <v>266</v>
      </c>
      <c r="V35" s="203" t="s">
        <v>266</v>
      </c>
      <c r="W35" s="203" t="s">
        <v>266</v>
      </c>
      <c r="Y35" s="203" t="s">
        <v>266</v>
      </c>
      <c r="Z35" s="203" t="s">
        <v>266</v>
      </c>
      <c r="AA35" s="203" t="s">
        <v>266</v>
      </c>
      <c r="AB35" s="203" t="s">
        <v>266</v>
      </c>
      <c r="AC35" s="203" t="s">
        <v>266</v>
      </c>
      <c r="AD35" s="203" t="s">
        <v>266</v>
      </c>
      <c r="AE35" s="203" t="s">
        <v>266</v>
      </c>
      <c r="AG35">
        <v>1</v>
      </c>
      <c r="AH35">
        <v>1</v>
      </c>
    </row>
    <row r="36" spans="1:34" x14ac:dyDescent="0.25">
      <c r="A36" s="203" t="s">
        <v>266</v>
      </c>
      <c r="B36" s="203"/>
      <c r="C36" s="203"/>
      <c r="D36" s="203"/>
      <c r="E36" s="203" t="s">
        <v>266</v>
      </c>
      <c r="F36" s="203" t="s">
        <v>266</v>
      </c>
      <c r="G36" s="203" t="s">
        <v>266</v>
      </c>
      <c r="I36" s="203" t="s">
        <v>266</v>
      </c>
      <c r="J36" s="203" t="s">
        <v>266</v>
      </c>
      <c r="K36" s="203" t="s">
        <v>266</v>
      </c>
      <c r="L36" s="203" t="s">
        <v>266</v>
      </c>
      <c r="M36" s="203" t="s">
        <v>266</v>
      </c>
      <c r="N36" s="203" t="s">
        <v>266</v>
      </c>
      <c r="O36" s="203" t="s">
        <v>266</v>
      </c>
      <c r="Q36" s="203" t="s">
        <v>266</v>
      </c>
      <c r="R36" s="203" t="s">
        <v>266</v>
      </c>
      <c r="S36" s="203" t="s">
        <v>266</v>
      </c>
      <c r="T36" s="203" t="s">
        <v>266</v>
      </c>
      <c r="U36" s="203" t="s">
        <v>266</v>
      </c>
      <c r="V36" s="203" t="s">
        <v>266</v>
      </c>
      <c r="W36" s="203" t="s">
        <v>266</v>
      </c>
      <c r="Y36" s="203" t="s">
        <v>266</v>
      </c>
      <c r="Z36" s="203" t="s">
        <v>266</v>
      </c>
      <c r="AA36" s="203" t="s">
        <v>266</v>
      </c>
      <c r="AB36" s="203" t="s">
        <v>266</v>
      </c>
      <c r="AC36" s="203" t="s">
        <v>266</v>
      </c>
      <c r="AD36" s="203" t="s">
        <v>266</v>
      </c>
      <c r="AE36" s="203" t="s">
        <v>266</v>
      </c>
      <c r="AG36">
        <v>1</v>
      </c>
      <c r="AH36">
        <v>1</v>
      </c>
    </row>
    <row r="37" spans="1:34" x14ac:dyDescent="0.25">
      <c r="A37" s="203" t="s">
        <v>266</v>
      </c>
      <c r="B37" s="203"/>
      <c r="C37" s="203"/>
      <c r="D37" s="203"/>
      <c r="E37" s="203" t="s">
        <v>266</v>
      </c>
      <c r="F37" s="203" t="s">
        <v>266</v>
      </c>
      <c r="G37" s="203" t="s">
        <v>266</v>
      </c>
      <c r="I37" s="203" t="s">
        <v>266</v>
      </c>
      <c r="J37" s="203" t="s">
        <v>266</v>
      </c>
      <c r="K37" s="203" t="s">
        <v>266</v>
      </c>
      <c r="L37" s="203" t="s">
        <v>266</v>
      </c>
      <c r="M37" s="203" t="s">
        <v>266</v>
      </c>
      <c r="N37" s="203" t="s">
        <v>266</v>
      </c>
      <c r="O37" s="203" t="s">
        <v>266</v>
      </c>
      <c r="Q37" s="203" t="s">
        <v>266</v>
      </c>
      <c r="R37" s="203" t="s">
        <v>266</v>
      </c>
      <c r="S37" s="203" t="s">
        <v>266</v>
      </c>
      <c r="T37" s="203" t="s">
        <v>266</v>
      </c>
      <c r="U37" s="203" t="s">
        <v>266</v>
      </c>
      <c r="V37" s="203" t="s">
        <v>266</v>
      </c>
      <c r="W37" s="203" t="s">
        <v>266</v>
      </c>
      <c r="Y37" s="203" t="s">
        <v>266</v>
      </c>
      <c r="Z37" s="203" t="s">
        <v>266</v>
      </c>
      <c r="AA37" s="203" t="s">
        <v>266</v>
      </c>
      <c r="AB37" s="203" t="s">
        <v>266</v>
      </c>
      <c r="AC37" s="203" t="s">
        <v>266</v>
      </c>
      <c r="AD37" s="203" t="s">
        <v>266</v>
      </c>
      <c r="AE37" s="203" t="s">
        <v>266</v>
      </c>
      <c r="AG37">
        <v>1</v>
      </c>
      <c r="AH37">
        <v>1</v>
      </c>
    </row>
    <row r="38" spans="1:34" x14ac:dyDescent="0.25">
      <c r="A38" s="203" t="s">
        <v>266</v>
      </c>
      <c r="B38" s="203"/>
      <c r="C38" s="203"/>
      <c r="D38" s="203"/>
      <c r="E38" s="203" t="s">
        <v>266</v>
      </c>
      <c r="F38" s="203" t="s">
        <v>266</v>
      </c>
      <c r="G38" s="203" t="s">
        <v>266</v>
      </c>
      <c r="I38" s="203" t="s">
        <v>266</v>
      </c>
      <c r="J38" s="203" t="s">
        <v>266</v>
      </c>
      <c r="K38" s="203" t="s">
        <v>266</v>
      </c>
      <c r="L38" s="203" t="s">
        <v>266</v>
      </c>
      <c r="M38" s="203" t="s">
        <v>266</v>
      </c>
      <c r="N38" s="203" t="s">
        <v>266</v>
      </c>
      <c r="O38" s="203" t="s">
        <v>266</v>
      </c>
      <c r="Q38" s="203" t="s">
        <v>266</v>
      </c>
      <c r="R38" s="203" t="s">
        <v>266</v>
      </c>
      <c r="S38" s="203" t="s">
        <v>266</v>
      </c>
      <c r="T38" s="203" t="s">
        <v>266</v>
      </c>
      <c r="U38" s="203" t="s">
        <v>266</v>
      </c>
      <c r="V38" s="203" t="s">
        <v>266</v>
      </c>
      <c r="W38" s="203" t="s">
        <v>266</v>
      </c>
      <c r="Y38" s="203" t="s">
        <v>266</v>
      </c>
      <c r="Z38" s="203" t="s">
        <v>266</v>
      </c>
      <c r="AA38" s="203" t="s">
        <v>266</v>
      </c>
      <c r="AB38" s="203" t="s">
        <v>266</v>
      </c>
      <c r="AC38" s="203" t="s">
        <v>266</v>
      </c>
      <c r="AD38" s="203" t="s">
        <v>266</v>
      </c>
      <c r="AE38" s="203" t="s">
        <v>266</v>
      </c>
      <c r="AG38">
        <v>1</v>
      </c>
      <c r="AH38">
        <v>1</v>
      </c>
    </row>
    <row r="39" spans="1:34" x14ac:dyDescent="0.25">
      <c r="A39" s="203" t="s">
        <v>266</v>
      </c>
      <c r="B39" s="203"/>
      <c r="C39" s="203"/>
      <c r="D39" s="203"/>
      <c r="E39" s="203" t="s">
        <v>266</v>
      </c>
      <c r="F39" s="203" t="s">
        <v>266</v>
      </c>
      <c r="G39" s="203" t="s">
        <v>266</v>
      </c>
      <c r="I39" s="203" t="s">
        <v>266</v>
      </c>
      <c r="J39" s="203" t="s">
        <v>266</v>
      </c>
      <c r="K39" s="203" t="s">
        <v>266</v>
      </c>
      <c r="L39" s="203" t="s">
        <v>266</v>
      </c>
      <c r="M39" s="203" t="s">
        <v>266</v>
      </c>
      <c r="N39" s="203" t="s">
        <v>266</v>
      </c>
      <c r="O39" s="203" t="s">
        <v>266</v>
      </c>
      <c r="Q39" s="203" t="s">
        <v>266</v>
      </c>
      <c r="R39" s="203" t="s">
        <v>266</v>
      </c>
      <c r="S39" s="203" t="s">
        <v>266</v>
      </c>
      <c r="T39" s="203" t="s">
        <v>266</v>
      </c>
      <c r="U39" s="203" t="s">
        <v>266</v>
      </c>
      <c r="V39" s="203" t="s">
        <v>266</v>
      </c>
      <c r="W39" s="203" t="s">
        <v>266</v>
      </c>
      <c r="Y39" s="203" t="s">
        <v>266</v>
      </c>
      <c r="Z39" s="203" t="s">
        <v>266</v>
      </c>
      <c r="AA39" s="203" t="s">
        <v>266</v>
      </c>
      <c r="AB39" s="203" t="s">
        <v>266</v>
      </c>
      <c r="AC39" s="203" t="s">
        <v>266</v>
      </c>
      <c r="AD39" s="203" t="s">
        <v>266</v>
      </c>
      <c r="AE39" s="203" t="s">
        <v>266</v>
      </c>
      <c r="AG39">
        <v>1</v>
      </c>
      <c r="AH39">
        <v>1</v>
      </c>
    </row>
    <row r="40" spans="1:34" x14ac:dyDescent="0.25">
      <c r="A40" s="203" t="s">
        <v>266</v>
      </c>
      <c r="B40" s="203"/>
      <c r="C40" s="203"/>
      <c r="D40" s="203"/>
      <c r="E40" s="203" t="s">
        <v>266</v>
      </c>
      <c r="F40" s="203" t="s">
        <v>266</v>
      </c>
      <c r="G40" s="203" t="s">
        <v>266</v>
      </c>
      <c r="I40" s="203" t="s">
        <v>266</v>
      </c>
      <c r="J40" s="203" t="s">
        <v>266</v>
      </c>
      <c r="K40" s="203" t="s">
        <v>266</v>
      </c>
      <c r="L40" s="203" t="s">
        <v>266</v>
      </c>
      <c r="M40" s="203" t="s">
        <v>266</v>
      </c>
      <c r="N40" s="203" t="s">
        <v>266</v>
      </c>
      <c r="O40" s="203" t="s">
        <v>266</v>
      </c>
      <c r="Q40" s="203" t="s">
        <v>266</v>
      </c>
      <c r="R40" s="203" t="s">
        <v>266</v>
      </c>
      <c r="S40" s="203" t="s">
        <v>266</v>
      </c>
      <c r="T40" s="203" t="s">
        <v>266</v>
      </c>
      <c r="U40" s="203" t="s">
        <v>266</v>
      </c>
      <c r="V40" s="203" t="s">
        <v>266</v>
      </c>
      <c r="W40" s="203" t="s">
        <v>266</v>
      </c>
      <c r="Y40" s="203" t="s">
        <v>266</v>
      </c>
      <c r="Z40" s="203" t="s">
        <v>266</v>
      </c>
      <c r="AA40" s="203" t="s">
        <v>266</v>
      </c>
      <c r="AB40" s="203" t="s">
        <v>266</v>
      </c>
      <c r="AC40" s="203" t="s">
        <v>266</v>
      </c>
      <c r="AD40" s="203" t="s">
        <v>266</v>
      </c>
      <c r="AE40" s="203" t="s">
        <v>266</v>
      </c>
      <c r="AG40">
        <v>1</v>
      </c>
      <c r="AH40">
        <v>1</v>
      </c>
    </row>
    <row r="41" spans="1:34" x14ac:dyDescent="0.25">
      <c r="A41" s="203" t="s">
        <v>266</v>
      </c>
      <c r="B41" s="203"/>
      <c r="C41" s="203"/>
      <c r="D41" s="203"/>
      <c r="E41" s="203" t="s">
        <v>266</v>
      </c>
      <c r="F41" s="203" t="s">
        <v>266</v>
      </c>
      <c r="G41" s="203" t="s">
        <v>266</v>
      </c>
      <c r="I41" s="203" t="s">
        <v>266</v>
      </c>
      <c r="J41" s="203" t="s">
        <v>266</v>
      </c>
      <c r="K41" s="203" t="s">
        <v>266</v>
      </c>
      <c r="L41" s="203" t="s">
        <v>266</v>
      </c>
      <c r="M41" s="203" t="s">
        <v>266</v>
      </c>
      <c r="N41" s="203" t="s">
        <v>266</v>
      </c>
      <c r="O41" s="203" t="s">
        <v>266</v>
      </c>
      <c r="Q41" s="203" t="s">
        <v>266</v>
      </c>
      <c r="R41" s="203" t="s">
        <v>266</v>
      </c>
      <c r="S41" s="203" t="s">
        <v>266</v>
      </c>
      <c r="T41" s="203" t="s">
        <v>266</v>
      </c>
      <c r="U41" s="203" t="s">
        <v>266</v>
      </c>
      <c r="V41" s="203" t="s">
        <v>266</v>
      </c>
      <c r="W41" s="203" t="s">
        <v>266</v>
      </c>
      <c r="Y41" s="203" t="s">
        <v>266</v>
      </c>
      <c r="Z41" s="203" t="s">
        <v>266</v>
      </c>
      <c r="AA41" s="203" t="s">
        <v>266</v>
      </c>
      <c r="AB41" s="203" t="s">
        <v>266</v>
      </c>
      <c r="AC41" s="203" t="s">
        <v>266</v>
      </c>
      <c r="AD41" s="203" t="s">
        <v>266</v>
      </c>
      <c r="AE41" s="203" t="s">
        <v>266</v>
      </c>
      <c r="AG41">
        <v>1</v>
      </c>
      <c r="AH41">
        <v>1</v>
      </c>
    </row>
    <row r="42" spans="1:34" x14ac:dyDescent="0.25">
      <c r="A42" s="203" t="s">
        <v>266</v>
      </c>
      <c r="B42" s="203"/>
      <c r="C42" s="203"/>
      <c r="D42" s="203"/>
      <c r="E42" s="203" t="s">
        <v>266</v>
      </c>
      <c r="F42" s="203" t="s">
        <v>266</v>
      </c>
      <c r="G42" s="203" t="s">
        <v>266</v>
      </c>
      <c r="I42" s="203" t="s">
        <v>266</v>
      </c>
      <c r="J42" s="203" t="s">
        <v>266</v>
      </c>
      <c r="K42" s="203" t="s">
        <v>266</v>
      </c>
      <c r="L42" s="203" t="s">
        <v>266</v>
      </c>
      <c r="M42" s="203" t="s">
        <v>266</v>
      </c>
      <c r="N42" s="203" t="s">
        <v>266</v>
      </c>
      <c r="O42" s="203" t="s">
        <v>266</v>
      </c>
      <c r="Q42" s="203" t="s">
        <v>266</v>
      </c>
      <c r="R42" s="203" t="s">
        <v>266</v>
      </c>
      <c r="S42" s="203" t="s">
        <v>266</v>
      </c>
      <c r="T42" s="203" t="s">
        <v>266</v>
      </c>
      <c r="U42" s="203" t="s">
        <v>266</v>
      </c>
      <c r="V42" s="203" t="s">
        <v>266</v>
      </c>
      <c r="W42" s="203" t="s">
        <v>266</v>
      </c>
      <c r="Y42" s="203" t="s">
        <v>266</v>
      </c>
      <c r="Z42" s="203" t="s">
        <v>266</v>
      </c>
      <c r="AA42" s="203" t="s">
        <v>266</v>
      </c>
      <c r="AB42" s="203" t="s">
        <v>266</v>
      </c>
      <c r="AC42" s="203" t="s">
        <v>266</v>
      </c>
      <c r="AD42" s="203" t="s">
        <v>266</v>
      </c>
      <c r="AE42" s="203" t="s">
        <v>266</v>
      </c>
      <c r="AG42">
        <v>1</v>
      </c>
      <c r="AH42">
        <v>1</v>
      </c>
    </row>
    <row r="43" spans="1:34" x14ac:dyDescent="0.25">
      <c r="A43" s="203" t="s">
        <v>266</v>
      </c>
      <c r="B43" s="203"/>
      <c r="C43" s="203"/>
      <c r="D43" s="203"/>
      <c r="E43" s="203" t="s">
        <v>266</v>
      </c>
      <c r="F43" s="203" t="s">
        <v>266</v>
      </c>
      <c r="G43" s="203" t="s">
        <v>266</v>
      </c>
      <c r="I43" s="203" t="s">
        <v>266</v>
      </c>
      <c r="J43" s="203" t="s">
        <v>266</v>
      </c>
      <c r="K43" s="203" t="s">
        <v>266</v>
      </c>
      <c r="L43" s="203" t="s">
        <v>266</v>
      </c>
      <c r="M43" s="203" t="s">
        <v>266</v>
      </c>
      <c r="N43" s="203" t="s">
        <v>266</v>
      </c>
      <c r="O43" s="203" t="s">
        <v>266</v>
      </c>
      <c r="Q43" s="203" t="s">
        <v>266</v>
      </c>
      <c r="R43" s="203" t="s">
        <v>266</v>
      </c>
      <c r="S43" s="203" t="s">
        <v>266</v>
      </c>
      <c r="T43" s="203" t="s">
        <v>266</v>
      </c>
      <c r="U43" s="203" t="s">
        <v>266</v>
      </c>
      <c r="V43" s="203" t="s">
        <v>266</v>
      </c>
      <c r="W43" s="203" t="s">
        <v>266</v>
      </c>
      <c r="Y43" s="203" t="s">
        <v>266</v>
      </c>
      <c r="Z43" s="203" t="s">
        <v>266</v>
      </c>
      <c r="AA43" s="203" t="s">
        <v>266</v>
      </c>
      <c r="AB43" s="203" t="s">
        <v>266</v>
      </c>
      <c r="AC43" s="203" t="s">
        <v>266</v>
      </c>
      <c r="AD43" s="203" t="s">
        <v>266</v>
      </c>
      <c r="AE43" s="203" t="s">
        <v>266</v>
      </c>
      <c r="AG43">
        <v>1</v>
      </c>
      <c r="AH43">
        <v>1</v>
      </c>
    </row>
    <row r="44" spans="1:34" x14ac:dyDescent="0.25">
      <c r="A44" s="203" t="s">
        <v>266</v>
      </c>
      <c r="B44" s="203"/>
      <c r="C44" s="203"/>
      <c r="D44" s="203"/>
      <c r="E44" s="203" t="s">
        <v>266</v>
      </c>
      <c r="F44" s="203" t="s">
        <v>266</v>
      </c>
      <c r="G44" s="203" t="s">
        <v>266</v>
      </c>
      <c r="I44" s="203" t="s">
        <v>266</v>
      </c>
      <c r="J44" s="203" t="s">
        <v>266</v>
      </c>
      <c r="K44" s="203" t="s">
        <v>266</v>
      </c>
      <c r="L44" s="203" t="s">
        <v>266</v>
      </c>
      <c r="M44" s="203" t="s">
        <v>266</v>
      </c>
      <c r="N44" s="203" t="s">
        <v>266</v>
      </c>
      <c r="O44" s="203" t="s">
        <v>266</v>
      </c>
      <c r="Q44" s="203" t="s">
        <v>266</v>
      </c>
      <c r="R44" s="203" t="s">
        <v>266</v>
      </c>
      <c r="S44" s="203" t="s">
        <v>266</v>
      </c>
      <c r="T44" s="203" t="s">
        <v>266</v>
      </c>
      <c r="U44" s="203" t="s">
        <v>266</v>
      </c>
      <c r="V44" s="203" t="s">
        <v>266</v>
      </c>
      <c r="W44" s="203" t="s">
        <v>266</v>
      </c>
      <c r="Y44" s="203" t="s">
        <v>266</v>
      </c>
      <c r="Z44" s="203" t="s">
        <v>266</v>
      </c>
      <c r="AA44" s="203" t="s">
        <v>266</v>
      </c>
      <c r="AB44" s="203" t="s">
        <v>266</v>
      </c>
      <c r="AC44" s="203" t="s">
        <v>266</v>
      </c>
      <c r="AD44" s="203" t="s">
        <v>266</v>
      </c>
      <c r="AE44" s="203" t="s">
        <v>266</v>
      </c>
      <c r="AG44">
        <v>1</v>
      </c>
      <c r="AH44">
        <v>1</v>
      </c>
    </row>
    <row r="45" spans="1:34" x14ac:dyDescent="0.25">
      <c r="A45" s="203" t="s">
        <v>266</v>
      </c>
      <c r="B45" s="203"/>
      <c r="C45" s="203"/>
      <c r="D45" s="203"/>
      <c r="E45" s="203" t="s">
        <v>266</v>
      </c>
      <c r="F45" s="203" t="s">
        <v>266</v>
      </c>
      <c r="G45" s="203" t="s">
        <v>266</v>
      </c>
      <c r="I45" s="203" t="s">
        <v>266</v>
      </c>
      <c r="J45" s="203" t="s">
        <v>266</v>
      </c>
      <c r="K45" s="203" t="s">
        <v>266</v>
      </c>
      <c r="L45" s="203" t="s">
        <v>266</v>
      </c>
      <c r="M45" s="203" t="s">
        <v>266</v>
      </c>
      <c r="N45" s="203" t="s">
        <v>266</v>
      </c>
      <c r="O45" s="203" t="s">
        <v>266</v>
      </c>
      <c r="Q45" s="203" t="s">
        <v>266</v>
      </c>
      <c r="R45" s="203" t="s">
        <v>266</v>
      </c>
      <c r="S45" s="203" t="s">
        <v>266</v>
      </c>
      <c r="T45" s="203" t="s">
        <v>266</v>
      </c>
      <c r="U45" s="203" t="s">
        <v>266</v>
      </c>
      <c r="V45" s="203" t="s">
        <v>266</v>
      </c>
      <c r="W45" s="203" t="s">
        <v>266</v>
      </c>
      <c r="Y45" s="203" t="s">
        <v>266</v>
      </c>
      <c r="Z45" s="203" t="s">
        <v>266</v>
      </c>
      <c r="AA45" s="203" t="s">
        <v>266</v>
      </c>
      <c r="AB45" s="203" t="s">
        <v>266</v>
      </c>
      <c r="AC45" s="203" t="s">
        <v>266</v>
      </c>
      <c r="AD45" s="203" t="s">
        <v>266</v>
      </c>
      <c r="AE45" s="203" t="s">
        <v>266</v>
      </c>
      <c r="AG45">
        <v>1</v>
      </c>
      <c r="AH45">
        <v>1</v>
      </c>
    </row>
    <row r="46" spans="1:34" x14ac:dyDescent="0.25">
      <c r="A46" s="203" t="s">
        <v>266</v>
      </c>
      <c r="B46" s="203"/>
      <c r="C46" s="203"/>
      <c r="D46" s="203"/>
      <c r="E46" s="203" t="s">
        <v>266</v>
      </c>
      <c r="F46" s="203" t="s">
        <v>266</v>
      </c>
      <c r="G46" s="203" t="s">
        <v>266</v>
      </c>
      <c r="I46" s="203" t="s">
        <v>266</v>
      </c>
      <c r="J46" s="203" t="s">
        <v>266</v>
      </c>
      <c r="K46" s="203" t="s">
        <v>266</v>
      </c>
      <c r="L46" s="203" t="s">
        <v>266</v>
      </c>
      <c r="M46" s="203" t="s">
        <v>266</v>
      </c>
      <c r="N46" s="203" t="s">
        <v>266</v>
      </c>
      <c r="O46" s="203" t="s">
        <v>266</v>
      </c>
      <c r="Q46" s="203" t="s">
        <v>266</v>
      </c>
      <c r="R46" s="203" t="s">
        <v>266</v>
      </c>
      <c r="S46" s="203" t="s">
        <v>266</v>
      </c>
      <c r="T46" s="203" t="s">
        <v>266</v>
      </c>
      <c r="U46" s="203" t="s">
        <v>266</v>
      </c>
      <c r="V46" s="203" t="s">
        <v>266</v>
      </c>
      <c r="W46" s="203" t="s">
        <v>266</v>
      </c>
      <c r="Y46" s="203" t="s">
        <v>266</v>
      </c>
      <c r="Z46" s="203" t="s">
        <v>266</v>
      </c>
      <c r="AA46" s="203" t="s">
        <v>266</v>
      </c>
      <c r="AB46" s="203" t="s">
        <v>266</v>
      </c>
      <c r="AC46" s="203" t="s">
        <v>266</v>
      </c>
      <c r="AD46" s="203" t="s">
        <v>266</v>
      </c>
      <c r="AE46" s="203" t="s">
        <v>266</v>
      </c>
      <c r="AG46">
        <v>1</v>
      </c>
      <c r="AH46">
        <v>1</v>
      </c>
    </row>
    <row r="47" spans="1:34" x14ac:dyDescent="0.25">
      <c r="A47" s="203" t="s">
        <v>266</v>
      </c>
      <c r="B47" s="203"/>
      <c r="C47" s="203"/>
      <c r="D47" s="203"/>
      <c r="E47" s="203" t="s">
        <v>266</v>
      </c>
      <c r="F47" s="203" t="s">
        <v>266</v>
      </c>
      <c r="G47" s="203" t="s">
        <v>266</v>
      </c>
      <c r="I47" s="203" t="s">
        <v>266</v>
      </c>
      <c r="J47" s="203" t="s">
        <v>266</v>
      </c>
      <c r="K47" s="203" t="s">
        <v>266</v>
      </c>
      <c r="L47" s="203" t="s">
        <v>266</v>
      </c>
      <c r="M47" s="203" t="s">
        <v>266</v>
      </c>
      <c r="N47" s="203" t="s">
        <v>266</v>
      </c>
      <c r="O47" s="203" t="s">
        <v>266</v>
      </c>
      <c r="Q47" s="203" t="s">
        <v>266</v>
      </c>
      <c r="R47" s="203" t="s">
        <v>266</v>
      </c>
      <c r="S47" s="203" t="s">
        <v>266</v>
      </c>
      <c r="T47" s="203" t="s">
        <v>266</v>
      </c>
      <c r="U47" s="203" t="s">
        <v>266</v>
      </c>
      <c r="V47" s="203" t="s">
        <v>266</v>
      </c>
      <c r="W47" s="203" t="s">
        <v>266</v>
      </c>
      <c r="Y47" s="203" t="s">
        <v>266</v>
      </c>
      <c r="Z47" s="203" t="s">
        <v>266</v>
      </c>
      <c r="AA47" s="203" t="s">
        <v>266</v>
      </c>
      <c r="AB47" s="203" t="s">
        <v>266</v>
      </c>
      <c r="AC47" s="203" t="s">
        <v>266</v>
      </c>
      <c r="AD47" s="203" t="s">
        <v>266</v>
      </c>
      <c r="AE47" s="203" t="s">
        <v>266</v>
      </c>
      <c r="AG47">
        <v>1</v>
      </c>
      <c r="AH47">
        <v>1</v>
      </c>
    </row>
    <row r="48" spans="1:34" x14ac:dyDescent="0.25">
      <c r="A48" s="203" t="s">
        <v>266</v>
      </c>
      <c r="B48" s="203"/>
      <c r="C48" s="203"/>
      <c r="D48" s="203"/>
      <c r="E48" s="203" t="s">
        <v>266</v>
      </c>
      <c r="F48" s="203" t="s">
        <v>266</v>
      </c>
      <c r="G48" s="203" t="s">
        <v>266</v>
      </c>
      <c r="I48" s="203" t="s">
        <v>266</v>
      </c>
      <c r="J48" s="203" t="s">
        <v>266</v>
      </c>
      <c r="K48" s="203" t="s">
        <v>266</v>
      </c>
      <c r="L48" s="203" t="s">
        <v>266</v>
      </c>
      <c r="M48" s="203" t="s">
        <v>266</v>
      </c>
      <c r="N48" s="203" t="s">
        <v>266</v>
      </c>
      <c r="O48" s="203" t="s">
        <v>266</v>
      </c>
      <c r="Q48" s="203" t="s">
        <v>266</v>
      </c>
      <c r="R48" s="203" t="s">
        <v>266</v>
      </c>
      <c r="S48" s="203" t="s">
        <v>266</v>
      </c>
      <c r="T48" s="203" t="s">
        <v>266</v>
      </c>
      <c r="U48" s="203" t="s">
        <v>266</v>
      </c>
      <c r="V48" s="203" t="s">
        <v>266</v>
      </c>
      <c r="W48" s="203" t="s">
        <v>266</v>
      </c>
      <c r="Y48" s="203" t="s">
        <v>266</v>
      </c>
      <c r="Z48" s="203" t="s">
        <v>266</v>
      </c>
      <c r="AA48" s="203" t="s">
        <v>266</v>
      </c>
      <c r="AB48" s="203" t="s">
        <v>266</v>
      </c>
      <c r="AC48" s="203" t="s">
        <v>266</v>
      </c>
      <c r="AD48" s="203" t="s">
        <v>266</v>
      </c>
      <c r="AE48" s="203" t="s">
        <v>266</v>
      </c>
      <c r="AG48">
        <v>1</v>
      </c>
      <c r="AH48">
        <v>1</v>
      </c>
    </row>
    <row r="49" spans="1:34" x14ac:dyDescent="0.25">
      <c r="A49" s="203" t="s">
        <v>266</v>
      </c>
      <c r="B49" s="203"/>
      <c r="C49" s="203"/>
      <c r="D49" s="203"/>
      <c r="E49" s="203" t="s">
        <v>266</v>
      </c>
      <c r="F49" s="203" t="s">
        <v>266</v>
      </c>
      <c r="G49" s="203" t="s">
        <v>266</v>
      </c>
      <c r="I49" s="203" t="s">
        <v>266</v>
      </c>
      <c r="J49" s="203" t="s">
        <v>266</v>
      </c>
      <c r="K49" s="203" t="s">
        <v>266</v>
      </c>
      <c r="L49" s="203" t="s">
        <v>266</v>
      </c>
      <c r="M49" s="203" t="s">
        <v>266</v>
      </c>
      <c r="N49" s="203" t="s">
        <v>266</v>
      </c>
      <c r="O49" s="203" t="s">
        <v>266</v>
      </c>
      <c r="Q49" s="203" t="s">
        <v>266</v>
      </c>
      <c r="R49" s="203" t="s">
        <v>266</v>
      </c>
      <c r="S49" s="203" t="s">
        <v>266</v>
      </c>
      <c r="T49" s="203" t="s">
        <v>266</v>
      </c>
      <c r="U49" s="203" t="s">
        <v>266</v>
      </c>
      <c r="V49" s="203" t="s">
        <v>266</v>
      </c>
      <c r="W49" s="203" t="s">
        <v>266</v>
      </c>
      <c r="Y49" s="203" t="s">
        <v>266</v>
      </c>
      <c r="Z49" s="203" t="s">
        <v>266</v>
      </c>
      <c r="AA49" s="203" t="s">
        <v>266</v>
      </c>
      <c r="AB49" s="203" t="s">
        <v>266</v>
      </c>
      <c r="AC49" s="203" t="s">
        <v>266</v>
      </c>
      <c r="AD49" s="203" t="s">
        <v>266</v>
      </c>
      <c r="AE49" s="203" t="s">
        <v>266</v>
      </c>
      <c r="AG49">
        <v>1</v>
      </c>
      <c r="AH49">
        <v>1</v>
      </c>
    </row>
    <row r="50" spans="1:34" x14ac:dyDescent="0.25">
      <c r="A50" s="203" t="s">
        <v>266</v>
      </c>
      <c r="B50" s="203"/>
      <c r="C50" s="203"/>
      <c r="D50" s="203"/>
      <c r="E50" s="203" t="s">
        <v>266</v>
      </c>
      <c r="F50" s="203" t="s">
        <v>266</v>
      </c>
      <c r="G50" s="203" t="s">
        <v>266</v>
      </c>
      <c r="I50" s="203" t="s">
        <v>266</v>
      </c>
      <c r="J50" s="203" t="s">
        <v>266</v>
      </c>
      <c r="K50" s="203" t="s">
        <v>266</v>
      </c>
      <c r="L50" s="203" t="s">
        <v>266</v>
      </c>
      <c r="M50" s="203" t="s">
        <v>266</v>
      </c>
      <c r="N50" s="203" t="s">
        <v>266</v>
      </c>
      <c r="O50" s="203" t="s">
        <v>266</v>
      </c>
      <c r="Q50" s="203" t="s">
        <v>266</v>
      </c>
      <c r="R50" s="203" t="s">
        <v>266</v>
      </c>
      <c r="S50" s="203" t="s">
        <v>266</v>
      </c>
      <c r="T50" s="203" t="s">
        <v>266</v>
      </c>
      <c r="U50" s="203" t="s">
        <v>266</v>
      </c>
      <c r="V50" s="203" t="s">
        <v>266</v>
      </c>
      <c r="W50" s="203" t="s">
        <v>266</v>
      </c>
      <c r="Y50" s="203" t="s">
        <v>266</v>
      </c>
      <c r="Z50" s="203" t="s">
        <v>266</v>
      </c>
      <c r="AA50" s="203" t="s">
        <v>266</v>
      </c>
      <c r="AB50" s="203" t="s">
        <v>266</v>
      </c>
      <c r="AC50" s="203" t="s">
        <v>266</v>
      </c>
      <c r="AD50" s="203" t="s">
        <v>266</v>
      </c>
      <c r="AE50" s="203" t="s">
        <v>266</v>
      </c>
      <c r="AG50">
        <v>1</v>
      </c>
      <c r="AH50">
        <v>1</v>
      </c>
    </row>
    <row r="51" spans="1:34" x14ac:dyDescent="0.25">
      <c r="A51" s="203" t="s">
        <v>266</v>
      </c>
      <c r="B51" s="203"/>
      <c r="C51" s="203"/>
      <c r="D51" s="203"/>
      <c r="E51" s="203" t="s">
        <v>266</v>
      </c>
      <c r="F51" s="203" t="s">
        <v>266</v>
      </c>
      <c r="G51" s="203" t="s">
        <v>266</v>
      </c>
      <c r="I51" s="203" t="s">
        <v>266</v>
      </c>
      <c r="J51" s="203" t="s">
        <v>266</v>
      </c>
      <c r="K51" s="203" t="s">
        <v>266</v>
      </c>
      <c r="L51" s="203" t="s">
        <v>266</v>
      </c>
      <c r="M51" s="203" t="s">
        <v>266</v>
      </c>
      <c r="N51" s="203" t="s">
        <v>266</v>
      </c>
      <c r="O51" s="203" t="s">
        <v>266</v>
      </c>
      <c r="Q51" s="203" t="s">
        <v>266</v>
      </c>
      <c r="R51" s="203" t="s">
        <v>266</v>
      </c>
      <c r="S51" s="203" t="s">
        <v>266</v>
      </c>
      <c r="T51" s="203" t="s">
        <v>266</v>
      </c>
      <c r="U51" s="203" t="s">
        <v>266</v>
      </c>
      <c r="V51" s="203" t="s">
        <v>266</v>
      </c>
      <c r="W51" s="203" t="s">
        <v>266</v>
      </c>
      <c r="Y51" s="203" t="s">
        <v>266</v>
      </c>
      <c r="Z51" s="203" t="s">
        <v>266</v>
      </c>
      <c r="AA51" s="203" t="s">
        <v>266</v>
      </c>
      <c r="AB51" s="203" t="s">
        <v>266</v>
      </c>
      <c r="AC51" s="203" t="s">
        <v>266</v>
      </c>
      <c r="AD51" s="203" t="s">
        <v>266</v>
      </c>
      <c r="AE51" s="203" t="s">
        <v>266</v>
      </c>
      <c r="AG51">
        <v>1</v>
      </c>
      <c r="AH51">
        <v>1</v>
      </c>
    </row>
    <row r="52" spans="1:34" x14ac:dyDescent="0.25">
      <c r="A52" s="203" t="s">
        <v>266</v>
      </c>
      <c r="B52" s="203"/>
      <c r="C52" s="203"/>
      <c r="D52" s="203"/>
      <c r="E52" s="203" t="s">
        <v>266</v>
      </c>
      <c r="F52" s="203" t="s">
        <v>266</v>
      </c>
      <c r="G52" s="203" t="s">
        <v>266</v>
      </c>
      <c r="I52" s="203" t="s">
        <v>266</v>
      </c>
      <c r="J52" s="203" t="s">
        <v>266</v>
      </c>
      <c r="K52" s="203" t="s">
        <v>266</v>
      </c>
      <c r="L52" s="203" t="s">
        <v>266</v>
      </c>
      <c r="M52" s="203" t="s">
        <v>266</v>
      </c>
      <c r="N52" s="203" t="s">
        <v>266</v>
      </c>
      <c r="O52" s="203" t="s">
        <v>266</v>
      </c>
      <c r="Q52" s="203" t="s">
        <v>266</v>
      </c>
      <c r="R52" s="203" t="s">
        <v>266</v>
      </c>
      <c r="S52" s="203" t="s">
        <v>266</v>
      </c>
      <c r="T52" s="203" t="s">
        <v>266</v>
      </c>
      <c r="U52" s="203" t="s">
        <v>266</v>
      </c>
      <c r="V52" s="203" t="s">
        <v>266</v>
      </c>
      <c r="W52" s="203" t="s">
        <v>266</v>
      </c>
      <c r="Y52" s="203" t="s">
        <v>266</v>
      </c>
      <c r="Z52" s="203" t="s">
        <v>266</v>
      </c>
      <c r="AA52" s="203" t="s">
        <v>266</v>
      </c>
      <c r="AB52" s="203" t="s">
        <v>266</v>
      </c>
      <c r="AC52" s="203" t="s">
        <v>266</v>
      </c>
      <c r="AD52" s="203" t="s">
        <v>266</v>
      </c>
      <c r="AE52" s="203" t="s">
        <v>266</v>
      </c>
      <c r="AG52">
        <v>1</v>
      </c>
      <c r="AH52">
        <v>1</v>
      </c>
    </row>
    <row r="53" spans="1:34" ht="15.75" customHeight="1" x14ac:dyDescent="0.25">
      <c r="A53" s="203" t="s">
        <v>266</v>
      </c>
      <c r="B53" s="203"/>
      <c r="C53" s="203"/>
      <c r="D53" s="203"/>
      <c r="E53" s="203" t="s">
        <v>266</v>
      </c>
      <c r="F53" s="203" t="s">
        <v>266</v>
      </c>
      <c r="G53" s="203" t="s">
        <v>266</v>
      </c>
      <c r="I53" s="203" t="s">
        <v>266</v>
      </c>
      <c r="J53" s="203" t="s">
        <v>266</v>
      </c>
      <c r="K53" s="203" t="s">
        <v>266</v>
      </c>
      <c r="L53" s="203" t="s">
        <v>266</v>
      </c>
      <c r="M53" s="203" t="s">
        <v>266</v>
      </c>
      <c r="N53" s="203" t="s">
        <v>266</v>
      </c>
      <c r="O53" s="203" t="s">
        <v>266</v>
      </c>
      <c r="Q53" s="203" t="s">
        <v>266</v>
      </c>
      <c r="R53" s="203" t="s">
        <v>266</v>
      </c>
      <c r="S53" s="203" t="s">
        <v>266</v>
      </c>
      <c r="T53" s="203" t="s">
        <v>266</v>
      </c>
      <c r="U53" s="203" t="s">
        <v>266</v>
      </c>
      <c r="V53" s="203" t="s">
        <v>266</v>
      </c>
      <c r="W53" s="203" t="s">
        <v>266</v>
      </c>
      <c r="Y53" s="203" t="s">
        <v>266</v>
      </c>
      <c r="Z53" s="203" t="s">
        <v>266</v>
      </c>
      <c r="AA53" s="203" t="s">
        <v>266</v>
      </c>
      <c r="AB53" s="203" t="s">
        <v>266</v>
      </c>
      <c r="AC53" s="203" t="s">
        <v>266</v>
      </c>
      <c r="AD53" s="203" t="s">
        <v>266</v>
      </c>
      <c r="AE53" s="203" t="s">
        <v>266</v>
      </c>
      <c r="AG53">
        <v>1</v>
      </c>
      <c r="AH53">
        <v>1</v>
      </c>
    </row>
    <row r="54" spans="1:34" x14ac:dyDescent="0.25">
      <c r="A54" s="203" t="s">
        <v>266</v>
      </c>
      <c r="B54" s="203"/>
      <c r="C54" s="203"/>
      <c r="D54" s="203"/>
      <c r="E54" s="203" t="s">
        <v>266</v>
      </c>
      <c r="F54" s="203" t="s">
        <v>266</v>
      </c>
      <c r="G54" s="203" t="s">
        <v>266</v>
      </c>
      <c r="I54" s="203" t="s">
        <v>266</v>
      </c>
      <c r="J54" s="203" t="s">
        <v>266</v>
      </c>
      <c r="K54" s="203" t="s">
        <v>266</v>
      </c>
      <c r="L54" s="203" t="s">
        <v>266</v>
      </c>
      <c r="M54" s="203" t="s">
        <v>266</v>
      </c>
      <c r="N54" s="203" t="s">
        <v>266</v>
      </c>
      <c r="O54" s="203" t="s">
        <v>266</v>
      </c>
      <c r="Q54" s="203" t="s">
        <v>266</v>
      </c>
      <c r="R54" s="203" t="s">
        <v>266</v>
      </c>
      <c r="S54" s="203" t="s">
        <v>266</v>
      </c>
      <c r="T54" s="203" t="s">
        <v>266</v>
      </c>
      <c r="U54" s="203" t="s">
        <v>266</v>
      </c>
      <c r="V54" s="203" t="s">
        <v>266</v>
      </c>
      <c r="W54" s="203" t="s">
        <v>266</v>
      </c>
      <c r="Y54" s="203" t="s">
        <v>266</v>
      </c>
      <c r="Z54" s="203" t="s">
        <v>266</v>
      </c>
      <c r="AA54" s="203" t="s">
        <v>266</v>
      </c>
      <c r="AB54" s="203" t="s">
        <v>266</v>
      </c>
      <c r="AC54" s="203" t="s">
        <v>266</v>
      </c>
      <c r="AD54" s="203" t="s">
        <v>266</v>
      </c>
      <c r="AE54" s="203" t="s">
        <v>266</v>
      </c>
      <c r="AG54">
        <v>1</v>
      </c>
      <c r="AH54">
        <v>1</v>
      </c>
    </row>
    <row r="55" spans="1:34" x14ac:dyDescent="0.25">
      <c r="A55" s="203" t="s">
        <v>266</v>
      </c>
      <c r="B55" s="203"/>
      <c r="C55" s="203"/>
      <c r="D55" s="203"/>
      <c r="E55" s="203" t="s">
        <v>266</v>
      </c>
      <c r="F55" s="203" t="s">
        <v>266</v>
      </c>
      <c r="G55" s="203" t="s">
        <v>266</v>
      </c>
      <c r="I55" s="203" t="s">
        <v>266</v>
      </c>
      <c r="J55" s="203" t="s">
        <v>266</v>
      </c>
      <c r="K55" s="203" t="s">
        <v>266</v>
      </c>
      <c r="L55" s="203" t="s">
        <v>266</v>
      </c>
      <c r="M55" s="203" t="s">
        <v>266</v>
      </c>
      <c r="N55" s="203" t="s">
        <v>266</v>
      </c>
      <c r="O55" s="203" t="s">
        <v>266</v>
      </c>
      <c r="Q55" s="203" t="s">
        <v>266</v>
      </c>
      <c r="R55" s="203" t="s">
        <v>266</v>
      </c>
      <c r="S55" s="203" t="s">
        <v>266</v>
      </c>
      <c r="T55" s="203" t="s">
        <v>266</v>
      </c>
      <c r="U55" s="203" t="s">
        <v>266</v>
      </c>
      <c r="V55" s="203" t="s">
        <v>266</v>
      </c>
      <c r="W55" s="203" t="s">
        <v>266</v>
      </c>
      <c r="Y55" s="203" t="s">
        <v>266</v>
      </c>
      <c r="Z55" s="203" t="s">
        <v>266</v>
      </c>
      <c r="AA55" s="203" t="s">
        <v>266</v>
      </c>
      <c r="AB55" s="203" t="s">
        <v>266</v>
      </c>
      <c r="AC55" s="203" t="s">
        <v>266</v>
      </c>
      <c r="AD55" s="203" t="s">
        <v>266</v>
      </c>
      <c r="AE55" s="203" t="s">
        <v>266</v>
      </c>
      <c r="AG55">
        <v>1</v>
      </c>
      <c r="AH55">
        <v>1</v>
      </c>
    </row>
    <row r="56" spans="1:34" x14ac:dyDescent="0.25">
      <c r="A56" s="203" t="s">
        <v>266</v>
      </c>
      <c r="B56" s="203"/>
      <c r="C56" s="203"/>
      <c r="D56" s="203"/>
      <c r="E56" s="203" t="s">
        <v>266</v>
      </c>
      <c r="F56" s="203" t="s">
        <v>266</v>
      </c>
      <c r="G56" s="203" t="s">
        <v>266</v>
      </c>
      <c r="I56" s="203" t="s">
        <v>266</v>
      </c>
      <c r="J56" s="203" t="s">
        <v>266</v>
      </c>
      <c r="K56" s="203" t="s">
        <v>266</v>
      </c>
      <c r="L56" s="203" t="s">
        <v>266</v>
      </c>
      <c r="M56" s="203" t="s">
        <v>266</v>
      </c>
      <c r="N56" s="203" t="s">
        <v>266</v>
      </c>
      <c r="O56" s="203" t="s">
        <v>266</v>
      </c>
      <c r="Q56" s="203" t="s">
        <v>266</v>
      </c>
      <c r="R56" s="203" t="s">
        <v>266</v>
      </c>
      <c r="S56" s="203" t="s">
        <v>266</v>
      </c>
      <c r="T56" s="203" t="s">
        <v>266</v>
      </c>
      <c r="U56" s="203" t="s">
        <v>266</v>
      </c>
      <c r="V56" s="203" t="s">
        <v>266</v>
      </c>
      <c r="W56" s="203" t="s">
        <v>266</v>
      </c>
      <c r="Y56" s="203" t="s">
        <v>266</v>
      </c>
      <c r="Z56" s="203" t="s">
        <v>266</v>
      </c>
      <c r="AA56" s="203" t="s">
        <v>266</v>
      </c>
      <c r="AB56" s="203" t="s">
        <v>266</v>
      </c>
      <c r="AC56" s="203" t="s">
        <v>266</v>
      </c>
      <c r="AD56" s="203" t="s">
        <v>266</v>
      </c>
      <c r="AE56" s="203" t="s">
        <v>266</v>
      </c>
      <c r="AG56">
        <v>1</v>
      </c>
      <c r="AH56">
        <v>1</v>
      </c>
    </row>
    <row r="57" spans="1:34" x14ac:dyDescent="0.25">
      <c r="A57" s="203" t="s">
        <v>266</v>
      </c>
      <c r="B57" s="203"/>
      <c r="C57" s="203"/>
      <c r="D57" s="203"/>
      <c r="E57" s="203" t="s">
        <v>266</v>
      </c>
      <c r="F57" s="203" t="s">
        <v>266</v>
      </c>
      <c r="G57" s="203" t="s">
        <v>266</v>
      </c>
      <c r="I57" s="203" t="s">
        <v>266</v>
      </c>
      <c r="J57" s="203" t="s">
        <v>266</v>
      </c>
      <c r="K57" s="203" t="s">
        <v>266</v>
      </c>
      <c r="L57" s="203" t="s">
        <v>266</v>
      </c>
      <c r="M57" s="203" t="s">
        <v>266</v>
      </c>
      <c r="N57" s="203" t="s">
        <v>266</v>
      </c>
      <c r="O57" s="203" t="s">
        <v>266</v>
      </c>
      <c r="Q57" s="203" t="s">
        <v>266</v>
      </c>
      <c r="R57" s="203" t="s">
        <v>266</v>
      </c>
      <c r="S57" s="203" t="s">
        <v>266</v>
      </c>
      <c r="T57" s="203" t="s">
        <v>266</v>
      </c>
      <c r="U57" s="203" t="s">
        <v>266</v>
      </c>
      <c r="V57" s="203" t="s">
        <v>266</v>
      </c>
      <c r="W57" s="203" t="s">
        <v>266</v>
      </c>
      <c r="Y57" s="203" t="s">
        <v>266</v>
      </c>
      <c r="Z57" s="203" t="s">
        <v>266</v>
      </c>
      <c r="AA57" s="203" t="s">
        <v>266</v>
      </c>
      <c r="AB57" s="203" t="s">
        <v>266</v>
      </c>
      <c r="AC57" s="203" t="s">
        <v>266</v>
      </c>
      <c r="AD57" s="203" t="s">
        <v>266</v>
      </c>
      <c r="AE57" s="203" t="s">
        <v>266</v>
      </c>
      <c r="AG57">
        <v>1</v>
      </c>
      <c r="AH57">
        <v>1</v>
      </c>
    </row>
    <row r="58" spans="1:34" x14ac:dyDescent="0.25">
      <c r="A58" s="203" t="s">
        <v>266</v>
      </c>
      <c r="B58" s="203"/>
      <c r="C58" s="203"/>
      <c r="D58" s="203"/>
      <c r="E58" s="203" t="s">
        <v>266</v>
      </c>
      <c r="F58" s="203" t="s">
        <v>266</v>
      </c>
      <c r="G58" s="203" t="s">
        <v>266</v>
      </c>
      <c r="I58" s="203" t="s">
        <v>266</v>
      </c>
      <c r="J58" s="203" t="s">
        <v>266</v>
      </c>
      <c r="K58" s="203" t="s">
        <v>266</v>
      </c>
      <c r="L58" s="203" t="s">
        <v>266</v>
      </c>
      <c r="M58" s="203" t="s">
        <v>266</v>
      </c>
      <c r="N58" s="203" t="s">
        <v>266</v>
      </c>
      <c r="O58" s="203" t="s">
        <v>266</v>
      </c>
      <c r="Q58" s="203" t="s">
        <v>266</v>
      </c>
      <c r="R58" s="203" t="s">
        <v>266</v>
      </c>
      <c r="S58" s="203" t="s">
        <v>266</v>
      </c>
      <c r="T58" s="203" t="s">
        <v>266</v>
      </c>
      <c r="U58" s="203" t="s">
        <v>266</v>
      </c>
      <c r="V58" s="203" t="s">
        <v>266</v>
      </c>
      <c r="W58" s="203" t="s">
        <v>266</v>
      </c>
      <c r="Y58" s="203" t="s">
        <v>266</v>
      </c>
      <c r="Z58" s="203" t="s">
        <v>266</v>
      </c>
      <c r="AA58" s="203" t="s">
        <v>266</v>
      </c>
      <c r="AB58" s="203" t="s">
        <v>266</v>
      </c>
      <c r="AC58" s="203" t="s">
        <v>266</v>
      </c>
      <c r="AD58" s="203" t="s">
        <v>266</v>
      </c>
      <c r="AE58" s="203" t="s">
        <v>266</v>
      </c>
      <c r="AG58">
        <v>1</v>
      </c>
      <c r="AH58">
        <v>1</v>
      </c>
    </row>
    <row r="59" spans="1:34" x14ac:dyDescent="0.25">
      <c r="A59" s="203" t="s">
        <v>266</v>
      </c>
      <c r="B59" s="203"/>
      <c r="C59" s="203"/>
      <c r="D59" s="203"/>
      <c r="E59" s="203" t="s">
        <v>266</v>
      </c>
      <c r="F59" s="203" t="s">
        <v>266</v>
      </c>
      <c r="G59" s="203" t="s">
        <v>266</v>
      </c>
      <c r="I59" s="203" t="s">
        <v>266</v>
      </c>
      <c r="J59" s="203" t="s">
        <v>266</v>
      </c>
      <c r="K59" s="203" t="s">
        <v>266</v>
      </c>
      <c r="L59" s="203" t="s">
        <v>266</v>
      </c>
      <c r="M59" s="203" t="s">
        <v>266</v>
      </c>
      <c r="N59" s="203" t="s">
        <v>266</v>
      </c>
      <c r="O59" s="203" t="s">
        <v>266</v>
      </c>
      <c r="Q59" s="203" t="s">
        <v>266</v>
      </c>
      <c r="R59" s="203" t="s">
        <v>266</v>
      </c>
      <c r="S59" s="203" t="s">
        <v>266</v>
      </c>
      <c r="T59" s="203" t="s">
        <v>266</v>
      </c>
      <c r="U59" s="203" t="s">
        <v>266</v>
      </c>
      <c r="V59" s="203" t="s">
        <v>266</v>
      </c>
      <c r="W59" s="203" t="s">
        <v>266</v>
      </c>
      <c r="Y59" s="203" t="s">
        <v>266</v>
      </c>
      <c r="Z59" s="203" t="s">
        <v>266</v>
      </c>
      <c r="AA59" s="203" t="s">
        <v>266</v>
      </c>
      <c r="AB59" s="203" t="s">
        <v>266</v>
      </c>
      <c r="AC59" s="203" t="s">
        <v>266</v>
      </c>
      <c r="AD59" s="203" t="s">
        <v>266</v>
      </c>
      <c r="AE59" s="203" t="s">
        <v>266</v>
      </c>
      <c r="AG59">
        <v>1</v>
      </c>
      <c r="AH59">
        <v>1</v>
      </c>
    </row>
    <row r="60" spans="1:34" x14ac:dyDescent="0.25">
      <c r="A60" s="203" t="s">
        <v>266</v>
      </c>
      <c r="B60" s="203"/>
      <c r="C60" s="203"/>
      <c r="D60" s="203"/>
      <c r="E60" s="203" t="s">
        <v>266</v>
      </c>
      <c r="F60" s="203" t="s">
        <v>266</v>
      </c>
      <c r="G60" s="203" t="s">
        <v>266</v>
      </c>
      <c r="I60" s="203" t="s">
        <v>266</v>
      </c>
      <c r="J60" s="203" t="s">
        <v>266</v>
      </c>
      <c r="K60" s="203" t="s">
        <v>266</v>
      </c>
      <c r="L60" s="203" t="s">
        <v>266</v>
      </c>
      <c r="M60" s="203" t="s">
        <v>266</v>
      </c>
      <c r="N60" s="203" t="s">
        <v>266</v>
      </c>
      <c r="O60" s="203" t="s">
        <v>266</v>
      </c>
      <c r="Q60" s="203" t="s">
        <v>266</v>
      </c>
      <c r="R60" s="203" t="s">
        <v>266</v>
      </c>
      <c r="S60" s="203" t="s">
        <v>266</v>
      </c>
      <c r="T60" s="203" t="s">
        <v>266</v>
      </c>
      <c r="U60" s="203" t="s">
        <v>266</v>
      </c>
      <c r="V60" s="203" t="s">
        <v>266</v>
      </c>
      <c r="W60" s="203" t="s">
        <v>266</v>
      </c>
      <c r="Y60" s="203" t="s">
        <v>266</v>
      </c>
      <c r="Z60" s="203" t="s">
        <v>266</v>
      </c>
      <c r="AA60" s="203" t="s">
        <v>266</v>
      </c>
      <c r="AB60" s="203" t="s">
        <v>266</v>
      </c>
      <c r="AC60" s="203" t="s">
        <v>266</v>
      </c>
      <c r="AD60" s="203" t="s">
        <v>266</v>
      </c>
      <c r="AE60" s="203" t="s">
        <v>266</v>
      </c>
      <c r="AG60">
        <v>1</v>
      </c>
      <c r="AH60">
        <v>1</v>
      </c>
    </row>
    <row r="61" spans="1:34" x14ac:dyDescent="0.25">
      <c r="A61" s="203" t="s">
        <v>266</v>
      </c>
      <c r="B61" s="203"/>
      <c r="C61" s="203"/>
      <c r="D61" s="203"/>
      <c r="E61" s="203" t="s">
        <v>266</v>
      </c>
      <c r="F61" s="203" t="s">
        <v>266</v>
      </c>
      <c r="G61" s="203" t="s">
        <v>266</v>
      </c>
      <c r="I61" s="203" t="s">
        <v>266</v>
      </c>
      <c r="J61" s="203" t="s">
        <v>266</v>
      </c>
      <c r="K61" s="203" t="s">
        <v>266</v>
      </c>
      <c r="L61" s="203" t="s">
        <v>266</v>
      </c>
      <c r="M61" s="203" t="s">
        <v>266</v>
      </c>
      <c r="N61" s="203" t="s">
        <v>266</v>
      </c>
      <c r="O61" s="203" t="s">
        <v>266</v>
      </c>
      <c r="Q61" s="203" t="s">
        <v>266</v>
      </c>
      <c r="R61" s="203" t="s">
        <v>266</v>
      </c>
      <c r="S61" s="203" t="s">
        <v>266</v>
      </c>
      <c r="T61" s="203" t="s">
        <v>266</v>
      </c>
      <c r="U61" s="203" t="s">
        <v>266</v>
      </c>
      <c r="V61" s="203" t="s">
        <v>266</v>
      </c>
      <c r="W61" s="203" t="s">
        <v>266</v>
      </c>
      <c r="Y61" s="203" t="s">
        <v>266</v>
      </c>
      <c r="Z61" s="203" t="s">
        <v>266</v>
      </c>
      <c r="AA61" s="203" t="s">
        <v>266</v>
      </c>
      <c r="AB61" s="203" t="s">
        <v>266</v>
      </c>
      <c r="AC61" s="203" t="s">
        <v>266</v>
      </c>
      <c r="AD61" s="203" t="s">
        <v>266</v>
      </c>
      <c r="AE61" s="203" t="s">
        <v>266</v>
      </c>
      <c r="AG61">
        <v>1</v>
      </c>
      <c r="AH61">
        <v>1</v>
      </c>
    </row>
    <row r="62" spans="1:34" x14ac:dyDescent="0.25">
      <c r="A62" s="203" t="s">
        <v>266</v>
      </c>
      <c r="B62" s="203"/>
      <c r="C62" s="203"/>
      <c r="D62" s="203"/>
      <c r="E62" s="203" t="s">
        <v>266</v>
      </c>
      <c r="F62" s="203" t="s">
        <v>266</v>
      </c>
      <c r="G62" s="203" t="s">
        <v>266</v>
      </c>
      <c r="I62" s="203" t="s">
        <v>266</v>
      </c>
      <c r="J62" s="203" t="s">
        <v>266</v>
      </c>
      <c r="K62" s="203" t="s">
        <v>266</v>
      </c>
      <c r="L62" s="203" t="s">
        <v>266</v>
      </c>
      <c r="M62" s="203" t="s">
        <v>266</v>
      </c>
      <c r="N62" s="203" t="s">
        <v>266</v>
      </c>
      <c r="O62" s="203" t="s">
        <v>266</v>
      </c>
      <c r="Q62" s="203" t="s">
        <v>266</v>
      </c>
      <c r="R62" s="203" t="s">
        <v>266</v>
      </c>
      <c r="S62" s="203" t="s">
        <v>266</v>
      </c>
      <c r="T62" s="203" t="s">
        <v>266</v>
      </c>
      <c r="U62" s="203" t="s">
        <v>266</v>
      </c>
      <c r="V62" s="203" t="s">
        <v>266</v>
      </c>
      <c r="W62" s="203" t="s">
        <v>266</v>
      </c>
      <c r="Y62" s="203" t="s">
        <v>266</v>
      </c>
      <c r="Z62" s="203" t="s">
        <v>266</v>
      </c>
      <c r="AA62" s="203" t="s">
        <v>266</v>
      </c>
      <c r="AB62" s="203" t="s">
        <v>266</v>
      </c>
      <c r="AC62" s="203" t="s">
        <v>266</v>
      </c>
      <c r="AD62" s="203" t="s">
        <v>266</v>
      </c>
      <c r="AE62" s="203" t="s">
        <v>266</v>
      </c>
      <c r="AG62">
        <v>1</v>
      </c>
      <c r="AH62">
        <v>1</v>
      </c>
    </row>
    <row r="63" spans="1:34" x14ac:dyDescent="0.25">
      <c r="A63" s="203" t="s">
        <v>266</v>
      </c>
      <c r="B63" s="203"/>
      <c r="C63" s="203"/>
      <c r="D63" s="203"/>
      <c r="E63" s="203" t="s">
        <v>266</v>
      </c>
      <c r="F63" s="203" t="s">
        <v>266</v>
      </c>
      <c r="G63" s="203" t="s">
        <v>266</v>
      </c>
      <c r="I63" s="203" t="s">
        <v>266</v>
      </c>
      <c r="J63" s="203" t="s">
        <v>266</v>
      </c>
      <c r="K63" s="203" t="s">
        <v>266</v>
      </c>
      <c r="L63" s="203" t="s">
        <v>266</v>
      </c>
      <c r="M63" s="203" t="s">
        <v>266</v>
      </c>
      <c r="N63" s="203" t="s">
        <v>266</v>
      </c>
      <c r="O63" s="203" t="s">
        <v>266</v>
      </c>
      <c r="Q63" s="203" t="s">
        <v>266</v>
      </c>
      <c r="R63" s="203" t="s">
        <v>266</v>
      </c>
      <c r="S63" s="203" t="s">
        <v>266</v>
      </c>
      <c r="T63" s="203" t="s">
        <v>266</v>
      </c>
      <c r="U63" s="203" t="s">
        <v>266</v>
      </c>
      <c r="V63" s="203" t="s">
        <v>266</v>
      </c>
      <c r="W63" s="203" t="s">
        <v>266</v>
      </c>
      <c r="Y63" s="203" t="s">
        <v>266</v>
      </c>
      <c r="Z63" s="203" t="s">
        <v>266</v>
      </c>
      <c r="AA63" s="203" t="s">
        <v>266</v>
      </c>
      <c r="AB63" s="203" t="s">
        <v>266</v>
      </c>
      <c r="AC63" s="203" t="s">
        <v>266</v>
      </c>
      <c r="AD63" s="203" t="s">
        <v>266</v>
      </c>
      <c r="AE63" s="203" t="s">
        <v>266</v>
      </c>
      <c r="AG63">
        <v>1</v>
      </c>
      <c r="AH63">
        <v>1</v>
      </c>
    </row>
    <row r="64" spans="1:34" x14ac:dyDescent="0.25">
      <c r="A64" s="203" t="s">
        <v>266</v>
      </c>
      <c r="B64" s="203"/>
      <c r="C64" s="203"/>
      <c r="D64" s="203"/>
      <c r="E64" s="203" t="s">
        <v>266</v>
      </c>
      <c r="F64" s="203" t="s">
        <v>266</v>
      </c>
      <c r="G64" s="203" t="s">
        <v>266</v>
      </c>
      <c r="I64" s="203" t="s">
        <v>266</v>
      </c>
      <c r="J64" s="203" t="s">
        <v>266</v>
      </c>
      <c r="K64" s="203" t="s">
        <v>266</v>
      </c>
      <c r="L64" s="203" t="s">
        <v>266</v>
      </c>
      <c r="M64" s="203" t="s">
        <v>266</v>
      </c>
      <c r="N64" s="203" t="s">
        <v>266</v>
      </c>
      <c r="O64" s="203" t="s">
        <v>266</v>
      </c>
      <c r="Q64" s="203" t="s">
        <v>266</v>
      </c>
      <c r="R64" s="203" t="s">
        <v>266</v>
      </c>
      <c r="S64" s="203" t="s">
        <v>266</v>
      </c>
      <c r="T64" s="203" t="s">
        <v>266</v>
      </c>
      <c r="U64" s="203" t="s">
        <v>266</v>
      </c>
      <c r="V64" s="203" t="s">
        <v>266</v>
      </c>
      <c r="W64" s="203" t="s">
        <v>266</v>
      </c>
      <c r="Y64" s="203" t="s">
        <v>266</v>
      </c>
      <c r="Z64" s="203" t="s">
        <v>266</v>
      </c>
      <c r="AA64" s="203" t="s">
        <v>266</v>
      </c>
      <c r="AB64" s="203" t="s">
        <v>266</v>
      </c>
      <c r="AC64" s="203" t="s">
        <v>266</v>
      </c>
      <c r="AD64" s="203" t="s">
        <v>266</v>
      </c>
      <c r="AE64" s="203" t="s">
        <v>266</v>
      </c>
      <c r="AG64">
        <v>1</v>
      </c>
      <c r="AH64">
        <v>1</v>
      </c>
    </row>
    <row r="65" spans="1:34" x14ac:dyDescent="0.25">
      <c r="A65" s="203" t="s">
        <v>266</v>
      </c>
      <c r="B65" s="203"/>
      <c r="C65" s="203"/>
      <c r="D65" s="203"/>
      <c r="E65" s="203" t="s">
        <v>266</v>
      </c>
      <c r="F65" s="203" t="s">
        <v>266</v>
      </c>
      <c r="G65" s="203" t="s">
        <v>266</v>
      </c>
      <c r="I65" s="203" t="s">
        <v>266</v>
      </c>
      <c r="J65" s="203" t="s">
        <v>266</v>
      </c>
      <c r="K65" s="203" t="s">
        <v>266</v>
      </c>
      <c r="L65" s="203" t="s">
        <v>266</v>
      </c>
      <c r="M65" s="203" t="s">
        <v>266</v>
      </c>
      <c r="N65" s="203" t="s">
        <v>266</v>
      </c>
      <c r="O65" s="203" t="s">
        <v>266</v>
      </c>
      <c r="Q65" s="203" t="s">
        <v>266</v>
      </c>
      <c r="R65" s="203" t="s">
        <v>266</v>
      </c>
      <c r="S65" s="203" t="s">
        <v>266</v>
      </c>
      <c r="T65" s="203" t="s">
        <v>266</v>
      </c>
      <c r="U65" s="203" t="s">
        <v>266</v>
      </c>
      <c r="V65" s="203" t="s">
        <v>266</v>
      </c>
      <c r="W65" s="203" t="s">
        <v>266</v>
      </c>
      <c r="Y65" s="203" t="s">
        <v>266</v>
      </c>
      <c r="Z65" s="203" t="s">
        <v>266</v>
      </c>
      <c r="AA65" s="203" t="s">
        <v>266</v>
      </c>
      <c r="AB65" s="203" t="s">
        <v>266</v>
      </c>
      <c r="AC65" s="203" t="s">
        <v>266</v>
      </c>
      <c r="AD65" s="203" t="s">
        <v>266</v>
      </c>
      <c r="AE65" s="203" t="s">
        <v>266</v>
      </c>
      <c r="AG65">
        <v>1</v>
      </c>
      <c r="AH65">
        <v>1</v>
      </c>
    </row>
    <row r="66" spans="1:34" x14ac:dyDescent="0.25">
      <c r="A66" s="203" t="s">
        <v>266</v>
      </c>
      <c r="B66" s="203"/>
      <c r="C66" s="203"/>
      <c r="D66" s="203"/>
      <c r="E66" s="203" t="s">
        <v>266</v>
      </c>
      <c r="F66" s="203" t="s">
        <v>266</v>
      </c>
      <c r="G66" s="203" t="s">
        <v>266</v>
      </c>
      <c r="I66" s="203" t="s">
        <v>266</v>
      </c>
      <c r="J66" s="203" t="s">
        <v>266</v>
      </c>
      <c r="K66" s="203" t="s">
        <v>266</v>
      </c>
      <c r="L66" s="203" t="s">
        <v>266</v>
      </c>
      <c r="M66" s="203" t="s">
        <v>266</v>
      </c>
      <c r="N66" s="203" t="s">
        <v>266</v>
      </c>
      <c r="O66" s="203" t="s">
        <v>266</v>
      </c>
      <c r="Q66" s="203" t="s">
        <v>266</v>
      </c>
      <c r="R66" s="203" t="s">
        <v>266</v>
      </c>
      <c r="S66" s="203" t="s">
        <v>266</v>
      </c>
      <c r="T66" s="203" t="s">
        <v>266</v>
      </c>
      <c r="U66" s="203" t="s">
        <v>266</v>
      </c>
      <c r="V66" s="203" t="s">
        <v>266</v>
      </c>
      <c r="W66" s="203" t="s">
        <v>266</v>
      </c>
      <c r="Y66" s="203" t="s">
        <v>266</v>
      </c>
      <c r="Z66" s="203" t="s">
        <v>266</v>
      </c>
      <c r="AA66" s="203" t="s">
        <v>266</v>
      </c>
      <c r="AB66" s="203" t="s">
        <v>266</v>
      </c>
      <c r="AC66" s="203" t="s">
        <v>266</v>
      </c>
      <c r="AD66" s="203" t="s">
        <v>266</v>
      </c>
      <c r="AE66" s="203" t="s">
        <v>266</v>
      </c>
      <c r="AG66">
        <v>1</v>
      </c>
      <c r="AH66">
        <v>1</v>
      </c>
    </row>
    <row r="67" spans="1:34" x14ac:dyDescent="0.25">
      <c r="A67" s="203" t="s">
        <v>266</v>
      </c>
      <c r="B67" s="203"/>
      <c r="C67" s="203"/>
      <c r="D67" s="203"/>
      <c r="E67" s="203" t="s">
        <v>266</v>
      </c>
      <c r="F67" s="203" t="s">
        <v>266</v>
      </c>
      <c r="G67" s="203" t="s">
        <v>266</v>
      </c>
      <c r="I67" s="203" t="s">
        <v>266</v>
      </c>
      <c r="J67" s="203" t="s">
        <v>266</v>
      </c>
      <c r="K67" s="203" t="s">
        <v>266</v>
      </c>
      <c r="L67" s="203" t="s">
        <v>266</v>
      </c>
      <c r="M67" s="203" t="s">
        <v>266</v>
      </c>
      <c r="N67" s="203" t="s">
        <v>266</v>
      </c>
      <c r="O67" s="203" t="s">
        <v>266</v>
      </c>
      <c r="Q67" s="203" t="s">
        <v>266</v>
      </c>
      <c r="R67" s="203" t="s">
        <v>266</v>
      </c>
      <c r="S67" s="203" t="s">
        <v>266</v>
      </c>
      <c r="T67" s="203" t="s">
        <v>266</v>
      </c>
      <c r="U67" s="203" t="s">
        <v>266</v>
      </c>
      <c r="V67" s="203" t="s">
        <v>266</v>
      </c>
      <c r="W67" s="203" t="s">
        <v>266</v>
      </c>
      <c r="Y67" s="203" t="s">
        <v>266</v>
      </c>
      <c r="Z67" s="203" t="s">
        <v>266</v>
      </c>
      <c r="AA67" s="203" t="s">
        <v>266</v>
      </c>
      <c r="AB67" s="203" t="s">
        <v>266</v>
      </c>
      <c r="AC67" s="203" t="s">
        <v>266</v>
      </c>
      <c r="AD67" s="203" t="s">
        <v>266</v>
      </c>
      <c r="AE67" s="203" t="s">
        <v>266</v>
      </c>
      <c r="AG67">
        <v>1</v>
      </c>
      <c r="AH67">
        <v>1</v>
      </c>
    </row>
    <row r="68" spans="1:34" x14ac:dyDescent="0.25">
      <c r="A68" s="203" t="s">
        <v>266</v>
      </c>
      <c r="B68" s="203"/>
      <c r="C68" s="203"/>
      <c r="D68" s="203"/>
      <c r="E68" s="203" t="s">
        <v>266</v>
      </c>
      <c r="F68" s="203" t="s">
        <v>266</v>
      </c>
      <c r="G68" s="203" t="s">
        <v>266</v>
      </c>
      <c r="I68" s="203" t="s">
        <v>266</v>
      </c>
      <c r="J68" s="203" t="s">
        <v>266</v>
      </c>
      <c r="K68" s="203" t="s">
        <v>266</v>
      </c>
      <c r="L68" s="203" t="s">
        <v>266</v>
      </c>
      <c r="M68" s="203" t="s">
        <v>266</v>
      </c>
      <c r="N68" s="203" t="s">
        <v>266</v>
      </c>
      <c r="O68" s="203" t="s">
        <v>266</v>
      </c>
      <c r="Q68" s="203" t="s">
        <v>266</v>
      </c>
      <c r="R68" s="203" t="s">
        <v>266</v>
      </c>
      <c r="S68" s="203" t="s">
        <v>266</v>
      </c>
      <c r="T68" s="203" t="s">
        <v>266</v>
      </c>
      <c r="U68" s="203" t="s">
        <v>266</v>
      </c>
      <c r="V68" s="203" t="s">
        <v>266</v>
      </c>
      <c r="W68" s="203" t="s">
        <v>266</v>
      </c>
      <c r="Y68" s="203" t="s">
        <v>266</v>
      </c>
      <c r="Z68" s="203" t="s">
        <v>266</v>
      </c>
      <c r="AA68" s="203" t="s">
        <v>266</v>
      </c>
      <c r="AB68" s="203" t="s">
        <v>266</v>
      </c>
      <c r="AC68" s="203" t="s">
        <v>266</v>
      </c>
      <c r="AD68" s="203" t="s">
        <v>266</v>
      </c>
      <c r="AE68" s="203" t="s">
        <v>266</v>
      </c>
      <c r="AG68">
        <v>1</v>
      </c>
      <c r="AH68">
        <v>1</v>
      </c>
    </row>
    <row r="69" spans="1:34" x14ac:dyDescent="0.25">
      <c r="A69" s="203" t="s">
        <v>266</v>
      </c>
      <c r="B69" s="203"/>
      <c r="C69" s="203"/>
      <c r="D69" s="203"/>
      <c r="E69" s="203" t="s">
        <v>266</v>
      </c>
      <c r="F69" s="203" t="s">
        <v>266</v>
      </c>
      <c r="G69" s="203" t="s">
        <v>266</v>
      </c>
      <c r="I69" s="203" t="s">
        <v>266</v>
      </c>
      <c r="J69" s="203" t="s">
        <v>266</v>
      </c>
      <c r="K69" s="203" t="s">
        <v>266</v>
      </c>
      <c r="L69" s="203" t="s">
        <v>266</v>
      </c>
      <c r="M69" s="203" t="s">
        <v>266</v>
      </c>
      <c r="N69" s="203" t="s">
        <v>266</v>
      </c>
      <c r="O69" s="203" t="s">
        <v>266</v>
      </c>
      <c r="Q69" s="203" t="s">
        <v>266</v>
      </c>
      <c r="R69" s="203" t="s">
        <v>266</v>
      </c>
      <c r="S69" s="203" t="s">
        <v>266</v>
      </c>
      <c r="T69" s="203" t="s">
        <v>266</v>
      </c>
      <c r="U69" s="203" t="s">
        <v>266</v>
      </c>
      <c r="V69" s="203" t="s">
        <v>266</v>
      </c>
      <c r="W69" s="203" t="s">
        <v>266</v>
      </c>
      <c r="Y69" s="203" t="s">
        <v>266</v>
      </c>
      <c r="Z69" s="203" t="s">
        <v>266</v>
      </c>
      <c r="AA69" s="203" t="s">
        <v>266</v>
      </c>
      <c r="AB69" s="203" t="s">
        <v>266</v>
      </c>
      <c r="AC69" s="203" t="s">
        <v>266</v>
      </c>
      <c r="AD69" s="203" t="s">
        <v>266</v>
      </c>
      <c r="AE69" s="203" t="s">
        <v>266</v>
      </c>
      <c r="AG69">
        <v>1</v>
      </c>
      <c r="AH69">
        <v>1</v>
      </c>
    </row>
    <row r="70" spans="1:34" x14ac:dyDescent="0.25">
      <c r="A70" s="203" t="s">
        <v>266</v>
      </c>
      <c r="B70" s="203"/>
      <c r="C70" s="203"/>
      <c r="D70" s="203"/>
      <c r="E70" s="203" t="s">
        <v>266</v>
      </c>
      <c r="F70" s="203" t="s">
        <v>266</v>
      </c>
      <c r="G70" s="203" t="s">
        <v>266</v>
      </c>
      <c r="I70" s="203" t="s">
        <v>266</v>
      </c>
      <c r="J70" s="203" t="s">
        <v>266</v>
      </c>
      <c r="K70" s="203" t="s">
        <v>266</v>
      </c>
      <c r="L70" s="203" t="s">
        <v>266</v>
      </c>
      <c r="M70" s="203" t="s">
        <v>266</v>
      </c>
      <c r="N70" s="203" t="s">
        <v>266</v>
      </c>
      <c r="O70" s="203" t="s">
        <v>266</v>
      </c>
      <c r="Q70" s="203" t="s">
        <v>266</v>
      </c>
      <c r="R70" s="203" t="s">
        <v>266</v>
      </c>
      <c r="S70" s="203" t="s">
        <v>266</v>
      </c>
      <c r="T70" s="203" t="s">
        <v>266</v>
      </c>
      <c r="U70" s="203" t="s">
        <v>266</v>
      </c>
      <c r="V70" s="203" t="s">
        <v>266</v>
      </c>
      <c r="W70" s="203" t="s">
        <v>266</v>
      </c>
      <c r="Y70" s="203" t="s">
        <v>266</v>
      </c>
      <c r="Z70" s="203" t="s">
        <v>266</v>
      </c>
      <c r="AA70" s="203" t="s">
        <v>266</v>
      </c>
      <c r="AB70" s="203" t="s">
        <v>266</v>
      </c>
      <c r="AC70" s="203" t="s">
        <v>266</v>
      </c>
      <c r="AD70" s="203" t="s">
        <v>266</v>
      </c>
      <c r="AE70" s="203" t="s">
        <v>266</v>
      </c>
      <c r="AG70">
        <v>1</v>
      </c>
      <c r="AH70">
        <v>1</v>
      </c>
    </row>
    <row r="71" spans="1:34" x14ac:dyDescent="0.25">
      <c r="A71" s="203" t="s">
        <v>266</v>
      </c>
      <c r="B71" s="203"/>
      <c r="C71" s="203"/>
      <c r="D71" s="203"/>
      <c r="E71" s="203" t="s">
        <v>266</v>
      </c>
      <c r="F71" s="203" t="s">
        <v>266</v>
      </c>
      <c r="G71" s="203" t="s">
        <v>266</v>
      </c>
      <c r="I71" s="203" t="s">
        <v>266</v>
      </c>
      <c r="J71" s="203" t="s">
        <v>266</v>
      </c>
      <c r="K71" s="203" t="s">
        <v>266</v>
      </c>
      <c r="L71" s="203" t="s">
        <v>266</v>
      </c>
      <c r="M71" s="203" t="s">
        <v>266</v>
      </c>
      <c r="N71" s="203" t="s">
        <v>266</v>
      </c>
      <c r="O71" s="203" t="s">
        <v>266</v>
      </c>
      <c r="Q71" s="203" t="s">
        <v>266</v>
      </c>
      <c r="R71" s="203" t="s">
        <v>266</v>
      </c>
      <c r="S71" s="203" t="s">
        <v>266</v>
      </c>
      <c r="T71" s="203" t="s">
        <v>266</v>
      </c>
      <c r="U71" s="203" t="s">
        <v>266</v>
      </c>
      <c r="V71" s="203" t="s">
        <v>266</v>
      </c>
      <c r="W71" s="203" t="s">
        <v>266</v>
      </c>
      <c r="Y71" s="203" t="s">
        <v>266</v>
      </c>
      <c r="Z71" s="203" t="s">
        <v>266</v>
      </c>
      <c r="AA71" s="203" t="s">
        <v>266</v>
      </c>
      <c r="AB71" s="203" t="s">
        <v>266</v>
      </c>
      <c r="AC71" s="203" t="s">
        <v>266</v>
      </c>
      <c r="AD71" s="203" t="s">
        <v>266</v>
      </c>
      <c r="AE71" s="203" t="s">
        <v>266</v>
      </c>
      <c r="AG71">
        <v>1</v>
      </c>
      <c r="AH71">
        <v>1</v>
      </c>
    </row>
    <row r="72" spans="1:34" x14ac:dyDescent="0.25">
      <c r="A72" s="203" t="s">
        <v>266</v>
      </c>
      <c r="B72" s="203"/>
      <c r="C72" s="203"/>
      <c r="D72" s="203"/>
      <c r="E72" s="203" t="s">
        <v>266</v>
      </c>
      <c r="F72" s="203" t="s">
        <v>266</v>
      </c>
      <c r="G72" s="203" t="s">
        <v>266</v>
      </c>
      <c r="I72" s="203" t="s">
        <v>266</v>
      </c>
      <c r="J72" s="203" t="s">
        <v>266</v>
      </c>
      <c r="K72" s="203" t="s">
        <v>266</v>
      </c>
      <c r="L72" s="203" t="s">
        <v>266</v>
      </c>
      <c r="M72" s="203" t="s">
        <v>266</v>
      </c>
      <c r="N72" s="203" t="s">
        <v>266</v>
      </c>
      <c r="O72" s="203" t="s">
        <v>266</v>
      </c>
      <c r="Q72" s="203" t="s">
        <v>266</v>
      </c>
      <c r="R72" s="203" t="s">
        <v>266</v>
      </c>
      <c r="S72" s="203" t="s">
        <v>266</v>
      </c>
      <c r="T72" s="203" t="s">
        <v>266</v>
      </c>
      <c r="U72" s="203" t="s">
        <v>266</v>
      </c>
      <c r="V72" s="203" t="s">
        <v>266</v>
      </c>
      <c r="W72" s="203" t="s">
        <v>266</v>
      </c>
      <c r="Y72" s="203" t="s">
        <v>266</v>
      </c>
      <c r="Z72" s="203" t="s">
        <v>266</v>
      </c>
      <c r="AA72" s="203" t="s">
        <v>266</v>
      </c>
      <c r="AB72" s="203" t="s">
        <v>266</v>
      </c>
      <c r="AC72" s="203" t="s">
        <v>266</v>
      </c>
      <c r="AD72" s="203" t="s">
        <v>266</v>
      </c>
      <c r="AE72" s="203" t="s">
        <v>266</v>
      </c>
      <c r="AG72">
        <v>1</v>
      </c>
      <c r="AH72">
        <v>1</v>
      </c>
    </row>
    <row r="73" spans="1:34" x14ac:dyDescent="0.25">
      <c r="A73" s="203" t="s">
        <v>266</v>
      </c>
      <c r="B73" s="203"/>
      <c r="C73" s="203"/>
      <c r="D73" s="203"/>
      <c r="E73" s="203" t="s">
        <v>266</v>
      </c>
      <c r="F73" s="203" t="s">
        <v>266</v>
      </c>
      <c r="G73" s="203" t="s">
        <v>266</v>
      </c>
      <c r="I73" s="203" t="s">
        <v>266</v>
      </c>
      <c r="J73" s="203" t="s">
        <v>266</v>
      </c>
      <c r="K73" s="203" t="s">
        <v>266</v>
      </c>
      <c r="L73" s="203" t="s">
        <v>266</v>
      </c>
      <c r="M73" s="203" t="s">
        <v>266</v>
      </c>
      <c r="N73" s="203" t="s">
        <v>266</v>
      </c>
      <c r="O73" s="203" t="s">
        <v>266</v>
      </c>
      <c r="Q73" s="203" t="s">
        <v>266</v>
      </c>
      <c r="R73" s="203" t="s">
        <v>266</v>
      </c>
      <c r="S73" s="203" t="s">
        <v>266</v>
      </c>
      <c r="T73" s="203" t="s">
        <v>266</v>
      </c>
      <c r="U73" s="203" t="s">
        <v>266</v>
      </c>
      <c r="V73" s="203" t="s">
        <v>266</v>
      </c>
      <c r="W73" s="203" t="s">
        <v>266</v>
      </c>
      <c r="Y73" s="203" t="s">
        <v>266</v>
      </c>
      <c r="Z73" s="203" t="s">
        <v>266</v>
      </c>
      <c r="AA73" s="203" t="s">
        <v>266</v>
      </c>
      <c r="AB73" s="203" t="s">
        <v>266</v>
      </c>
      <c r="AC73" s="203" t="s">
        <v>266</v>
      </c>
      <c r="AD73" s="203" t="s">
        <v>266</v>
      </c>
      <c r="AE73" s="203" t="s">
        <v>266</v>
      </c>
      <c r="AG73">
        <v>1</v>
      </c>
      <c r="AH73">
        <v>1</v>
      </c>
    </row>
    <row r="74" spans="1:34" x14ac:dyDescent="0.25">
      <c r="A74" s="203" t="s">
        <v>266</v>
      </c>
      <c r="B74" s="203"/>
      <c r="C74" s="203"/>
      <c r="D74" s="203"/>
      <c r="E74" s="203" t="s">
        <v>266</v>
      </c>
      <c r="F74" s="203" t="s">
        <v>266</v>
      </c>
      <c r="G74" s="203" t="s">
        <v>266</v>
      </c>
      <c r="I74" s="203" t="s">
        <v>266</v>
      </c>
      <c r="J74" s="203" t="s">
        <v>266</v>
      </c>
      <c r="K74" s="203" t="s">
        <v>266</v>
      </c>
      <c r="L74" s="203" t="s">
        <v>266</v>
      </c>
      <c r="M74" s="203" t="s">
        <v>266</v>
      </c>
      <c r="N74" s="203" t="s">
        <v>266</v>
      </c>
      <c r="O74" s="203" t="s">
        <v>266</v>
      </c>
      <c r="Q74" s="203" t="s">
        <v>266</v>
      </c>
      <c r="R74" s="203" t="s">
        <v>266</v>
      </c>
      <c r="S74" s="203" t="s">
        <v>266</v>
      </c>
      <c r="T74" s="203" t="s">
        <v>266</v>
      </c>
      <c r="U74" s="203" t="s">
        <v>266</v>
      </c>
      <c r="V74" s="203" t="s">
        <v>266</v>
      </c>
      <c r="W74" s="203" t="s">
        <v>266</v>
      </c>
      <c r="Y74" s="203" t="s">
        <v>266</v>
      </c>
      <c r="Z74" s="203" t="s">
        <v>266</v>
      </c>
      <c r="AA74" s="203" t="s">
        <v>266</v>
      </c>
      <c r="AB74" s="203" t="s">
        <v>266</v>
      </c>
      <c r="AC74" s="203" t="s">
        <v>266</v>
      </c>
      <c r="AD74" s="203" t="s">
        <v>266</v>
      </c>
      <c r="AE74" s="203" t="s">
        <v>266</v>
      </c>
      <c r="AG74">
        <v>1</v>
      </c>
      <c r="AH74">
        <v>1</v>
      </c>
    </row>
    <row r="75" spans="1:34" x14ac:dyDescent="0.25">
      <c r="A75" s="203" t="s">
        <v>266</v>
      </c>
      <c r="B75" s="203"/>
      <c r="C75" s="203"/>
      <c r="D75" s="203"/>
      <c r="E75" s="203" t="s">
        <v>266</v>
      </c>
      <c r="F75" s="203" t="s">
        <v>266</v>
      </c>
      <c r="G75" s="203" t="s">
        <v>266</v>
      </c>
      <c r="I75" s="203" t="s">
        <v>266</v>
      </c>
      <c r="J75" s="203" t="s">
        <v>266</v>
      </c>
      <c r="K75" s="203" t="s">
        <v>266</v>
      </c>
      <c r="L75" s="203" t="s">
        <v>266</v>
      </c>
      <c r="M75" s="203" t="s">
        <v>266</v>
      </c>
      <c r="N75" s="203" t="s">
        <v>266</v>
      </c>
      <c r="O75" s="203" t="s">
        <v>266</v>
      </c>
      <c r="Q75" s="203" t="s">
        <v>266</v>
      </c>
      <c r="R75" s="203" t="s">
        <v>266</v>
      </c>
      <c r="S75" s="203" t="s">
        <v>266</v>
      </c>
      <c r="T75" s="203" t="s">
        <v>266</v>
      </c>
      <c r="U75" s="203" t="s">
        <v>266</v>
      </c>
      <c r="V75" s="203" t="s">
        <v>266</v>
      </c>
      <c r="W75" s="203" t="s">
        <v>266</v>
      </c>
      <c r="Y75" s="203" t="s">
        <v>266</v>
      </c>
      <c r="Z75" s="203" t="s">
        <v>266</v>
      </c>
      <c r="AA75" s="203" t="s">
        <v>266</v>
      </c>
      <c r="AB75" s="203" t="s">
        <v>266</v>
      </c>
      <c r="AC75" s="203" t="s">
        <v>266</v>
      </c>
      <c r="AD75" s="203" t="s">
        <v>266</v>
      </c>
      <c r="AE75" s="203" t="s">
        <v>266</v>
      </c>
      <c r="AG75">
        <v>1</v>
      </c>
      <c r="AH75">
        <v>1</v>
      </c>
    </row>
    <row r="76" spans="1:34" x14ac:dyDescent="0.25">
      <c r="A76" s="203" t="s">
        <v>266</v>
      </c>
      <c r="B76" s="203"/>
      <c r="C76" s="203"/>
      <c r="D76" s="203"/>
      <c r="E76" s="203" t="s">
        <v>266</v>
      </c>
      <c r="F76" s="203" t="s">
        <v>266</v>
      </c>
      <c r="G76" s="203" t="s">
        <v>266</v>
      </c>
      <c r="I76" s="203" t="s">
        <v>266</v>
      </c>
      <c r="J76" s="203" t="s">
        <v>266</v>
      </c>
      <c r="K76" s="203" t="s">
        <v>266</v>
      </c>
      <c r="L76" s="203" t="s">
        <v>266</v>
      </c>
      <c r="M76" s="203" t="s">
        <v>266</v>
      </c>
      <c r="N76" s="203" t="s">
        <v>266</v>
      </c>
      <c r="O76" s="203" t="s">
        <v>266</v>
      </c>
      <c r="Q76" s="203" t="s">
        <v>266</v>
      </c>
      <c r="R76" s="203" t="s">
        <v>266</v>
      </c>
      <c r="S76" s="203" t="s">
        <v>266</v>
      </c>
      <c r="T76" s="203" t="s">
        <v>266</v>
      </c>
      <c r="U76" s="203" t="s">
        <v>266</v>
      </c>
      <c r="V76" s="203" t="s">
        <v>266</v>
      </c>
      <c r="W76" s="203" t="s">
        <v>266</v>
      </c>
      <c r="Y76" s="203" t="s">
        <v>266</v>
      </c>
      <c r="Z76" s="203" t="s">
        <v>266</v>
      </c>
      <c r="AA76" s="203" t="s">
        <v>266</v>
      </c>
      <c r="AB76" s="203" t="s">
        <v>266</v>
      </c>
      <c r="AC76" s="203" t="s">
        <v>266</v>
      </c>
      <c r="AD76" s="203" t="s">
        <v>266</v>
      </c>
      <c r="AE76" s="203" t="s">
        <v>266</v>
      </c>
      <c r="AG76">
        <v>1</v>
      </c>
      <c r="AH76">
        <v>1</v>
      </c>
    </row>
    <row r="77" spans="1:34" x14ac:dyDescent="0.25">
      <c r="A77" s="203" t="s">
        <v>266</v>
      </c>
      <c r="B77" s="203"/>
      <c r="C77" s="203"/>
      <c r="D77" s="203"/>
      <c r="E77" s="203" t="s">
        <v>266</v>
      </c>
      <c r="F77" s="203" t="s">
        <v>266</v>
      </c>
      <c r="G77" s="203" t="s">
        <v>266</v>
      </c>
      <c r="I77" s="203" t="s">
        <v>266</v>
      </c>
      <c r="J77" s="203" t="s">
        <v>266</v>
      </c>
      <c r="K77" s="203" t="s">
        <v>266</v>
      </c>
      <c r="L77" s="203" t="s">
        <v>266</v>
      </c>
      <c r="M77" s="203" t="s">
        <v>266</v>
      </c>
      <c r="N77" s="203" t="s">
        <v>266</v>
      </c>
      <c r="O77" s="203" t="s">
        <v>266</v>
      </c>
      <c r="Q77" s="203" t="s">
        <v>266</v>
      </c>
      <c r="R77" s="203" t="s">
        <v>266</v>
      </c>
      <c r="S77" s="203" t="s">
        <v>266</v>
      </c>
      <c r="T77" s="203" t="s">
        <v>266</v>
      </c>
      <c r="U77" s="203" t="s">
        <v>266</v>
      </c>
      <c r="V77" s="203" t="s">
        <v>266</v>
      </c>
      <c r="W77" s="203" t="s">
        <v>266</v>
      </c>
      <c r="Y77" s="203" t="s">
        <v>266</v>
      </c>
      <c r="Z77" s="203" t="s">
        <v>266</v>
      </c>
      <c r="AA77" s="203" t="s">
        <v>266</v>
      </c>
      <c r="AB77" s="203" t="s">
        <v>266</v>
      </c>
      <c r="AC77" s="203" t="s">
        <v>266</v>
      </c>
      <c r="AD77" s="203" t="s">
        <v>266</v>
      </c>
      <c r="AE77" s="203" t="s">
        <v>266</v>
      </c>
      <c r="AG77">
        <v>1</v>
      </c>
      <c r="AH77">
        <v>1</v>
      </c>
    </row>
    <row r="78" spans="1:34" x14ac:dyDescent="0.25">
      <c r="A78" s="203" t="s">
        <v>266</v>
      </c>
      <c r="B78" s="203"/>
      <c r="C78" s="203"/>
      <c r="D78" s="203"/>
      <c r="E78" s="203" t="s">
        <v>266</v>
      </c>
      <c r="F78" s="203" t="s">
        <v>266</v>
      </c>
      <c r="G78" s="203" t="s">
        <v>266</v>
      </c>
      <c r="I78" s="203" t="s">
        <v>266</v>
      </c>
      <c r="J78" s="203" t="s">
        <v>266</v>
      </c>
      <c r="K78" s="203" t="s">
        <v>266</v>
      </c>
      <c r="L78" s="203" t="s">
        <v>266</v>
      </c>
      <c r="M78" s="203" t="s">
        <v>266</v>
      </c>
      <c r="N78" s="203" t="s">
        <v>266</v>
      </c>
      <c r="O78" s="203" t="s">
        <v>266</v>
      </c>
      <c r="Q78" s="203" t="s">
        <v>266</v>
      </c>
      <c r="R78" s="203" t="s">
        <v>266</v>
      </c>
      <c r="S78" s="203" t="s">
        <v>266</v>
      </c>
      <c r="T78" s="203" t="s">
        <v>266</v>
      </c>
      <c r="U78" s="203" t="s">
        <v>266</v>
      </c>
      <c r="V78" s="203" t="s">
        <v>266</v>
      </c>
      <c r="W78" s="203" t="s">
        <v>266</v>
      </c>
      <c r="Y78" s="203" t="s">
        <v>266</v>
      </c>
      <c r="Z78" s="203" t="s">
        <v>266</v>
      </c>
      <c r="AA78" s="203" t="s">
        <v>266</v>
      </c>
      <c r="AB78" s="203" t="s">
        <v>266</v>
      </c>
      <c r="AC78" s="203" t="s">
        <v>266</v>
      </c>
      <c r="AD78" s="203" t="s">
        <v>266</v>
      </c>
      <c r="AE78" s="203" t="s">
        <v>266</v>
      </c>
      <c r="AG78">
        <v>1</v>
      </c>
      <c r="AH78">
        <v>1</v>
      </c>
    </row>
    <row r="79" spans="1:34" x14ac:dyDescent="0.25">
      <c r="A79" s="203" t="s">
        <v>266</v>
      </c>
      <c r="B79" s="203"/>
      <c r="C79" s="203"/>
      <c r="D79" s="203"/>
      <c r="E79" s="203" t="s">
        <v>266</v>
      </c>
      <c r="F79" s="203" t="s">
        <v>266</v>
      </c>
      <c r="G79" s="203" t="s">
        <v>266</v>
      </c>
      <c r="I79" s="203" t="s">
        <v>266</v>
      </c>
      <c r="J79" s="203" t="s">
        <v>266</v>
      </c>
      <c r="K79" s="203" t="s">
        <v>266</v>
      </c>
      <c r="L79" s="203" t="s">
        <v>266</v>
      </c>
      <c r="M79" s="203" t="s">
        <v>266</v>
      </c>
      <c r="N79" s="203" t="s">
        <v>266</v>
      </c>
      <c r="O79" s="203" t="s">
        <v>266</v>
      </c>
      <c r="Q79" s="203" t="s">
        <v>266</v>
      </c>
      <c r="R79" s="203" t="s">
        <v>266</v>
      </c>
      <c r="S79" s="203" t="s">
        <v>266</v>
      </c>
      <c r="T79" s="203" t="s">
        <v>266</v>
      </c>
      <c r="U79" s="203" t="s">
        <v>266</v>
      </c>
      <c r="V79" s="203" t="s">
        <v>266</v>
      </c>
      <c r="W79" s="203" t="s">
        <v>266</v>
      </c>
      <c r="Y79" s="203" t="s">
        <v>266</v>
      </c>
      <c r="Z79" s="203" t="s">
        <v>266</v>
      </c>
      <c r="AA79" s="203" t="s">
        <v>266</v>
      </c>
      <c r="AB79" s="203" t="s">
        <v>266</v>
      </c>
      <c r="AC79" s="203" t="s">
        <v>266</v>
      </c>
      <c r="AD79" s="203" t="s">
        <v>266</v>
      </c>
      <c r="AE79" s="203" t="s">
        <v>266</v>
      </c>
      <c r="AG79">
        <v>1</v>
      </c>
      <c r="AH79">
        <v>1</v>
      </c>
    </row>
    <row r="80" spans="1:34" x14ac:dyDescent="0.25">
      <c r="A80" s="203" t="s">
        <v>266</v>
      </c>
      <c r="B80" s="203"/>
      <c r="C80" s="203"/>
      <c r="D80" s="203"/>
      <c r="E80" s="203" t="s">
        <v>266</v>
      </c>
      <c r="F80" s="203" t="s">
        <v>266</v>
      </c>
      <c r="G80" s="203" t="s">
        <v>266</v>
      </c>
      <c r="I80" s="203" t="s">
        <v>266</v>
      </c>
      <c r="J80" s="203" t="s">
        <v>266</v>
      </c>
      <c r="K80" s="203" t="s">
        <v>266</v>
      </c>
      <c r="L80" s="203" t="s">
        <v>266</v>
      </c>
      <c r="M80" s="203" t="s">
        <v>266</v>
      </c>
      <c r="N80" s="203" t="s">
        <v>266</v>
      </c>
      <c r="O80" s="203" t="s">
        <v>266</v>
      </c>
      <c r="Q80" s="203" t="s">
        <v>266</v>
      </c>
      <c r="R80" s="203" t="s">
        <v>266</v>
      </c>
      <c r="S80" s="203" t="s">
        <v>266</v>
      </c>
      <c r="T80" s="203" t="s">
        <v>266</v>
      </c>
      <c r="U80" s="203" t="s">
        <v>266</v>
      </c>
      <c r="V80" s="203" t="s">
        <v>266</v>
      </c>
      <c r="W80" s="203" t="s">
        <v>266</v>
      </c>
      <c r="Y80" s="203" t="s">
        <v>266</v>
      </c>
      <c r="Z80" s="203" t="s">
        <v>266</v>
      </c>
      <c r="AA80" s="203" t="s">
        <v>266</v>
      </c>
      <c r="AB80" s="203" t="s">
        <v>266</v>
      </c>
      <c r="AC80" s="203" t="s">
        <v>266</v>
      </c>
      <c r="AD80" s="203" t="s">
        <v>266</v>
      </c>
      <c r="AE80" s="203" t="s">
        <v>266</v>
      </c>
      <c r="AG80">
        <v>1</v>
      </c>
      <c r="AH80">
        <v>1</v>
      </c>
    </row>
    <row r="81" spans="1:34" x14ac:dyDescent="0.25">
      <c r="A81" s="203" t="s">
        <v>266</v>
      </c>
      <c r="B81" s="203"/>
      <c r="C81" s="203"/>
      <c r="D81" s="203"/>
      <c r="E81" s="203" t="s">
        <v>266</v>
      </c>
      <c r="F81" s="203" t="s">
        <v>266</v>
      </c>
      <c r="G81" s="203" t="s">
        <v>266</v>
      </c>
      <c r="I81" s="203" t="s">
        <v>266</v>
      </c>
      <c r="J81" s="203" t="s">
        <v>266</v>
      </c>
      <c r="K81" s="203" t="s">
        <v>266</v>
      </c>
      <c r="L81" s="203" t="s">
        <v>266</v>
      </c>
      <c r="M81" s="203" t="s">
        <v>266</v>
      </c>
      <c r="N81" s="203" t="s">
        <v>266</v>
      </c>
      <c r="O81" s="203" t="s">
        <v>266</v>
      </c>
      <c r="Q81" s="203" t="s">
        <v>266</v>
      </c>
      <c r="R81" s="203" t="s">
        <v>266</v>
      </c>
      <c r="S81" s="203" t="s">
        <v>266</v>
      </c>
      <c r="T81" s="203" t="s">
        <v>266</v>
      </c>
      <c r="U81" s="203" t="s">
        <v>266</v>
      </c>
      <c r="V81" s="203" t="s">
        <v>266</v>
      </c>
      <c r="W81" s="203" t="s">
        <v>266</v>
      </c>
      <c r="Y81" s="203" t="s">
        <v>266</v>
      </c>
      <c r="Z81" s="203" t="s">
        <v>266</v>
      </c>
      <c r="AA81" s="203" t="s">
        <v>266</v>
      </c>
      <c r="AB81" s="203" t="s">
        <v>266</v>
      </c>
      <c r="AC81" s="203" t="s">
        <v>266</v>
      </c>
      <c r="AD81" s="203" t="s">
        <v>266</v>
      </c>
      <c r="AE81" s="203" t="s">
        <v>266</v>
      </c>
      <c r="AG81">
        <v>1</v>
      </c>
      <c r="AH81">
        <v>1</v>
      </c>
    </row>
    <row r="82" spans="1:34" x14ac:dyDescent="0.25">
      <c r="A82" s="203" t="s">
        <v>266</v>
      </c>
      <c r="B82" s="203"/>
      <c r="C82" s="203"/>
      <c r="D82" s="203"/>
      <c r="E82" s="203" t="s">
        <v>266</v>
      </c>
      <c r="F82" s="203" t="s">
        <v>266</v>
      </c>
      <c r="G82" s="203" t="s">
        <v>266</v>
      </c>
      <c r="I82" s="203" t="s">
        <v>266</v>
      </c>
      <c r="J82" s="203" t="s">
        <v>266</v>
      </c>
      <c r="K82" s="203" t="s">
        <v>266</v>
      </c>
      <c r="L82" s="203" t="s">
        <v>266</v>
      </c>
      <c r="M82" s="203" t="s">
        <v>266</v>
      </c>
      <c r="N82" s="203" t="s">
        <v>266</v>
      </c>
      <c r="O82" s="203" t="s">
        <v>266</v>
      </c>
      <c r="Q82" s="203" t="s">
        <v>266</v>
      </c>
      <c r="R82" s="203" t="s">
        <v>266</v>
      </c>
      <c r="S82" s="203" t="s">
        <v>266</v>
      </c>
      <c r="T82" s="203" t="s">
        <v>266</v>
      </c>
      <c r="U82" s="203" t="s">
        <v>266</v>
      </c>
      <c r="V82" s="203" t="s">
        <v>266</v>
      </c>
      <c r="W82" s="203" t="s">
        <v>266</v>
      </c>
      <c r="Y82" s="203" t="s">
        <v>266</v>
      </c>
      <c r="Z82" s="203" t="s">
        <v>266</v>
      </c>
      <c r="AA82" s="203" t="s">
        <v>266</v>
      </c>
      <c r="AB82" s="203" t="s">
        <v>266</v>
      </c>
      <c r="AC82" s="203" t="s">
        <v>266</v>
      </c>
      <c r="AD82" s="203" t="s">
        <v>266</v>
      </c>
      <c r="AE82" s="203" t="s">
        <v>266</v>
      </c>
      <c r="AG82">
        <v>1</v>
      </c>
      <c r="AH82">
        <v>1</v>
      </c>
    </row>
    <row r="83" spans="1:34" x14ac:dyDescent="0.25">
      <c r="A83" s="203" t="s">
        <v>266</v>
      </c>
      <c r="B83" s="203"/>
      <c r="C83" s="203"/>
      <c r="D83" s="203"/>
      <c r="E83" s="203" t="s">
        <v>266</v>
      </c>
      <c r="F83" s="203" t="s">
        <v>266</v>
      </c>
      <c r="G83" s="203" t="s">
        <v>266</v>
      </c>
      <c r="I83" s="203" t="s">
        <v>266</v>
      </c>
      <c r="J83" s="203" t="s">
        <v>266</v>
      </c>
      <c r="K83" s="203" t="s">
        <v>266</v>
      </c>
      <c r="L83" s="203" t="s">
        <v>266</v>
      </c>
      <c r="M83" s="203" t="s">
        <v>266</v>
      </c>
      <c r="N83" s="203" t="s">
        <v>266</v>
      </c>
      <c r="O83" s="203" t="s">
        <v>266</v>
      </c>
      <c r="Q83" s="203" t="s">
        <v>266</v>
      </c>
      <c r="R83" s="203" t="s">
        <v>266</v>
      </c>
      <c r="S83" s="203" t="s">
        <v>266</v>
      </c>
      <c r="T83" s="203" t="s">
        <v>266</v>
      </c>
      <c r="U83" s="203" t="s">
        <v>266</v>
      </c>
      <c r="V83" s="203" t="s">
        <v>266</v>
      </c>
      <c r="W83" s="203" t="s">
        <v>266</v>
      </c>
      <c r="Y83" s="203" t="s">
        <v>266</v>
      </c>
      <c r="Z83" s="203" t="s">
        <v>266</v>
      </c>
      <c r="AA83" s="203" t="s">
        <v>266</v>
      </c>
      <c r="AB83" s="203" t="s">
        <v>266</v>
      </c>
      <c r="AC83" s="203" t="s">
        <v>266</v>
      </c>
      <c r="AD83" s="203" t="s">
        <v>266</v>
      </c>
      <c r="AE83" s="203" t="s">
        <v>266</v>
      </c>
      <c r="AG83">
        <v>1</v>
      </c>
      <c r="AH83">
        <v>1</v>
      </c>
    </row>
    <row r="84" spans="1:34" x14ac:dyDescent="0.25">
      <c r="A84" s="203" t="s">
        <v>266</v>
      </c>
      <c r="B84" s="203"/>
      <c r="C84" s="203"/>
      <c r="D84" s="203"/>
      <c r="E84" s="203" t="s">
        <v>266</v>
      </c>
      <c r="F84" s="203" t="s">
        <v>266</v>
      </c>
      <c r="G84" s="203" t="s">
        <v>266</v>
      </c>
      <c r="I84" s="203" t="s">
        <v>266</v>
      </c>
      <c r="J84" s="203" t="s">
        <v>266</v>
      </c>
      <c r="K84" s="203" t="s">
        <v>266</v>
      </c>
      <c r="L84" s="203" t="s">
        <v>266</v>
      </c>
      <c r="M84" s="203" t="s">
        <v>266</v>
      </c>
      <c r="N84" s="203" t="s">
        <v>266</v>
      </c>
      <c r="O84" s="203" t="s">
        <v>266</v>
      </c>
      <c r="Q84" s="203" t="s">
        <v>266</v>
      </c>
      <c r="R84" s="203" t="s">
        <v>266</v>
      </c>
      <c r="S84" s="203" t="s">
        <v>266</v>
      </c>
      <c r="T84" s="203" t="s">
        <v>266</v>
      </c>
      <c r="U84" s="203" t="s">
        <v>266</v>
      </c>
      <c r="V84" s="203" t="s">
        <v>266</v>
      </c>
      <c r="W84" s="203" t="s">
        <v>266</v>
      </c>
      <c r="Y84" s="203" t="s">
        <v>266</v>
      </c>
      <c r="Z84" s="203" t="s">
        <v>266</v>
      </c>
      <c r="AA84" s="203" t="s">
        <v>266</v>
      </c>
      <c r="AB84" s="203" t="s">
        <v>266</v>
      </c>
      <c r="AC84" s="203" t="s">
        <v>266</v>
      </c>
      <c r="AD84" s="203" t="s">
        <v>266</v>
      </c>
      <c r="AE84" s="203" t="s">
        <v>266</v>
      </c>
      <c r="AG84">
        <v>1</v>
      </c>
      <c r="AH84">
        <v>1</v>
      </c>
    </row>
    <row r="85" spans="1:34" x14ac:dyDescent="0.25">
      <c r="A85" s="203" t="s">
        <v>266</v>
      </c>
      <c r="B85" s="203"/>
      <c r="C85" s="203"/>
      <c r="D85" s="203"/>
      <c r="E85" s="203" t="s">
        <v>266</v>
      </c>
      <c r="F85" s="203" t="s">
        <v>266</v>
      </c>
      <c r="G85" s="203" t="s">
        <v>266</v>
      </c>
      <c r="I85" s="203" t="s">
        <v>266</v>
      </c>
      <c r="J85" s="203" t="s">
        <v>266</v>
      </c>
      <c r="K85" s="203" t="s">
        <v>266</v>
      </c>
      <c r="L85" s="203" t="s">
        <v>266</v>
      </c>
      <c r="M85" s="203" t="s">
        <v>266</v>
      </c>
      <c r="N85" s="203" t="s">
        <v>266</v>
      </c>
      <c r="O85" s="203" t="s">
        <v>266</v>
      </c>
      <c r="Q85" s="203" t="s">
        <v>266</v>
      </c>
      <c r="R85" s="203" t="s">
        <v>266</v>
      </c>
      <c r="S85" s="203" t="s">
        <v>266</v>
      </c>
      <c r="T85" s="203" t="s">
        <v>266</v>
      </c>
      <c r="U85" s="203" t="s">
        <v>266</v>
      </c>
      <c r="V85" s="203" t="s">
        <v>266</v>
      </c>
      <c r="W85" s="203" t="s">
        <v>266</v>
      </c>
      <c r="Y85" s="203" t="s">
        <v>266</v>
      </c>
      <c r="Z85" s="203" t="s">
        <v>266</v>
      </c>
      <c r="AA85" s="203" t="s">
        <v>266</v>
      </c>
      <c r="AB85" s="203" t="s">
        <v>266</v>
      </c>
      <c r="AC85" s="203" t="s">
        <v>266</v>
      </c>
      <c r="AD85" s="203" t="s">
        <v>266</v>
      </c>
      <c r="AE85" s="203" t="s">
        <v>266</v>
      </c>
      <c r="AG85">
        <v>1</v>
      </c>
      <c r="AH85">
        <v>1</v>
      </c>
    </row>
    <row r="86" spans="1:34" x14ac:dyDescent="0.25">
      <c r="A86" s="203" t="s">
        <v>266</v>
      </c>
      <c r="B86" s="203"/>
      <c r="C86" s="203"/>
      <c r="D86" s="203"/>
      <c r="E86" s="203" t="s">
        <v>266</v>
      </c>
      <c r="F86" s="203" t="s">
        <v>266</v>
      </c>
      <c r="G86" s="203" t="s">
        <v>266</v>
      </c>
      <c r="I86" s="203" t="s">
        <v>266</v>
      </c>
      <c r="J86" s="203" t="s">
        <v>266</v>
      </c>
      <c r="K86" s="203" t="s">
        <v>266</v>
      </c>
      <c r="L86" s="203" t="s">
        <v>266</v>
      </c>
      <c r="M86" s="203" t="s">
        <v>266</v>
      </c>
      <c r="N86" s="203" t="s">
        <v>266</v>
      </c>
      <c r="O86" s="203" t="s">
        <v>266</v>
      </c>
      <c r="Q86" s="203" t="s">
        <v>266</v>
      </c>
      <c r="R86" s="203" t="s">
        <v>266</v>
      </c>
      <c r="S86" s="203" t="s">
        <v>266</v>
      </c>
      <c r="T86" s="203" t="s">
        <v>266</v>
      </c>
      <c r="U86" s="203" t="s">
        <v>266</v>
      </c>
      <c r="V86" s="203" t="s">
        <v>266</v>
      </c>
      <c r="W86" s="203" t="s">
        <v>266</v>
      </c>
      <c r="Y86" s="203" t="s">
        <v>266</v>
      </c>
      <c r="Z86" s="203" t="s">
        <v>266</v>
      </c>
      <c r="AA86" s="203" t="s">
        <v>266</v>
      </c>
      <c r="AB86" s="203" t="s">
        <v>266</v>
      </c>
      <c r="AC86" s="203" t="s">
        <v>266</v>
      </c>
      <c r="AD86" s="203" t="s">
        <v>266</v>
      </c>
      <c r="AE86" s="203" t="s">
        <v>266</v>
      </c>
      <c r="AG86">
        <v>1</v>
      </c>
      <c r="AH86">
        <v>1</v>
      </c>
    </row>
    <row r="87" spans="1:34" x14ac:dyDescent="0.25">
      <c r="A87" s="203" t="s">
        <v>266</v>
      </c>
      <c r="B87" s="203"/>
      <c r="C87" s="203"/>
      <c r="D87" s="203"/>
      <c r="E87" s="203" t="s">
        <v>266</v>
      </c>
      <c r="F87" s="203" t="s">
        <v>266</v>
      </c>
      <c r="G87" s="203" t="s">
        <v>266</v>
      </c>
      <c r="I87" s="203" t="s">
        <v>266</v>
      </c>
      <c r="J87" s="203" t="s">
        <v>266</v>
      </c>
      <c r="K87" s="203" t="s">
        <v>266</v>
      </c>
      <c r="L87" s="203" t="s">
        <v>266</v>
      </c>
      <c r="M87" s="203" t="s">
        <v>266</v>
      </c>
      <c r="N87" s="203" t="s">
        <v>266</v>
      </c>
      <c r="O87" s="203" t="s">
        <v>266</v>
      </c>
      <c r="Q87" s="203" t="s">
        <v>266</v>
      </c>
      <c r="R87" s="203" t="s">
        <v>266</v>
      </c>
      <c r="S87" s="203" t="s">
        <v>266</v>
      </c>
      <c r="T87" s="203" t="s">
        <v>266</v>
      </c>
      <c r="U87" s="203" t="s">
        <v>266</v>
      </c>
      <c r="V87" s="203" t="s">
        <v>266</v>
      </c>
      <c r="W87" s="203" t="s">
        <v>266</v>
      </c>
      <c r="Y87" s="203" t="s">
        <v>266</v>
      </c>
      <c r="Z87" s="203" t="s">
        <v>266</v>
      </c>
      <c r="AA87" s="203" t="s">
        <v>266</v>
      </c>
      <c r="AB87" s="203" t="s">
        <v>266</v>
      </c>
      <c r="AC87" s="203" t="s">
        <v>266</v>
      </c>
      <c r="AD87" s="203" t="s">
        <v>266</v>
      </c>
      <c r="AE87" s="203" t="s">
        <v>266</v>
      </c>
      <c r="AG87">
        <v>1</v>
      </c>
      <c r="AH87">
        <v>1</v>
      </c>
    </row>
    <row r="88" spans="1:34" x14ac:dyDescent="0.25">
      <c r="A88" s="203" t="s">
        <v>266</v>
      </c>
      <c r="B88" s="203"/>
      <c r="C88" s="203"/>
      <c r="D88" s="203"/>
      <c r="E88" s="203" t="s">
        <v>266</v>
      </c>
      <c r="F88" s="203" t="s">
        <v>266</v>
      </c>
      <c r="G88" s="203" t="s">
        <v>266</v>
      </c>
      <c r="I88" s="203" t="s">
        <v>266</v>
      </c>
      <c r="J88" s="203" t="s">
        <v>266</v>
      </c>
      <c r="K88" s="203" t="s">
        <v>266</v>
      </c>
      <c r="L88" s="203" t="s">
        <v>266</v>
      </c>
      <c r="M88" s="203" t="s">
        <v>266</v>
      </c>
      <c r="N88" s="203" t="s">
        <v>266</v>
      </c>
      <c r="O88" s="203" t="s">
        <v>266</v>
      </c>
      <c r="Q88" s="203" t="s">
        <v>266</v>
      </c>
      <c r="R88" s="203" t="s">
        <v>266</v>
      </c>
      <c r="S88" s="203" t="s">
        <v>266</v>
      </c>
      <c r="T88" s="203" t="s">
        <v>266</v>
      </c>
      <c r="U88" s="203" t="s">
        <v>266</v>
      </c>
      <c r="V88" s="203" t="s">
        <v>266</v>
      </c>
      <c r="W88" s="203" t="s">
        <v>266</v>
      </c>
      <c r="Y88" s="203" t="s">
        <v>266</v>
      </c>
      <c r="Z88" s="203" t="s">
        <v>266</v>
      </c>
      <c r="AA88" s="203" t="s">
        <v>266</v>
      </c>
      <c r="AB88" s="203" t="s">
        <v>266</v>
      </c>
      <c r="AC88" s="203" t="s">
        <v>266</v>
      </c>
      <c r="AD88" s="203" t="s">
        <v>266</v>
      </c>
      <c r="AE88" s="203" t="s">
        <v>266</v>
      </c>
      <c r="AG88">
        <v>1</v>
      </c>
      <c r="AH88">
        <v>1</v>
      </c>
    </row>
    <row r="89" spans="1:34" x14ac:dyDescent="0.25">
      <c r="A89" s="203" t="s">
        <v>266</v>
      </c>
      <c r="B89" s="203"/>
      <c r="C89" s="203"/>
      <c r="D89" s="203"/>
      <c r="E89" s="203" t="s">
        <v>266</v>
      </c>
      <c r="F89" s="203" t="s">
        <v>266</v>
      </c>
      <c r="G89" s="203" t="s">
        <v>266</v>
      </c>
      <c r="I89" s="203" t="s">
        <v>266</v>
      </c>
      <c r="J89" s="203" t="s">
        <v>266</v>
      </c>
      <c r="K89" s="203" t="s">
        <v>266</v>
      </c>
      <c r="L89" s="203" t="s">
        <v>266</v>
      </c>
      <c r="M89" s="203" t="s">
        <v>266</v>
      </c>
      <c r="N89" s="203" t="s">
        <v>266</v>
      </c>
      <c r="O89" s="203" t="s">
        <v>266</v>
      </c>
      <c r="Q89" s="203" t="s">
        <v>266</v>
      </c>
      <c r="R89" s="203" t="s">
        <v>266</v>
      </c>
      <c r="S89" s="203" t="s">
        <v>266</v>
      </c>
      <c r="T89" s="203" t="s">
        <v>266</v>
      </c>
      <c r="U89" s="203" t="s">
        <v>266</v>
      </c>
      <c r="V89" s="203" t="s">
        <v>266</v>
      </c>
      <c r="W89" s="203" t="s">
        <v>266</v>
      </c>
      <c r="Y89" s="203" t="s">
        <v>266</v>
      </c>
      <c r="Z89" s="203" t="s">
        <v>266</v>
      </c>
      <c r="AA89" s="203" t="s">
        <v>266</v>
      </c>
      <c r="AB89" s="203" t="s">
        <v>266</v>
      </c>
      <c r="AC89" s="203" t="s">
        <v>266</v>
      </c>
      <c r="AD89" s="203" t="s">
        <v>266</v>
      </c>
      <c r="AE89" s="203" t="s">
        <v>266</v>
      </c>
      <c r="AG89">
        <v>1</v>
      </c>
      <c r="AH89">
        <v>1</v>
      </c>
    </row>
    <row r="90" spans="1:34" x14ac:dyDescent="0.25">
      <c r="A90" s="203" t="s">
        <v>266</v>
      </c>
      <c r="B90" s="203"/>
      <c r="C90" s="203"/>
      <c r="D90" s="203"/>
      <c r="E90" s="203" t="s">
        <v>266</v>
      </c>
      <c r="F90" s="203" t="s">
        <v>266</v>
      </c>
      <c r="G90" s="203" t="s">
        <v>266</v>
      </c>
      <c r="I90" s="203" t="s">
        <v>266</v>
      </c>
      <c r="J90" s="203" t="s">
        <v>266</v>
      </c>
      <c r="K90" s="203" t="s">
        <v>266</v>
      </c>
      <c r="L90" s="203" t="s">
        <v>266</v>
      </c>
      <c r="M90" s="203" t="s">
        <v>266</v>
      </c>
      <c r="N90" s="203" t="s">
        <v>266</v>
      </c>
      <c r="O90" s="203" t="s">
        <v>266</v>
      </c>
      <c r="Q90" s="203" t="s">
        <v>266</v>
      </c>
      <c r="R90" s="203" t="s">
        <v>266</v>
      </c>
      <c r="S90" s="203" t="s">
        <v>266</v>
      </c>
      <c r="T90" s="203" t="s">
        <v>266</v>
      </c>
      <c r="U90" s="203" t="s">
        <v>266</v>
      </c>
      <c r="V90" s="203" t="s">
        <v>266</v>
      </c>
      <c r="W90" s="203" t="s">
        <v>266</v>
      </c>
      <c r="Y90" s="203" t="s">
        <v>266</v>
      </c>
      <c r="Z90" s="203" t="s">
        <v>266</v>
      </c>
      <c r="AA90" s="203" t="s">
        <v>266</v>
      </c>
      <c r="AB90" s="203" t="s">
        <v>266</v>
      </c>
      <c r="AC90" s="203" t="s">
        <v>266</v>
      </c>
      <c r="AD90" s="203" t="s">
        <v>266</v>
      </c>
      <c r="AE90" s="203" t="s">
        <v>266</v>
      </c>
      <c r="AG90">
        <v>1</v>
      </c>
      <c r="AH90">
        <v>1</v>
      </c>
    </row>
    <row r="91" spans="1:34" x14ac:dyDescent="0.25">
      <c r="A91" s="203" t="s">
        <v>266</v>
      </c>
      <c r="B91" s="203"/>
      <c r="C91" s="203"/>
      <c r="D91" s="203"/>
      <c r="E91" s="203" t="s">
        <v>266</v>
      </c>
      <c r="F91" s="203" t="s">
        <v>266</v>
      </c>
      <c r="G91" s="203" t="s">
        <v>266</v>
      </c>
      <c r="I91" s="203" t="s">
        <v>266</v>
      </c>
      <c r="J91" s="203" t="s">
        <v>266</v>
      </c>
      <c r="K91" s="203" t="s">
        <v>266</v>
      </c>
      <c r="L91" s="203" t="s">
        <v>266</v>
      </c>
      <c r="M91" s="203" t="s">
        <v>266</v>
      </c>
      <c r="N91" s="203" t="s">
        <v>266</v>
      </c>
      <c r="O91" s="203" t="s">
        <v>266</v>
      </c>
      <c r="Q91" s="203" t="s">
        <v>266</v>
      </c>
      <c r="R91" s="203" t="s">
        <v>266</v>
      </c>
      <c r="S91" s="203" t="s">
        <v>266</v>
      </c>
      <c r="T91" s="203" t="s">
        <v>266</v>
      </c>
      <c r="U91" s="203" t="s">
        <v>266</v>
      </c>
      <c r="V91" s="203" t="s">
        <v>266</v>
      </c>
      <c r="W91" s="203" t="s">
        <v>266</v>
      </c>
      <c r="Y91" s="203" t="s">
        <v>266</v>
      </c>
      <c r="Z91" s="203" t="s">
        <v>266</v>
      </c>
      <c r="AA91" s="203" t="s">
        <v>266</v>
      </c>
      <c r="AB91" s="203" t="s">
        <v>266</v>
      </c>
      <c r="AC91" s="203" t="s">
        <v>266</v>
      </c>
      <c r="AD91" s="203" t="s">
        <v>266</v>
      </c>
      <c r="AE91" s="203" t="s">
        <v>266</v>
      </c>
      <c r="AG91">
        <v>1</v>
      </c>
      <c r="AH91">
        <v>1</v>
      </c>
    </row>
    <row r="92" spans="1:34" x14ac:dyDescent="0.25">
      <c r="A92" s="203" t="s">
        <v>266</v>
      </c>
      <c r="B92" s="203"/>
      <c r="C92" s="203"/>
      <c r="D92" s="203"/>
      <c r="E92" s="203" t="s">
        <v>266</v>
      </c>
      <c r="F92" s="203" t="s">
        <v>266</v>
      </c>
      <c r="G92" s="203" t="s">
        <v>266</v>
      </c>
      <c r="I92" s="203" t="s">
        <v>266</v>
      </c>
      <c r="J92" s="203" t="s">
        <v>266</v>
      </c>
      <c r="K92" s="203" t="s">
        <v>266</v>
      </c>
      <c r="L92" s="203" t="s">
        <v>266</v>
      </c>
      <c r="M92" s="203" t="s">
        <v>266</v>
      </c>
      <c r="N92" s="203" t="s">
        <v>266</v>
      </c>
      <c r="O92" s="203" t="s">
        <v>266</v>
      </c>
      <c r="Q92" s="203" t="s">
        <v>266</v>
      </c>
      <c r="R92" s="203" t="s">
        <v>266</v>
      </c>
      <c r="S92" s="203" t="s">
        <v>266</v>
      </c>
      <c r="T92" s="203" t="s">
        <v>266</v>
      </c>
      <c r="U92" s="203" t="s">
        <v>266</v>
      </c>
      <c r="V92" s="203" t="s">
        <v>266</v>
      </c>
      <c r="W92" s="203" t="s">
        <v>266</v>
      </c>
      <c r="Y92" s="203" t="s">
        <v>266</v>
      </c>
      <c r="Z92" s="203" t="s">
        <v>266</v>
      </c>
      <c r="AA92" s="203" t="s">
        <v>266</v>
      </c>
      <c r="AB92" s="203" t="s">
        <v>266</v>
      </c>
      <c r="AC92" s="203" t="s">
        <v>266</v>
      </c>
      <c r="AD92" s="203" t="s">
        <v>266</v>
      </c>
      <c r="AE92" s="203" t="s">
        <v>266</v>
      </c>
      <c r="AG92">
        <v>1</v>
      </c>
      <c r="AH92">
        <v>1</v>
      </c>
    </row>
    <row r="93" spans="1:34" x14ac:dyDescent="0.25">
      <c r="A93" s="203" t="s">
        <v>266</v>
      </c>
      <c r="B93" s="203"/>
      <c r="C93" s="203"/>
      <c r="D93" s="203"/>
      <c r="E93" s="203" t="s">
        <v>266</v>
      </c>
      <c r="F93" s="203" t="s">
        <v>266</v>
      </c>
      <c r="G93" s="203" t="s">
        <v>266</v>
      </c>
      <c r="I93" s="203" t="s">
        <v>266</v>
      </c>
      <c r="J93" s="203" t="s">
        <v>266</v>
      </c>
      <c r="K93" s="203" t="s">
        <v>266</v>
      </c>
      <c r="L93" s="203" t="s">
        <v>266</v>
      </c>
      <c r="M93" s="203" t="s">
        <v>266</v>
      </c>
      <c r="N93" s="203" t="s">
        <v>266</v>
      </c>
      <c r="O93" s="203" t="s">
        <v>266</v>
      </c>
      <c r="Q93" s="203" t="s">
        <v>266</v>
      </c>
      <c r="R93" s="203" t="s">
        <v>266</v>
      </c>
      <c r="S93" s="203" t="s">
        <v>266</v>
      </c>
      <c r="T93" s="203" t="s">
        <v>266</v>
      </c>
      <c r="U93" s="203" t="s">
        <v>266</v>
      </c>
      <c r="V93" s="203" t="s">
        <v>266</v>
      </c>
      <c r="W93" s="203" t="s">
        <v>266</v>
      </c>
      <c r="Y93" s="203" t="s">
        <v>266</v>
      </c>
      <c r="Z93" s="203" t="s">
        <v>266</v>
      </c>
      <c r="AA93" s="203" t="s">
        <v>266</v>
      </c>
      <c r="AB93" s="203" t="s">
        <v>266</v>
      </c>
      <c r="AC93" s="203" t="s">
        <v>266</v>
      </c>
      <c r="AD93" s="203" t="s">
        <v>266</v>
      </c>
      <c r="AE93" s="203" t="s">
        <v>266</v>
      </c>
      <c r="AG93">
        <v>1</v>
      </c>
      <c r="AH93">
        <v>1</v>
      </c>
    </row>
    <row r="94" spans="1:34" x14ac:dyDescent="0.25">
      <c r="A94" s="203" t="s">
        <v>266</v>
      </c>
      <c r="B94" s="203"/>
      <c r="C94" s="203"/>
      <c r="D94" s="203"/>
      <c r="E94" s="203" t="s">
        <v>266</v>
      </c>
      <c r="F94" s="203" t="s">
        <v>266</v>
      </c>
      <c r="G94" s="203" t="s">
        <v>266</v>
      </c>
      <c r="I94" s="203" t="s">
        <v>266</v>
      </c>
      <c r="J94" s="203" t="s">
        <v>266</v>
      </c>
      <c r="K94" s="203" t="s">
        <v>266</v>
      </c>
      <c r="L94" s="203" t="s">
        <v>266</v>
      </c>
      <c r="M94" s="203" t="s">
        <v>266</v>
      </c>
      <c r="N94" s="203" t="s">
        <v>266</v>
      </c>
      <c r="O94" s="203" t="s">
        <v>266</v>
      </c>
      <c r="Q94" s="203" t="s">
        <v>266</v>
      </c>
      <c r="R94" s="203" t="s">
        <v>266</v>
      </c>
      <c r="S94" s="203" t="s">
        <v>266</v>
      </c>
      <c r="T94" s="203" t="s">
        <v>266</v>
      </c>
      <c r="U94" s="203" t="s">
        <v>266</v>
      </c>
      <c r="V94" s="203" t="s">
        <v>266</v>
      </c>
      <c r="W94" s="203" t="s">
        <v>266</v>
      </c>
      <c r="Y94" s="203" t="s">
        <v>266</v>
      </c>
      <c r="Z94" s="203" t="s">
        <v>266</v>
      </c>
      <c r="AA94" s="203" t="s">
        <v>266</v>
      </c>
      <c r="AB94" s="203" t="s">
        <v>266</v>
      </c>
      <c r="AC94" s="203" t="s">
        <v>266</v>
      </c>
      <c r="AD94" s="203" t="s">
        <v>266</v>
      </c>
      <c r="AE94" s="203" t="s">
        <v>266</v>
      </c>
      <c r="AG94">
        <v>1</v>
      </c>
      <c r="AH94">
        <v>1</v>
      </c>
    </row>
    <row r="95" spans="1:34" x14ac:dyDescent="0.25">
      <c r="A95" s="203" t="s">
        <v>266</v>
      </c>
      <c r="B95" s="203"/>
      <c r="C95" s="203"/>
      <c r="D95" s="203"/>
      <c r="E95" s="203" t="s">
        <v>266</v>
      </c>
      <c r="F95" s="203" t="s">
        <v>266</v>
      </c>
      <c r="G95" s="203" t="s">
        <v>266</v>
      </c>
      <c r="I95" s="203" t="s">
        <v>266</v>
      </c>
      <c r="J95" s="203" t="s">
        <v>266</v>
      </c>
      <c r="K95" s="203" t="s">
        <v>266</v>
      </c>
      <c r="L95" s="203" t="s">
        <v>266</v>
      </c>
      <c r="M95" s="203" t="s">
        <v>266</v>
      </c>
      <c r="N95" s="203" t="s">
        <v>266</v>
      </c>
      <c r="O95" s="203" t="s">
        <v>266</v>
      </c>
      <c r="Q95" s="203" t="s">
        <v>266</v>
      </c>
      <c r="R95" s="203" t="s">
        <v>266</v>
      </c>
      <c r="S95" s="203" t="s">
        <v>266</v>
      </c>
      <c r="T95" s="203" t="s">
        <v>266</v>
      </c>
      <c r="U95" s="203" t="s">
        <v>266</v>
      </c>
      <c r="V95" s="203" t="s">
        <v>266</v>
      </c>
      <c r="W95" s="203" t="s">
        <v>266</v>
      </c>
      <c r="Y95" s="203" t="s">
        <v>266</v>
      </c>
      <c r="Z95" s="203" t="s">
        <v>266</v>
      </c>
      <c r="AA95" s="203" t="s">
        <v>266</v>
      </c>
      <c r="AB95" s="203" t="s">
        <v>266</v>
      </c>
      <c r="AC95" s="203" t="s">
        <v>266</v>
      </c>
      <c r="AD95" s="203" t="s">
        <v>266</v>
      </c>
      <c r="AE95" s="203" t="s">
        <v>266</v>
      </c>
      <c r="AG95">
        <v>1</v>
      </c>
      <c r="AH95">
        <v>1</v>
      </c>
    </row>
    <row r="96" spans="1:34" x14ac:dyDescent="0.25">
      <c r="A96" s="203" t="s">
        <v>266</v>
      </c>
      <c r="B96" s="203"/>
      <c r="C96" s="203"/>
      <c r="D96" s="203"/>
      <c r="E96" s="203" t="s">
        <v>266</v>
      </c>
      <c r="F96" s="203" t="s">
        <v>266</v>
      </c>
      <c r="G96" s="203" t="s">
        <v>266</v>
      </c>
      <c r="I96" s="203" t="s">
        <v>266</v>
      </c>
      <c r="J96" s="203" t="s">
        <v>266</v>
      </c>
      <c r="K96" s="203" t="s">
        <v>266</v>
      </c>
      <c r="L96" s="203" t="s">
        <v>266</v>
      </c>
      <c r="M96" s="203" t="s">
        <v>266</v>
      </c>
      <c r="N96" s="203" t="s">
        <v>266</v>
      </c>
      <c r="O96" s="203" t="s">
        <v>266</v>
      </c>
      <c r="Q96" s="203" t="s">
        <v>266</v>
      </c>
      <c r="R96" s="203" t="s">
        <v>266</v>
      </c>
      <c r="S96" s="203" t="s">
        <v>266</v>
      </c>
      <c r="T96" s="203" t="s">
        <v>266</v>
      </c>
      <c r="U96" s="203" t="s">
        <v>266</v>
      </c>
      <c r="V96" s="203" t="s">
        <v>266</v>
      </c>
      <c r="W96" s="203" t="s">
        <v>266</v>
      </c>
      <c r="Y96" s="203" t="s">
        <v>266</v>
      </c>
      <c r="Z96" s="203" t="s">
        <v>266</v>
      </c>
      <c r="AA96" s="203" t="s">
        <v>266</v>
      </c>
      <c r="AB96" s="203" t="s">
        <v>266</v>
      </c>
      <c r="AC96" s="203" t="s">
        <v>266</v>
      </c>
      <c r="AD96" s="203" t="s">
        <v>266</v>
      </c>
      <c r="AE96" s="203" t="s">
        <v>266</v>
      </c>
      <c r="AG96">
        <v>1</v>
      </c>
      <c r="AH96">
        <v>1</v>
      </c>
    </row>
    <row r="97" spans="1:34" x14ac:dyDescent="0.25">
      <c r="A97" s="203" t="s">
        <v>266</v>
      </c>
      <c r="B97" s="203"/>
      <c r="C97" s="203"/>
      <c r="D97" s="203"/>
      <c r="E97" s="203" t="s">
        <v>266</v>
      </c>
      <c r="F97" s="203" t="s">
        <v>266</v>
      </c>
      <c r="G97" s="203" t="s">
        <v>266</v>
      </c>
      <c r="I97" s="203" t="s">
        <v>266</v>
      </c>
      <c r="J97" s="203" t="s">
        <v>266</v>
      </c>
      <c r="K97" s="203" t="s">
        <v>266</v>
      </c>
      <c r="L97" s="203" t="s">
        <v>266</v>
      </c>
      <c r="M97" s="203" t="s">
        <v>266</v>
      </c>
      <c r="N97" s="203" t="s">
        <v>266</v>
      </c>
      <c r="O97" s="203" t="s">
        <v>266</v>
      </c>
      <c r="Q97" s="203" t="s">
        <v>266</v>
      </c>
      <c r="R97" s="203" t="s">
        <v>266</v>
      </c>
      <c r="S97" s="203" t="s">
        <v>266</v>
      </c>
      <c r="T97" s="203" t="s">
        <v>266</v>
      </c>
      <c r="U97" s="203" t="s">
        <v>266</v>
      </c>
      <c r="V97" s="203" t="s">
        <v>266</v>
      </c>
      <c r="W97" s="203" t="s">
        <v>266</v>
      </c>
      <c r="Y97" s="203" t="s">
        <v>266</v>
      </c>
      <c r="Z97" s="203" t="s">
        <v>266</v>
      </c>
      <c r="AA97" s="203" t="s">
        <v>266</v>
      </c>
      <c r="AB97" s="203" t="s">
        <v>266</v>
      </c>
      <c r="AC97" s="203" t="s">
        <v>266</v>
      </c>
      <c r="AD97" s="203" t="s">
        <v>266</v>
      </c>
      <c r="AE97" s="203" t="s">
        <v>266</v>
      </c>
      <c r="AG97">
        <v>1</v>
      </c>
      <c r="AH97">
        <v>1</v>
      </c>
    </row>
    <row r="98" spans="1:34" x14ac:dyDescent="0.25">
      <c r="A98" s="203" t="s">
        <v>266</v>
      </c>
      <c r="B98" s="203"/>
      <c r="C98" s="203"/>
      <c r="D98" s="203"/>
      <c r="E98" s="203" t="s">
        <v>266</v>
      </c>
      <c r="F98" s="203" t="s">
        <v>266</v>
      </c>
      <c r="G98" s="203" t="s">
        <v>266</v>
      </c>
      <c r="I98" s="203" t="s">
        <v>266</v>
      </c>
      <c r="J98" s="203" t="s">
        <v>266</v>
      </c>
      <c r="K98" s="203" t="s">
        <v>266</v>
      </c>
      <c r="L98" s="203" t="s">
        <v>266</v>
      </c>
      <c r="M98" s="203" t="s">
        <v>266</v>
      </c>
      <c r="N98" s="203" t="s">
        <v>266</v>
      </c>
      <c r="O98" s="203" t="s">
        <v>266</v>
      </c>
      <c r="Q98" s="203" t="s">
        <v>266</v>
      </c>
      <c r="R98" s="203" t="s">
        <v>266</v>
      </c>
      <c r="S98" s="203" t="s">
        <v>266</v>
      </c>
      <c r="T98" s="203" t="s">
        <v>266</v>
      </c>
      <c r="U98" s="203" t="s">
        <v>266</v>
      </c>
      <c r="V98" s="203" t="s">
        <v>266</v>
      </c>
      <c r="W98" s="203" t="s">
        <v>266</v>
      </c>
      <c r="Y98" s="203" t="s">
        <v>266</v>
      </c>
      <c r="Z98" s="203" t="s">
        <v>266</v>
      </c>
      <c r="AA98" s="203" t="s">
        <v>266</v>
      </c>
      <c r="AB98" s="203" t="s">
        <v>266</v>
      </c>
      <c r="AC98" s="203" t="s">
        <v>266</v>
      </c>
      <c r="AD98" s="203" t="s">
        <v>266</v>
      </c>
      <c r="AE98" s="203" t="s">
        <v>266</v>
      </c>
      <c r="AG98">
        <v>1</v>
      </c>
      <c r="AH98">
        <v>1</v>
      </c>
    </row>
    <row r="99" spans="1:34" x14ac:dyDescent="0.25">
      <c r="A99" s="203" t="s">
        <v>266</v>
      </c>
      <c r="B99" s="203"/>
      <c r="C99" s="203"/>
      <c r="D99" s="203"/>
      <c r="E99" s="203" t="s">
        <v>266</v>
      </c>
      <c r="F99" s="203" t="s">
        <v>266</v>
      </c>
      <c r="G99" s="203" t="s">
        <v>266</v>
      </c>
      <c r="I99" s="203" t="s">
        <v>266</v>
      </c>
      <c r="J99" s="203" t="s">
        <v>266</v>
      </c>
      <c r="K99" s="203" t="s">
        <v>266</v>
      </c>
      <c r="L99" s="203" t="s">
        <v>266</v>
      </c>
      <c r="M99" s="203" t="s">
        <v>266</v>
      </c>
      <c r="N99" s="203" t="s">
        <v>266</v>
      </c>
      <c r="O99" s="203" t="s">
        <v>266</v>
      </c>
      <c r="Q99" s="203" t="s">
        <v>266</v>
      </c>
      <c r="R99" s="203" t="s">
        <v>266</v>
      </c>
      <c r="S99" s="203" t="s">
        <v>266</v>
      </c>
      <c r="T99" s="203" t="s">
        <v>266</v>
      </c>
      <c r="U99" s="203" t="s">
        <v>266</v>
      </c>
      <c r="V99" s="203" t="s">
        <v>266</v>
      </c>
      <c r="W99" s="203" t="s">
        <v>266</v>
      </c>
      <c r="Y99" s="203" t="s">
        <v>266</v>
      </c>
      <c r="Z99" s="203" t="s">
        <v>266</v>
      </c>
      <c r="AA99" s="203" t="s">
        <v>266</v>
      </c>
      <c r="AB99" s="203" t="s">
        <v>266</v>
      </c>
      <c r="AC99" s="203" t="s">
        <v>266</v>
      </c>
      <c r="AD99" s="203" t="s">
        <v>266</v>
      </c>
      <c r="AE99" s="203" t="s">
        <v>266</v>
      </c>
      <c r="AG99">
        <v>1</v>
      </c>
      <c r="AH99">
        <v>1</v>
      </c>
    </row>
    <row r="100" spans="1:34" x14ac:dyDescent="0.25">
      <c r="A100" s="203" t="s">
        <v>266</v>
      </c>
      <c r="B100" s="203"/>
      <c r="C100" s="203"/>
      <c r="D100" s="203"/>
      <c r="E100" s="203" t="s">
        <v>266</v>
      </c>
      <c r="F100" s="203" t="s">
        <v>266</v>
      </c>
      <c r="G100" s="203" t="s">
        <v>266</v>
      </c>
      <c r="I100" s="203" t="s">
        <v>266</v>
      </c>
      <c r="J100" s="203" t="s">
        <v>266</v>
      </c>
      <c r="K100" s="203" t="s">
        <v>266</v>
      </c>
      <c r="L100" s="203" t="s">
        <v>266</v>
      </c>
      <c r="M100" s="203" t="s">
        <v>266</v>
      </c>
      <c r="N100" s="203" t="s">
        <v>266</v>
      </c>
      <c r="O100" s="203" t="s">
        <v>266</v>
      </c>
      <c r="Q100" s="203" t="s">
        <v>266</v>
      </c>
      <c r="R100" s="203" t="s">
        <v>266</v>
      </c>
      <c r="S100" s="203" t="s">
        <v>266</v>
      </c>
      <c r="T100" s="203" t="s">
        <v>266</v>
      </c>
      <c r="U100" s="203" t="s">
        <v>266</v>
      </c>
      <c r="V100" s="203" t="s">
        <v>266</v>
      </c>
      <c r="W100" s="203" t="s">
        <v>266</v>
      </c>
      <c r="Y100" s="203" t="s">
        <v>266</v>
      </c>
      <c r="Z100" s="203" t="s">
        <v>266</v>
      </c>
      <c r="AA100" s="203" t="s">
        <v>266</v>
      </c>
      <c r="AB100" s="203" t="s">
        <v>266</v>
      </c>
      <c r="AC100" s="203" t="s">
        <v>266</v>
      </c>
      <c r="AD100" s="203" t="s">
        <v>266</v>
      </c>
      <c r="AE100" s="203" t="s">
        <v>266</v>
      </c>
      <c r="AG100">
        <v>1</v>
      </c>
      <c r="AH100">
        <v>1</v>
      </c>
    </row>
    <row r="101" spans="1:34" x14ac:dyDescent="0.25">
      <c r="A101" s="203" t="s">
        <v>266</v>
      </c>
      <c r="B101" s="203"/>
      <c r="C101" s="203"/>
      <c r="D101" s="203"/>
      <c r="E101" s="203" t="s">
        <v>266</v>
      </c>
      <c r="F101" s="203" t="s">
        <v>266</v>
      </c>
      <c r="G101" s="203" t="s">
        <v>266</v>
      </c>
      <c r="I101" s="203" t="s">
        <v>266</v>
      </c>
      <c r="J101" s="203" t="s">
        <v>266</v>
      </c>
      <c r="K101" s="203" t="s">
        <v>266</v>
      </c>
      <c r="L101" s="203" t="s">
        <v>266</v>
      </c>
      <c r="M101" s="203" t="s">
        <v>266</v>
      </c>
      <c r="N101" s="203" t="s">
        <v>266</v>
      </c>
      <c r="O101" s="203" t="s">
        <v>266</v>
      </c>
      <c r="Q101" s="203" t="s">
        <v>266</v>
      </c>
      <c r="R101" s="203" t="s">
        <v>266</v>
      </c>
      <c r="S101" s="203" t="s">
        <v>266</v>
      </c>
      <c r="T101" s="203" t="s">
        <v>266</v>
      </c>
      <c r="U101" s="203" t="s">
        <v>266</v>
      </c>
      <c r="V101" s="203" t="s">
        <v>266</v>
      </c>
      <c r="W101" s="203" t="s">
        <v>266</v>
      </c>
      <c r="Y101" s="203" t="s">
        <v>266</v>
      </c>
      <c r="Z101" s="203" t="s">
        <v>266</v>
      </c>
      <c r="AA101" s="203" t="s">
        <v>266</v>
      </c>
      <c r="AB101" s="203" t="s">
        <v>266</v>
      </c>
      <c r="AC101" s="203" t="s">
        <v>266</v>
      </c>
      <c r="AD101" s="203" t="s">
        <v>266</v>
      </c>
      <c r="AE101" s="203" t="s">
        <v>266</v>
      </c>
      <c r="AG101">
        <v>1</v>
      </c>
      <c r="AH101">
        <v>1</v>
      </c>
    </row>
    <row r="102" spans="1:34" x14ac:dyDescent="0.25">
      <c r="A102" s="203" t="s">
        <v>266</v>
      </c>
      <c r="B102" s="203"/>
      <c r="C102" s="203"/>
      <c r="D102" s="203"/>
      <c r="E102" s="203" t="s">
        <v>266</v>
      </c>
      <c r="F102" s="203" t="s">
        <v>266</v>
      </c>
      <c r="G102" s="203" t="s">
        <v>266</v>
      </c>
      <c r="I102" s="203" t="s">
        <v>266</v>
      </c>
      <c r="J102" s="203" t="s">
        <v>266</v>
      </c>
      <c r="K102" s="203" t="s">
        <v>266</v>
      </c>
      <c r="L102" s="203" t="s">
        <v>266</v>
      </c>
      <c r="M102" s="203" t="s">
        <v>266</v>
      </c>
      <c r="N102" s="203" t="s">
        <v>266</v>
      </c>
      <c r="O102" s="203" t="s">
        <v>266</v>
      </c>
      <c r="Q102" s="203" t="s">
        <v>266</v>
      </c>
      <c r="R102" s="203" t="s">
        <v>266</v>
      </c>
      <c r="S102" s="203" t="s">
        <v>266</v>
      </c>
      <c r="T102" s="203" t="s">
        <v>266</v>
      </c>
      <c r="U102" s="203" t="s">
        <v>266</v>
      </c>
      <c r="V102" s="203" t="s">
        <v>266</v>
      </c>
      <c r="W102" s="203" t="s">
        <v>266</v>
      </c>
      <c r="Y102" s="203" t="s">
        <v>266</v>
      </c>
      <c r="Z102" s="203" t="s">
        <v>266</v>
      </c>
      <c r="AA102" s="203" t="s">
        <v>266</v>
      </c>
      <c r="AB102" s="203" t="s">
        <v>266</v>
      </c>
      <c r="AC102" s="203" t="s">
        <v>266</v>
      </c>
      <c r="AD102" s="203" t="s">
        <v>266</v>
      </c>
      <c r="AE102" s="203" t="s">
        <v>266</v>
      </c>
      <c r="AG102">
        <v>1</v>
      </c>
      <c r="AH102">
        <v>1</v>
      </c>
    </row>
    <row r="103" spans="1:34" x14ac:dyDescent="0.25">
      <c r="A103" s="203" t="s">
        <v>266</v>
      </c>
      <c r="B103" s="203"/>
      <c r="C103" s="203"/>
      <c r="D103" s="203"/>
      <c r="E103" s="203" t="s">
        <v>266</v>
      </c>
      <c r="F103" s="203" t="s">
        <v>266</v>
      </c>
      <c r="G103" s="203" t="s">
        <v>266</v>
      </c>
      <c r="I103" s="203" t="s">
        <v>266</v>
      </c>
      <c r="J103" s="203" t="s">
        <v>266</v>
      </c>
      <c r="K103" s="203" t="s">
        <v>266</v>
      </c>
      <c r="L103" s="203" t="s">
        <v>266</v>
      </c>
      <c r="M103" s="203" t="s">
        <v>266</v>
      </c>
      <c r="N103" s="203" t="s">
        <v>266</v>
      </c>
      <c r="O103" s="203" t="s">
        <v>266</v>
      </c>
      <c r="Q103" s="203" t="s">
        <v>266</v>
      </c>
      <c r="R103" s="203" t="s">
        <v>266</v>
      </c>
      <c r="S103" s="203" t="s">
        <v>266</v>
      </c>
      <c r="T103" s="203" t="s">
        <v>266</v>
      </c>
      <c r="U103" s="203" t="s">
        <v>266</v>
      </c>
      <c r="V103" s="203" t="s">
        <v>266</v>
      </c>
      <c r="W103" s="203" t="s">
        <v>266</v>
      </c>
      <c r="Y103" s="203" t="s">
        <v>266</v>
      </c>
      <c r="Z103" s="203" t="s">
        <v>266</v>
      </c>
      <c r="AA103" s="203" t="s">
        <v>266</v>
      </c>
      <c r="AB103" s="203" t="s">
        <v>266</v>
      </c>
      <c r="AC103" s="203" t="s">
        <v>266</v>
      </c>
      <c r="AD103" s="203" t="s">
        <v>266</v>
      </c>
      <c r="AE103" s="203" t="s">
        <v>266</v>
      </c>
      <c r="AG103">
        <v>1</v>
      </c>
      <c r="AH103">
        <v>1</v>
      </c>
    </row>
    <row r="104" spans="1:34" x14ac:dyDescent="0.25">
      <c r="A104" s="203" t="s">
        <v>266</v>
      </c>
      <c r="B104" s="203"/>
      <c r="C104" s="203"/>
      <c r="D104" s="203"/>
      <c r="E104" s="203" t="s">
        <v>266</v>
      </c>
      <c r="F104" s="203" t="s">
        <v>266</v>
      </c>
      <c r="G104" s="203" t="s">
        <v>266</v>
      </c>
      <c r="I104" s="203" t="s">
        <v>266</v>
      </c>
      <c r="J104" s="203" t="s">
        <v>266</v>
      </c>
      <c r="K104" s="203" t="s">
        <v>266</v>
      </c>
      <c r="L104" s="203" t="s">
        <v>266</v>
      </c>
      <c r="M104" s="203" t="s">
        <v>266</v>
      </c>
      <c r="N104" s="203" t="s">
        <v>266</v>
      </c>
      <c r="O104" s="203" t="s">
        <v>266</v>
      </c>
      <c r="Q104" s="203" t="s">
        <v>266</v>
      </c>
      <c r="R104" s="203" t="s">
        <v>266</v>
      </c>
      <c r="S104" s="203" t="s">
        <v>266</v>
      </c>
      <c r="T104" s="203" t="s">
        <v>266</v>
      </c>
      <c r="U104" s="203" t="s">
        <v>266</v>
      </c>
      <c r="V104" s="203" t="s">
        <v>266</v>
      </c>
      <c r="W104" s="203" t="s">
        <v>266</v>
      </c>
      <c r="Y104" s="203" t="s">
        <v>266</v>
      </c>
      <c r="Z104" s="203" t="s">
        <v>266</v>
      </c>
      <c r="AA104" s="203" t="s">
        <v>266</v>
      </c>
      <c r="AB104" s="203" t="s">
        <v>266</v>
      </c>
      <c r="AC104" s="203" t="s">
        <v>266</v>
      </c>
      <c r="AD104" s="203" t="s">
        <v>266</v>
      </c>
      <c r="AE104" s="203" t="s">
        <v>266</v>
      </c>
      <c r="AG104">
        <v>1</v>
      </c>
      <c r="AH104">
        <v>1</v>
      </c>
    </row>
    <row r="105" spans="1:34" x14ac:dyDescent="0.25">
      <c r="A105" s="203" t="s">
        <v>266</v>
      </c>
      <c r="B105" s="203"/>
      <c r="C105" s="203"/>
      <c r="D105" s="203"/>
      <c r="E105" s="203" t="s">
        <v>266</v>
      </c>
      <c r="F105" s="203" t="s">
        <v>266</v>
      </c>
      <c r="G105" s="203" t="s">
        <v>266</v>
      </c>
      <c r="I105" s="203" t="s">
        <v>266</v>
      </c>
      <c r="J105" s="203" t="s">
        <v>266</v>
      </c>
      <c r="K105" s="203" t="s">
        <v>266</v>
      </c>
      <c r="L105" s="203" t="s">
        <v>266</v>
      </c>
      <c r="M105" s="203" t="s">
        <v>266</v>
      </c>
      <c r="N105" s="203" t="s">
        <v>266</v>
      </c>
      <c r="O105" s="203" t="s">
        <v>266</v>
      </c>
      <c r="Q105" s="203" t="s">
        <v>266</v>
      </c>
      <c r="R105" s="203" t="s">
        <v>266</v>
      </c>
      <c r="S105" s="203" t="s">
        <v>266</v>
      </c>
      <c r="T105" s="203" t="s">
        <v>266</v>
      </c>
      <c r="U105" s="203" t="s">
        <v>266</v>
      </c>
      <c r="V105" s="203" t="s">
        <v>266</v>
      </c>
      <c r="W105" s="203" t="s">
        <v>266</v>
      </c>
      <c r="Y105" s="203" t="s">
        <v>266</v>
      </c>
      <c r="Z105" s="203" t="s">
        <v>266</v>
      </c>
      <c r="AA105" s="203" t="s">
        <v>266</v>
      </c>
      <c r="AB105" s="203" t="s">
        <v>266</v>
      </c>
      <c r="AC105" s="203" t="s">
        <v>266</v>
      </c>
      <c r="AD105" s="203" t="s">
        <v>266</v>
      </c>
      <c r="AE105" s="203" t="s">
        <v>266</v>
      </c>
      <c r="AG105">
        <v>1</v>
      </c>
      <c r="AH105">
        <v>1</v>
      </c>
    </row>
    <row r="106" spans="1:34" x14ac:dyDescent="0.25">
      <c r="A106" s="203" t="s">
        <v>266</v>
      </c>
      <c r="B106" s="203"/>
      <c r="C106" s="203"/>
      <c r="D106" s="203"/>
      <c r="E106" s="203" t="s">
        <v>266</v>
      </c>
      <c r="F106" s="203" t="s">
        <v>266</v>
      </c>
      <c r="G106" s="203" t="s">
        <v>266</v>
      </c>
      <c r="I106" s="203" t="s">
        <v>266</v>
      </c>
      <c r="J106" s="203" t="s">
        <v>266</v>
      </c>
      <c r="K106" s="203" t="s">
        <v>266</v>
      </c>
      <c r="L106" s="203" t="s">
        <v>266</v>
      </c>
      <c r="M106" s="203" t="s">
        <v>266</v>
      </c>
      <c r="N106" s="203" t="s">
        <v>266</v>
      </c>
      <c r="O106" s="203" t="s">
        <v>266</v>
      </c>
      <c r="Q106" s="203" t="s">
        <v>266</v>
      </c>
      <c r="R106" s="203" t="s">
        <v>266</v>
      </c>
      <c r="S106" s="203" t="s">
        <v>266</v>
      </c>
      <c r="T106" s="203" t="s">
        <v>266</v>
      </c>
      <c r="U106" s="203" t="s">
        <v>266</v>
      </c>
      <c r="V106" s="203" t="s">
        <v>266</v>
      </c>
      <c r="W106" s="203" t="s">
        <v>266</v>
      </c>
      <c r="Y106" s="203" t="s">
        <v>266</v>
      </c>
      <c r="Z106" s="203" t="s">
        <v>266</v>
      </c>
      <c r="AA106" s="203" t="s">
        <v>266</v>
      </c>
      <c r="AB106" s="203" t="s">
        <v>266</v>
      </c>
      <c r="AC106" s="203" t="s">
        <v>266</v>
      </c>
      <c r="AD106" s="203" t="s">
        <v>266</v>
      </c>
      <c r="AE106" s="203" t="s">
        <v>266</v>
      </c>
      <c r="AG106">
        <v>1</v>
      </c>
      <c r="AH106">
        <v>1</v>
      </c>
    </row>
    <row r="107" spans="1:34" x14ac:dyDescent="0.25">
      <c r="A107" s="203" t="s">
        <v>266</v>
      </c>
      <c r="B107" s="203"/>
      <c r="C107" s="203"/>
      <c r="D107" s="203"/>
      <c r="E107" s="203" t="s">
        <v>266</v>
      </c>
      <c r="F107" s="203" t="s">
        <v>266</v>
      </c>
      <c r="G107" s="203" t="s">
        <v>266</v>
      </c>
      <c r="I107" s="203" t="s">
        <v>266</v>
      </c>
      <c r="J107" s="203" t="s">
        <v>266</v>
      </c>
      <c r="K107" s="203" t="s">
        <v>266</v>
      </c>
      <c r="L107" s="203" t="s">
        <v>266</v>
      </c>
      <c r="M107" s="203" t="s">
        <v>266</v>
      </c>
      <c r="N107" s="203" t="s">
        <v>266</v>
      </c>
      <c r="O107" s="203" t="s">
        <v>266</v>
      </c>
      <c r="Q107" s="203" t="s">
        <v>266</v>
      </c>
      <c r="R107" s="203" t="s">
        <v>266</v>
      </c>
      <c r="S107" s="203" t="s">
        <v>266</v>
      </c>
      <c r="T107" s="203" t="s">
        <v>266</v>
      </c>
      <c r="U107" s="203" t="s">
        <v>266</v>
      </c>
      <c r="V107" s="203" t="s">
        <v>266</v>
      </c>
      <c r="W107" s="203" t="s">
        <v>266</v>
      </c>
      <c r="Y107" s="203" t="s">
        <v>266</v>
      </c>
      <c r="Z107" s="203" t="s">
        <v>266</v>
      </c>
      <c r="AA107" s="203" t="s">
        <v>266</v>
      </c>
      <c r="AB107" s="203" t="s">
        <v>266</v>
      </c>
      <c r="AC107" s="203" t="s">
        <v>266</v>
      </c>
      <c r="AD107" s="203" t="s">
        <v>266</v>
      </c>
      <c r="AE107" s="203" t="s">
        <v>266</v>
      </c>
      <c r="AG107">
        <v>1</v>
      </c>
      <c r="AH107">
        <v>1</v>
      </c>
    </row>
    <row r="108" spans="1:34" x14ac:dyDescent="0.25">
      <c r="A108" s="203" t="s">
        <v>266</v>
      </c>
      <c r="B108" s="203"/>
      <c r="C108" s="203"/>
      <c r="D108" s="203"/>
      <c r="E108" s="203" t="s">
        <v>266</v>
      </c>
      <c r="F108" s="203" t="s">
        <v>266</v>
      </c>
      <c r="G108" s="203" t="s">
        <v>266</v>
      </c>
      <c r="I108" s="203" t="s">
        <v>266</v>
      </c>
      <c r="J108" s="203" t="s">
        <v>266</v>
      </c>
      <c r="K108" s="203" t="s">
        <v>266</v>
      </c>
      <c r="L108" s="203" t="s">
        <v>266</v>
      </c>
      <c r="M108" s="203" t="s">
        <v>266</v>
      </c>
      <c r="N108" s="203" t="s">
        <v>266</v>
      </c>
      <c r="O108" s="203" t="s">
        <v>266</v>
      </c>
      <c r="Q108" s="203" t="s">
        <v>266</v>
      </c>
      <c r="R108" s="203" t="s">
        <v>266</v>
      </c>
      <c r="S108" s="203" t="s">
        <v>266</v>
      </c>
      <c r="T108" s="203" t="s">
        <v>266</v>
      </c>
      <c r="U108" s="203" t="s">
        <v>266</v>
      </c>
      <c r="V108" s="203" t="s">
        <v>266</v>
      </c>
      <c r="W108" s="203" t="s">
        <v>266</v>
      </c>
      <c r="Y108" s="203" t="s">
        <v>266</v>
      </c>
      <c r="Z108" s="203" t="s">
        <v>266</v>
      </c>
      <c r="AA108" s="203" t="s">
        <v>266</v>
      </c>
      <c r="AB108" s="203" t="s">
        <v>266</v>
      </c>
      <c r="AC108" s="203" t="s">
        <v>266</v>
      </c>
      <c r="AD108" s="203" t="s">
        <v>266</v>
      </c>
      <c r="AE108" s="203" t="s">
        <v>266</v>
      </c>
      <c r="AG108">
        <v>1</v>
      </c>
      <c r="AH108">
        <v>1</v>
      </c>
    </row>
    <row r="109" spans="1:34" x14ac:dyDescent="0.25">
      <c r="A109" s="203" t="s">
        <v>266</v>
      </c>
      <c r="B109" s="203"/>
      <c r="C109" s="203"/>
      <c r="D109" s="203"/>
      <c r="E109" s="203" t="s">
        <v>266</v>
      </c>
      <c r="F109" s="203" t="s">
        <v>266</v>
      </c>
      <c r="G109" s="203" t="s">
        <v>266</v>
      </c>
      <c r="I109" s="203" t="s">
        <v>266</v>
      </c>
      <c r="J109" s="203" t="s">
        <v>266</v>
      </c>
      <c r="K109" s="203" t="s">
        <v>266</v>
      </c>
      <c r="L109" s="203" t="s">
        <v>266</v>
      </c>
      <c r="M109" s="203" t="s">
        <v>266</v>
      </c>
      <c r="N109" s="203" t="s">
        <v>266</v>
      </c>
      <c r="O109" s="203" t="s">
        <v>266</v>
      </c>
      <c r="Q109" s="203" t="s">
        <v>266</v>
      </c>
      <c r="R109" s="203" t="s">
        <v>266</v>
      </c>
      <c r="S109" s="203" t="s">
        <v>266</v>
      </c>
      <c r="T109" s="203" t="s">
        <v>266</v>
      </c>
      <c r="U109" s="203" t="s">
        <v>266</v>
      </c>
      <c r="V109" s="203" t="s">
        <v>266</v>
      </c>
      <c r="W109" s="203" t="s">
        <v>266</v>
      </c>
      <c r="Y109" s="203" t="s">
        <v>266</v>
      </c>
      <c r="Z109" s="203" t="s">
        <v>266</v>
      </c>
      <c r="AA109" s="203" t="s">
        <v>266</v>
      </c>
      <c r="AB109" s="203" t="s">
        <v>266</v>
      </c>
      <c r="AC109" s="203" t="s">
        <v>266</v>
      </c>
      <c r="AD109" s="203" t="s">
        <v>266</v>
      </c>
      <c r="AE109" s="203" t="s">
        <v>266</v>
      </c>
      <c r="AG109">
        <v>1</v>
      </c>
      <c r="AH109">
        <v>1</v>
      </c>
    </row>
    <row r="110" spans="1:34" x14ac:dyDescent="0.25">
      <c r="A110" s="203" t="s">
        <v>266</v>
      </c>
      <c r="B110" s="203"/>
      <c r="C110" s="203"/>
      <c r="D110" s="203"/>
      <c r="E110" s="203" t="s">
        <v>266</v>
      </c>
      <c r="F110" s="203" t="s">
        <v>266</v>
      </c>
      <c r="G110" s="203" t="s">
        <v>266</v>
      </c>
      <c r="I110" s="203" t="s">
        <v>266</v>
      </c>
      <c r="J110" s="203" t="s">
        <v>266</v>
      </c>
      <c r="K110" s="203" t="s">
        <v>266</v>
      </c>
      <c r="L110" s="203" t="s">
        <v>266</v>
      </c>
      <c r="M110" s="203" t="s">
        <v>266</v>
      </c>
      <c r="N110" s="203" t="s">
        <v>266</v>
      </c>
      <c r="O110" s="203" t="s">
        <v>266</v>
      </c>
      <c r="Q110" s="203" t="s">
        <v>266</v>
      </c>
      <c r="R110" s="203" t="s">
        <v>266</v>
      </c>
      <c r="S110" s="203" t="s">
        <v>266</v>
      </c>
      <c r="T110" s="203" t="s">
        <v>266</v>
      </c>
      <c r="U110" s="203" t="s">
        <v>266</v>
      </c>
      <c r="V110" s="203" t="s">
        <v>266</v>
      </c>
      <c r="W110" s="203" t="s">
        <v>266</v>
      </c>
      <c r="Y110" s="203" t="s">
        <v>266</v>
      </c>
      <c r="Z110" s="203" t="s">
        <v>266</v>
      </c>
      <c r="AA110" s="203" t="s">
        <v>266</v>
      </c>
      <c r="AB110" s="203" t="s">
        <v>266</v>
      </c>
      <c r="AC110" s="203" t="s">
        <v>266</v>
      </c>
      <c r="AD110" s="203" t="s">
        <v>266</v>
      </c>
      <c r="AE110" s="203" t="s">
        <v>266</v>
      </c>
      <c r="AG110">
        <v>1</v>
      </c>
      <c r="AH110">
        <v>1</v>
      </c>
    </row>
    <row r="111" spans="1:34" x14ac:dyDescent="0.25">
      <c r="A111" s="203" t="s">
        <v>266</v>
      </c>
      <c r="B111" s="203"/>
      <c r="C111" s="203"/>
      <c r="D111" s="203"/>
      <c r="E111" s="203" t="s">
        <v>266</v>
      </c>
      <c r="F111" s="203" t="s">
        <v>266</v>
      </c>
      <c r="G111" s="203" t="s">
        <v>266</v>
      </c>
      <c r="I111" s="203" t="s">
        <v>266</v>
      </c>
      <c r="J111" s="203" t="s">
        <v>266</v>
      </c>
      <c r="K111" s="203" t="s">
        <v>266</v>
      </c>
      <c r="L111" s="203" t="s">
        <v>266</v>
      </c>
      <c r="M111" s="203" t="s">
        <v>266</v>
      </c>
      <c r="N111" s="203" t="s">
        <v>266</v>
      </c>
      <c r="O111" s="203" t="s">
        <v>266</v>
      </c>
      <c r="Q111" s="203" t="s">
        <v>266</v>
      </c>
      <c r="R111" s="203" t="s">
        <v>266</v>
      </c>
      <c r="S111" s="203" t="s">
        <v>266</v>
      </c>
      <c r="T111" s="203" t="s">
        <v>266</v>
      </c>
      <c r="U111" s="203" t="s">
        <v>266</v>
      </c>
      <c r="V111" s="203" t="s">
        <v>266</v>
      </c>
      <c r="W111" s="203" t="s">
        <v>266</v>
      </c>
      <c r="Y111" s="203" t="s">
        <v>266</v>
      </c>
      <c r="Z111" s="203" t="s">
        <v>266</v>
      </c>
      <c r="AA111" s="203" t="s">
        <v>266</v>
      </c>
      <c r="AB111" s="203" t="s">
        <v>266</v>
      </c>
      <c r="AC111" s="203" t="s">
        <v>266</v>
      </c>
      <c r="AD111" s="203" t="s">
        <v>266</v>
      </c>
      <c r="AE111" s="203" t="s">
        <v>266</v>
      </c>
      <c r="AG111">
        <v>1</v>
      </c>
      <c r="AH111">
        <v>1</v>
      </c>
    </row>
    <row r="112" spans="1:34" x14ac:dyDescent="0.25">
      <c r="A112" s="203" t="s">
        <v>266</v>
      </c>
      <c r="B112" s="203"/>
      <c r="C112" s="203"/>
      <c r="D112" s="203"/>
      <c r="E112" s="203" t="s">
        <v>266</v>
      </c>
      <c r="F112" s="203" t="s">
        <v>266</v>
      </c>
      <c r="G112" s="203" t="s">
        <v>266</v>
      </c>
      <c r="I112" s="203" t="s">
        <v>266</v>
      </c>
      <c r="J112" s="203" t="s">
        <v>266</v>
      </c>
      <c r="K112" s="203" t="s">
        <v>266</v>
      </c>
      <c r="L112" s="203" t="s">
        <v>266</v>
      </c>
      <c r="M112" s="203" t="s">
        <v>266</v>
      </c>
      <c r="N112" s="203" t="s">
        <v>266</v>
      </c>
      <c r="O112" s="203" t="s">
        <v>266</v>
      </c>
      <c r="Q112" s="203" t="s">
        <v>266</v>
      </c>
      <c r="R112" s="203" t="s">
        <v>266</v>
      </c>
      <c r="S112" s="203" t="s">
        <v>266</v>
      </c>
      <c r="T112" s="203" t="s">
        <v>266</v>
      </c>
      <c r="U112" s="203" t="s">
        <v>266</v>
      </c>
      <c r="V112" s="203" t="s">
        <v>266</v>
      </c>
      <c r="W112" s="203" t="s">
        <v>266</v>
      </c>
      <c r="Y112" s="203" t="s">
        <v>266</v>
      </c>
      <c r="Z112" s="203" t="s">
        <v>266</v>
      </c>
      <c r="AA112" s="203" t="s">
        <v>266</v>
      </c>
      <c r="AB112" s="203" t="s">
        <v>266</v>
      </c>
      <c r="AC112" s="203" t="s">
        <v>266</v>
      </c>
      <c r="AD112" s="203" t="s">
        <v>266</v>
      </c>
      <c r="AE112" s="203" t="s">
        <v>266</v>
      </c>
      <c r="AG112">
        <v>1</v>
      </c>
      <c r="AH112">
        <v>1</v>
      </c>
    </row>
    <row r="113" spans="1:34" x14ac:dyDescent="0.25">
      <c r="A113" s="203" t="s">
        <v>266</v>
      </c>
      <c r="B113" s="203"/>
      <c r="C113" s="203"/>
      <c r="D113" s="203"/>
      <c r="E113" s="203" t="s">
        <v>266</v>
      </c>
      <c r="F113" s="203" t="s">
        <v>266</v>
      </c>
      <c r="G113" s="203" t="s">
        <v>266</v>
      </c>
      <c r="I113" s="203" t="s">
        <v>266</v>
      </c>
      <c r="J113" s="203" t="s">
        <v>266</v>
      </c>
      <c r="K113" s="203" t="s">
        <v>266</v>
      </c>
      <c r="L113" s="203" t="s">
        <v>266</v>
      </c>
      <c r="M113" s="203" t="s">
        <v>266</v>
      </c>
      <c r="N113" s="203" t="s">
        <v>266</v>
      </c>
      <c r="O113" s="203" t="s">
        <v>266</v>
      </c>
      <c r="Q113" s="203" t="s">
        <v>266</v>
      </c>
      <c r="R113" s="203" t="s">
        <v>266</v>
      </c>
      <c r="S113" s="203" t="s">
        <v>266</v>
      </c>
      <c r="T113" s="203" t="s">
        <v>266</v>
      </c>
      <c r="U113" s="203" t="s">
        <v>266</v>
      </c>
      <c r="V113" s="203" t="s">
        <v>266</v>
      </c>
      <c r="W113" s="203" t="s">
        <v>266</v>
      </c>
      <c r="Y113" s="203" t="s">
        <v>266</v>
      </c>
      <c r="Z113" s="203" t="s">
        <v>266</v>
      </c>
      <c r="AA113" s="203" t="s">
        <v>266</v>
      </c>
      <c r="AB113" s="203" t="s">
        <v>266</v>
      </c>
      <c r="AC113" s="203" t="s">
        <v>266</v>
      </c>
      <c r="AD113" s="203" t="s">
        <v>266</v>
      </c>
      <c r="AE113" s="203" t="s">
        <v>266</v>
      </c>
      <c r="AG113">
        <v>1</v>
      </c>
      <c r="AH113">
        <v>1</v>
      </c>
    </row>
    <row r="114" spans="1:34" x14ac:dyDescent="0.25">
      <c r="A114" s="203" t="s">
        <v>266</v>
      </c>
      <c r="B114" s="203"/>
      <c r="C114" s="203"/>
      <c r="D114" s="203"/>
      <c r="E114" s="203" t="s">
        <v>266</v>
      </c>
      <c r="F114" s="203" t="s">
        <v>266</v>
      </c>
      <c r="G114" s="203" t="s">
        <v>266</v>
      </c>
      <c r="I114" s="203" t="s">
        <v>266</v>
      </c>
      <c r="J114" s="203" t="s">
        <v>266</v>
      </c>
      <c r="K114" s="203" t="s">
        <v>266</v>
      </c>
      <c r="L114" s="203" t="s">
        <v>266</v>
      </c>
      <c r="M114" s="203" t="s">
        <v>266</v>
      </c>
      <c r="N114" s="203" t="s">
        <v>266</v>
      </c>
      <c r="O114" s="203" t="s">
        <v>266</v>
      </c>
      <c r="Q114" s="203" t="s">
        <v>266</v>
      </c>
      <c r="R114" s="203" t="s">
        <v>266</v>
      </c>
      <c r="S114" s="203" t="s">
        <v>266</v>
      </c>
      <c r="T114" s="203" t="s">
        <v>266</v>
      </c>
      <c r="U114" s="203" t="s">
        <v>266</v>
      </c>
      <c r="V114" s="203" t="s">
        <v>266</v>
      </c>
      <c r="W114" s="203" t="s">
        <v>266</v>
      </c>
      <c r="Y114" s="203" t="s">
        <v>266</v>
      </c>
      <c r="Z114" s="203" t="s">
        <v>266</v>
      </c>
      <c r="AA114" s="203" t="s">
        <v>266</v>
      </c>
      <c r="AB114" s="203" t="s">
        <v>266</v>
      </c>
      <c r="AC114" s="203" t="s">
        <v>266</v>
      </c>
      <c r="AD114" s="203" t="s">
        <v>266</v>
      </c>
      <c r="AE114" s="203" t="s">
        <v>266</v>
      </c>
      <c r="AG114">
        <v>1</v>
      </c>
      <c r="AH114">
        <v>1</v>
      </c>
    </row>
    <row r="115" spans="1:34" x14ac:dyDescent="0.25">
      <c r="A115" s="203" t="s">
        <v>266</v>
      </c>
      <c r="B115" s="203"/>
      <c r="C115" s="203"/>
      <c r="D115" s="203"/>
      <c r="E115" s="203" t="s">
        <v>266</v>
      </c>
      <c r="F115" s="203" t="s">
        <v>266</v>
      </c>
      <c r="G115" s="203" t="s">
        <v>266</v>
      </c>
      <c r="I115" s="203" t="s">
        <v>266</v>
      </c>
      <c r="J115" s="203" t="s">
        <v>266</v>
      </c>
      <c r="K115" s="203" t="s">
        <v>266</v>
      </c>
      <c r="L115" s="203" t="s">
        <v>266</v>
      </c>
      <c r="M115" s="203" t="s">
        <v>266</v>
      </c>
      <c r="N115" s="203" t="s">
        <v>266</v>
      </c>
      <c r="O115" s="203" t="s">
        <v>266</v>
      </c>
      <c r="Q115" s="203" t="s">
        <v>266</v>
      </c>
      <c r="R115" s="203" t="s">
        <v>266</v>
      </c>
      <c r="S115" s="203" t="s">
        <v>266</v>
      </c>
      <c r="T115" s="203" t="s">
        <v>266</v>
      </c>
      <c r="U115" s="203" t="s">
        <v>266</v>
      </c>
      <c r="V115" s="203" t="s">
        <v>266</v>
      </c>
      <c r="W115" s="203" t="s">
        <v>266</v>
      </c>
      <c r="Y115" s="203" t="s">
        <v>266</v>
      </c>
      <c r="Z115" s="203" t="s">
        <v>266</v>
      </c>
      <c r="AA115" s="203" t="s">
        <v>266</v>
      </c>
      <c r="AB115" s="203" t="s">
        <v>266</v>
      </c>
      <c r="AC115" s="203" t="s">
        <v>266</v>
      </c>
      <c r="AD115" s="203" t="s">
        <v>266</v>
      </c>
      <c r="AE115" s="203" t="s">
        <v>266</v>
      </c>
      <c r="AG115">
        <v>1</v>
      </c>
      <c r="AH115">
        <v>1</v>
      </c>
    </row>
    <row r="116" spans="1:34" x14ac:dyDescent="0.25">
      <c r="A116" s="203" t="s">
        <v>266</v>
      </c>
      <c r="B116" s="203"/>
      <c r="C116" s="203"/>
      <c r="D116" s="203"/>
      <c r="E116" s="203" t="s">
        <v>266</v>
      </c>
      <c r="F116" s="203" t="s">
        <v>266</v>
      </c>
      <c r="G116" s="203" t="s">
        <v>266</v>
      </c>
      <c r="I116" s="203" t="s">
        <v>266</v>
      </c>
      <c r="J116" s="203" t="s">
        <v>266</v>
      </c>
      <c r="K116" s="203" t="s">
        <v>266</v>
      </c>
      <c r="L116" s="203" t="s">
        <v>266</v>
      </c>
      <c r="M116" s="203" t="s">
        <v>266</v>
      </c>
      <c r="N116" s="203" t="s">
        <v>266</v>
      </c>
      <c r="O116" s="203" t="s">
        <v>266</v>
      </c>
      <c r="Q116" s="203" t="s">
        <v>266</v>
      </c>
      <c r="R116" s="203" t="s">
        <v>266</v>
      </c>
      <c r="S116" s="203" t="s">
        <v>266</v>
      </c>
      <c r="T116" s="203" t="s">
        <v>266</v>
      </c>
      <c r="U116" s="203" t="s">
        <v>266</v>
      </c>
      <c r="V116" s="203" t="s">
        <v>266</v>
      </c>
      <c r="W116" s="203" t="s">
        <v>266</v>
      </c>
      <c r="Y116" s="203" t="s">
        <v>266</v>
      </c>
      <c r="Z116" s="203" t="s">
        <v>266</v>
      </c>
      <c r="AA116" s="203" t="s">
        <v>266</v>
      </c>
      <c r="AB116" s="203" t="s">
        <v>266</v>
      </c>
      <c r="AC116" s="203" t="s">
        <v>266</v>
      </c>
      <c r="AD116" s="203" t="s">
        <v>266</v>
      </c>
      <c r="AE116" s="203" t="s">
        <v>266</v>
      </c>
      <c r="AG116">
        <v>1</v>
      </c>
      <c r="AH116">
        <v>1</v>
      </c>
    </row>
    <row r="117" spans="1:34" x14ac:dyDescent="0.25">
      <c r="A117" s="203" t="s">
        <v>266</v>
      </c>
      <c r="B117" s="203"/>
      <c r="C117" s="203"/>
      <c r="D117" s="203"/>
      <c r="E117" s="203" t="s">
        <v>266</v>
      </c>
      <c r="F117" s="203" t="s">
        <v>266</v>
      </c>
      <c r="G117" s="203" t="s">
        <v>266</v>
      </c>
      <c r="I117" s="203" t="s">
        <v>266</v>
      </c>
      <c r="J117" s="203" t="s">
        <v>266</v>
      </c>
      <c r="K117" s="203" t="s">
        <v>266</v>
      </c>
      <c r="L117" s="203" t="s">
        <v>266</v>
      </c>
      <c r="M117" s="203" t="s">
        <v>266</v>
      </c>
      <c r="N117" s="203" t="s">
        <v>266</v>
      </c>
      <c r="O117" s="203" t="s">
        <v>266</v>
      </c>
      <c r="Q117" s="203" t="s">
        <v>266</v>
      </c>
      <c r="R117" s="203" t="s">
        <v>266</v>
      </c>
      <c r="S117" s="203" t="s">
        <v>266</v>
      </c>
      <c r="T117" s="203" t="s">
        <v>266</v>
      </c>
      <c r="U117" s="203" t="s">
        <v>266</v>
      </c>
      <c r="V117" s="203" t="s">
        <v>266</v>
      </c>
      <c r="W117" s="203" t="s">
        <v>266</v>
      </c>
      <c r="Y117" s="203" t="s">
        <v>266</v>
      </c>
      <c r="Z117" s="203" t="s">
        <v>266</v>
      </c>
      <c r="AA117" s="203" t="s">
        <v>266</v>
      </c>
      <c r="AB117" s="203" t="s">
        <v>266</v>
      </c>
      <c r="AC117" s="203" t="s">
        <v>266</v>
      </c>
      <c r="AD117" s="203" t="s">
        <v>266</v>
      </c>
      <c r="AE117" s="203" t="s">
        <v>266</v>
      </c>
      <c r="AG117">
        <v>1</v>
      </c>
      <c r="AH117">
        <v>1</v>
      </c>
    </row>
    <row r="118" spans="1:34" x14ac:dyDescent="0.25">
      <c r="A118" s="203" t="s">
        <v>266</v>
      </c>
      <c r="B118" s="203"/>
      <c r="C118" s="203"/>
      <c r="D118" s="203"/>
      <c r="E118" s="203" t="s">
        <v>266</v>
      </c>
      <c r="F118" s="203" t="s">
        <v>266</v>
      </c>
      <c r="G118" s="203" t="s">
        <v>266</v>
      </c>
      <c r="I118" s="203" t="s">
        <v>266</v>
      </c>
      <c r="J118" s="203" t="s">
        <v>266</v>
      </c>
      <c r="K118" s="203" t="s">
        <v>266</v>
      </c>
      <c r="L118" s="203" t="s">
        <v>266</v>
      </c>
      <c r="M118" s="203" t="s">
        <v>266</v>
      </c>
      <c r="N118" s="203" t="s">
        <v>266</v>
      </c>
      <c r="O118" s="203" t="s">
        <v>266</v>
      </c>
      <c r="Q118" s="203" t="s">
        <v>266</v>
      </c>
      <c r="R118" s="203" t="s">
        <v>266</v>
      </c>
      <c r="S118" s="203" t="s">
        <v>266</v>
      </c>
      <c r="T118" s="203" t="s">
        <v>266</v>
      </c>
      <c r="U118" s="203" t="s">
        <v>266</v>
      </c>
      <c r="V118" s="203" t="s">
        <v>266</v>
      </c>
      <c r="W118" s="203" t="s">
        <v>266</v>
      </c>
      <c r="Y118" s="203" t="s">
        <v>266</v>
      </c>
      <c r="Z118" s="203" t="s">
        <v>266</v>
      </c>
      <c r="AA118" s="203" t="s">
        <v>266</v>
      </c>
      <c r="AB118" s="203" t="s">
        <v>266</v>
      </c>
      <c r="AC118" s="203" t="s">
        <v>266</v>
      </c>
      <c r="AD118" s="203" t="s">
        <v>266</v>
      </c>
      <c r="AE118" s="203" t="s">
        <v>266</v>
      </c>
      <c r="AG118">
        <v>1</v>
      </c>
      <c r="AH118">
        <v>1</v>
      </c>
    </row>
    <row r="119" spans="1:34" x14ac:dyDescent="0.25">
      <c r="A119" s="203" t="s">
        <v>266</v>
      </c>
      <c r="B119" s="203"/>
      <c r="C119" s="203"/>
      <c r="D119" s="203"/>
      <c r="E119" s="203" t="s">
        <v>266</v>
      </c>
      <c r="F119" s="203" t="s">
        <v>266</v>
      </c>
      <c r="G119" s="203" t="s">
        <v>266</v>
      </c>
      <c r="I119" s="203" t="s">
        <v>266</v>
      </c>
      <c r="J119" s="203" t="s">
        <v>266</v>
      </c>
      <c r="K119" s="203" t="s">
        <v>266</v>
      </c>
      <c r="L119" s="203" t="s">
        <v>266</v>
      </c>
      <c r="M119" s="203" t="s">
        <v>266</v>
      </c>
      <c r="N119" s="203" t="s">
        <v>266</v>
      </c>
      <c r="O119" s="203" t="s">
        <v>266</v>
      </c>
      <c r="Q119" s="203" t="s">
        <v>266</v>
      </c>
      <c r="R119" s="203" t="s">
        <v>266</v>
      </c>
      <c r="S119" s="203" t="s">
        <v>266</v>
      </c>
      <c r="T119" s="203" t="s">
        <v>266</v>
      </c>
      <c r="U119" s="203" t="s">
        <v>266</v>
      </c>
      <c r="V119" s="203" t="s">
        <v>266</v>
      </c>
      <c r="W119" s="203" t="s">
        <v>266</v>
      </c>
      <c r="Y119" s="203" t="s">
        <v>266</v>
      </c>
      <c r="Z119" s="203" t="s">
        <v>266</v>
      </c>
      <c r="AA119" s="203" t="s">
        <v>266</v>
      </c>
      <c r="AB119" s="203" t="s">
        <v>266</v>
      </c>
      <c r="AC119" s="203" t="s">
        <v>266</v>
      </c>
      <c r="AD119" s="203" t="s">
        <v>266</v>
      </c>
      <c r="AE119" s="203" t="s">
        <v>266</v>
      </c>
      <c r="AG119">
        <v>1</v>
      </c>
      <c r="AH119">
        <v>1</v>
      </c>
    </row>
    <row r="120" spans="1:34" x14ac:dyDescent="0.25">
      <c r="A120" s="203" t="s">
        <v>266</v>
      </c>
      <c r="B120" s="203"/>
      <c r="C120" s="203"/>
      <c r="D120" s="203"/>
      <c r="E120" s="203" t="s">
        <v>266</v>
      </c>
      <c r="F120" s="203" t="s">
        <v>266</v>
      </c>
      <c r="G120" s="203" t="s">
        <v>266</v>
      </c>
      <c r="I120" s="203" t="s">
        <v>266</v>
      </c>
      <c r="J120" s="203" t="s">
        <v>266</v>
      </c>
      <c r="K120" s="203" t="s">
        <v>266</v>
      </c>
      <c r="L120" s="203" t="s">
        <v>266</v>
      </c>
      <c r="M120" s="203" t="s">
        <v>266</v>
      </c>
      <c r="N120" s="203" t="s">
        <v>266</v>
      </c>
      <c r="O120" s="203" t="s">
        <v>266</v>
      </c>
      <c r="Q120" s="203" t="s">
        <v>266</v>
      </c>
      <c r="R120" s="203" t="s">
        <v>266</v>
      </c>
      <c r="S120" s="203" t="s">
        <v>266</v>
      </c>
      <c r="T120" s="203" t="s">
        <v>266</v>
      </c>
      <c r="U120" s="203" t="s">
        <v>266</v>
      </c>
      <c r="V120" s="203" t="s">
        <v>266</v>
      </c>
      <c r="W120" s="203" t="s">
        <v>266</v>
      </c>
      <c r="Y120" s="203" t="s">
        <v>266</v>
      </c>
      <c r="Z120" s="203" t="s">
        <v>266</v>
      </c>
      <c r="AA120" s="203" t="s">
        <v>266</v>
      </c>
      <c r="AB120" s="203" t="s">
        <v>266</v>
      </c>
      <c r="AC120" s="203" t="s">
        <v>266</v>
      </c>
      <c r="AD120" s="203" t="s">
        <v>266</v>
      </c>
      <c r="AE120" s="203" t="s">
        <v>266</v>
      </c>
      <c r="AG120">
        <v>1</v>
      </c>
      <c r="AH120">
        <v>1</v>
      </c>
    </row>
    <row r="121" spans="1:34" x14ac:dyDescent="0.25">
      <c r="A121" s="203" t="s">
        <v>266</v>
      </c>
      <c r="B121" s="203"/>
      <c r="C121" s="203"/>
      <c r="D121" s="203"/>
      <c r="E121" s="203" t="s">
        <v>266</v>
      </c>
      <c r="F121" s="203" t="s">
        <v>266</v>
      </c>
      <c r="G121" s="203" t="s">
        <v>266</v>
      </c>
      <c r="I121" s="203" t="s">
        <v>266</v>
      </c>
      <c r="J121" s="203" t="s">
        <v>266</v>
      </c>
      <c r="K121" s="203" t="s">
        <v>266</v>
      </c>
      <c r="L121" s="203" t="s">
        <v>266</v>
      </c>
      <c r="M121" s="203" t="s">
        <v>266</v>
      </c>
      <c r="N121" s="203" t="s">
        <v>266</v>
      </c>
      <c r="O121" s="203" t="s">
        <v>266</v>
      </c>
      <c r="Q121" s="203" t="s">
        <v>266</v>
      </c>
      <c r="R121" s="203" t="s">
        <v>266</v>
      </c>
      <c r="S121" s="203" t="s">
        <v>266</v>
      </c>
      <c r="T121" s="203" t="s">
        <v>266</v>
      </c>
      <c r="U121" s="203" t="s">
        <v>266</v>
      </c>
      <c r="V121" s="203" t="s">
        <v>266</v>
      </c>
      <c r="W121" s="203" t="s">
        <v>266</v>
      </c>
      <c r="Y121" s="203" t="s">
        <v>266</v>
      </c>
      <c r="Z121" s="203" t="s">
        <v>266</v>
      </c>
      <c r="AA121" s="203" t="s">
        <v>266</v>
      </c>
      <c r="AB121" s="203" t="s">
        <v>266</v>
      </c>
      <c r="AC121" s="203" t="s">
        <v>266</v>
      </c>
      <c r="AD121" s="203" t="s">
        <v>266</v>
      </c>
      <c r="AE121" s="203" t="s">
        <v>266</v>
      </c>
      <c r="AG121">
        <v>1</v>
      </c>
      <c r="AH121">
        <v>1</v>
      </c>
    </row>
    <row r="122" spans="1:34" x14ac:dyDescent="0.25">
      <c r="A122" s="203" t="s">
        <v>266</v>
      </c>
      <c r="B122" s="203"/>
      <c r="C122" s="203"/>
      <c r="D122" s="203"/>
      <c r="E122" s="203" t="s">
        <v>266</v>
      </c>
      <c r="F122" s="203" t="s">
        <v>266</v>
      </c>
      <c r="G122" s="203" t="s">
        <v>266</v>
      </c>
      <c r="I122" s="203" t="s">
        <v>266</v>
      </c>
      <c r="J122" s="203" t="s">
        <v>266</v>
      </c>
      <c r="K122" s="203" t="s">
        <v>266</v>
      </c>
      <c r="L122" s="203" t="s">
        <v>266</v>
      </c>
      <c r="M122" s="203" t="s">
        <v>266</v>
      </c>
      <c r="N122" s="203" t="s">
        <v>266</v>
      </c>
      <c r="O122" s="203" t="s">
        <v>266</v>
      </c>
      <c r="Q122" s="203" t="s">
        <v>266</v>
      </c>
      <c r="R122" s="203" t="s">
        <v>266</v>
      </c>
      <c r="S122" s="203" t="s">
        <v>266</v>
      </c>
      <c r="T122" s="203" t="s">
        <v>266</v>
      </c>
      <c r="U122" s="203" t="s">
        <v>266</v>
      </c>
      <c r="V122" s="203" t="s">
        <v>266</v>
      </c>
      <c r="W122" s="203" t="s">
        <v>266</v>
      </c>
      <c r="Y122" s="203" t="s">
        <v>266</v>
      </c>
      <c r="Z122" s="203" t="s">
        <v>266</v>
      </c>
      <c r="AA122" s="203" t="s">
        <v>266</v>
      </c>
      <c r="AB122" s="203" t="s">
        <v>266</v>
      </c>
      <c r="AC122" s="203" t="s">
        <v>266</v>
      </c>
      <c r="AD122" s="203" t="s">
        <v>266</v>
      </c>
      <c r="AE122" s="203" t="s">
        <v>266</v>
      </c>
      <c r="AG122">
        <v>1</v>
      </c>
      <c r="AH122">
        <v>1</v>
      </c>
    </row>
    <row r="123" spans="1:34" x14ac:dyDescent="0.25">
      <c r="A123" s="203" t="s">
        <v>266</v>
      </c>
      <c r="B123" s="203"/>
      <c r="C123" s="203"/>
      <c r="D123" s="203"/>
      <c r="E123" s="203" t="s">
        <v>266</v>
      </c>
      <c r="F123" s="203" t="s">
        <v>266</v>
      </c>
      <c r="G123" s="203" t="s">
        <v>266</v>
      </c>
      <c r="I123" s="203" t="s">
        <v>266</v>
      </c>
      <c r="J123" s="203" t="s">
        <v>266</v>
      </c>
      <c r="K123" s="203" t="s">
        <v>266</v>
      </c>
      <c r="L123" s="203" t="s">
        <v>266</v>
      </c>
      <c r="M123" s="203" t="s">
        <v>266</v>
      </c>
      <c r="N123" s="203" t="s">
        <v>266</v>
      </c>
      <c r="O123" s="203" t="s">
        <v>266</v>
      </c>
      <c r="Q123" s="203" t="s">
        <v>266</v>
      </c>
      <c r="R123" s="203" t="s">
        <v>266</v>
      </c>
      <c r="S123" s="203" t="s">
        <v>266</v>
      </c>
      <c r="T123" s="203" t="s">
        <v>266</v>
      </c>
      <c r="U123" s="203" t="s">
        <v>266</v>
      </c>
      <c r="V123" s="203" t="s">
        <v>266</v>
      </c>
      <c r="W123" s="203" t="s">
        <v>266</v>
      </c>
      <c r="Y123" s="203" t="s">
        <v>266</v>
      </c>
      <c r="Z123" s="203" t="s">
        <v>266</v>
      </c>
      <c r="AA123" s="203" t="s">
        <v>266</v>
      </c>
      <c r="AB123" s="203" t="s">
        <v>266</v>
      </c>
      <c r="AC123" s="203" t="s">
        <v>266</v>
      </c>
      <c r="AD123" s="203" t="s">
        <v>266</v>
      </c>
      <c r="AE123" s="203" t="s">
        <v>266</v>
      </c>
      <c r="AG123">
        <v>1</v>
      </c>
      <c r="AH123">
        <v>1</v>
      </c>
    </row>
    <row r="124" spans="1:34" x14ac:dyDescent="0.25">
      <c r="A124" s="203" t="s">
        <v>266</v>
      </c>
      <c r="B124" s="203"/>
      <c r="C124" s="203"/>
      <c r="D124" s="203"/>
      <c r="E124" s="203" t="s">
        <v>266</v>
      </c>
      <c r="F124" s="203" t="s">
        <v>266</v>
      </c>
      <c r="G124" s="203" t="s">
        <v>266</v>
      </c>
      <c r="I124" s="203" t="s">
        <v>266</v>
      </c>
      <c r="J124" s="203" t="s">
        <v>266</v>
      </c>
      <c r="K124" s="203" t="s">
        <v>266</v>
      </c>
      <c r="L124" s="203" t="s">
        <v>266</v>
      </c>
      <c r="M124" s="203" t="s">
        <v>266</v>
      </c>
      <c r="N124" s="203" t="s">
        <v>266</v>
      </c>
      <c r="O124" s="203" t="s">
        <v>266</v>
      </c>
      <c r="Q124" s="203" t="s">
        <v>266</v>
      </c>
      <c r="R124" s="203" t="s">
        <v>266</v>
      </c>
      <c r="S124" s="203" t="s">
        <v>266</v>
      </c>
      <c r="T124" s="203" t="s">
        <v>266</v>
      </c>
      <c r="U124" s="203" t="s">
        <v>266</v>
      </c>
      <c r="V124" s="203" t="s">
        <v>266</v>
      </c>
      <c r="W124" s="203" t="s">
        <v>266</v>
      </c>
      <c r="Y124" s="203" t="s">
        <v>266</v>
      </c>
      <c r="Z124" s="203" t="s">
        <v>266</v>
      </c>
      <c r="AA124" s="203" t="s">
        <v>266</v>
      </c>
      <c r="AB124" s="203" t="s">
        <v>266</v>
      </c>
      <c r="AC124" s="203" t="s">
        <v>266</v>
      </c>
      <c r="AD124" s="203" t="s">
        <v>266</v>
      </c>
      <c r="AE124" s="203" t="s">
        <v>266</v>
      </c>
      <c r="AG124">
        <v>1</v>
      </c>
      <c r="AH124">
        <v>1</v>
      </c>
    </row>
    <row r="125" spans="1:34" x14ac:dyDescent="0.25">
      <c r="A125" s="203" t="s">
        <v>266</v>
      </c>
      <c r="B125" s="203"/>
      <c r="C125" s="203"/>
      <c r="D125" s="203"/>
      <c r="E125" s="203" t="s">
        <v>266</v>
      </c>
      <c r="F125" s="203" t="s">
        <v>266</v>
      </c>
      <c r="G125" s="203" t="s">
        <v>266</v>
      </c>
      <c r="I125" s="203" t="s">
        <v>266</v>
      </c>
      <c r="J125" s="203" t="s">
        <v>266</v>
      </c>
      <c r="K125" s="203" t="s">
        <v>266</v>
      </c>
      <c r="L125" s="203" t="s">
        <v>266</v>
      </c>
      <c r="M125" s="203" t="s">
        <v>266</v>
      </c>
      <c r="N125" s="203" t="s">
        <v>266</v>
      </c>
      <c r="O125" s="203" t="s">
        <v>266</v>
      </c>
      <c r="Q125" s="203" t="s">
        <v>266</v>
      </c>
      <c r="R125" s="203" t="s">
        <v>266</v>
      </c>
      <c r="S125" s="203" t="s">
        <v>266</v>
      </c>
      <c r="T125" s="203" t="s">
        <v>266</v>
      </c>
      <c r="U125" s="203" t="s">
        <v>266</v>
      </c>
      <c r="V125" s="203" t="s">
        <v>266</v>
      </c>
      <c r="W125" s="203" t="s">
        <v>266</v>
      </c>
      <c r="Y125" s="203" t="s">
        <v>266</v>
      </c>
      <c r="Z125" s="203" t="s">
        <v>266</v>
      </c>
      <c r="AA125" s="203" t="s">
        <v>266</v>
      </c>
      <c r="AB125" s="203" t="s">
        <v>266</v>
      </c>
      <c r="AC125" s="203" t="s">
        <v>266</v>
      </c>
      <c r="AD125" s="203" t="s">
        <v>266</v>
      </c>
      <c r="AE125" s="203" t="s">
        <v>266</v>
      </c>
      <c r="AG125">
        <v>1</v>
      </c>
      <c r="AH125">
        <v>1</v>
      </c>
    </row>
    <row r="126" spans="1:34" x14ac:dyDescent="0.25">
      <c r="A126" s="203" t="s">
        <v>266</v>
      </c>
      <c r="B126" s="203"/>
      <c r="C126" s="203"/>
      <c r="D126" s="203"/>
      <c r="E126" s="203" t="s">
        <v>266</v>
      </c>
      <c r="F126" s="203" t="s">
        <v>266</v>
      </c>
      <c r="G126" s="203" t="s">
        <v>266</v>
      </c>
      <c r="I126" s="203" t="s">
        <v>266</v>
      </c>
      <c r="J126" s="203" t="s">
        <v>266</v>
      </c>
      <c r="K126" s="203" t="s">
        <v>266</v>
      </c>
      <c r="L126" s="203" t="s">
        <v>266</v>
      </c>
      <c r="M126" s="203" t="s">
        <v>266</v>
      </c>
      <c r="N126" s="203" t="s">
        <v>266</v>
      </c>
      <c r="O126" s="203" t="s">
        <v>266</v>
      </c>
      <c r="Q126" s="203" t="s">
        <v>266</v>
      </c>
      <c r="R126" s="203" t="s">
        <v>266</v>
      </c>
      <c r="S126" s="203" t="s">
        <v>266</v>
      </c>
      <c r="T126" s="203" t="s">
        <v>266</v>
      </c>
      <c r="U126" s="203" t="s">
        <v>266</v>
      </c>
      <c r="V126" s="203" t="s">
        <v>266</v>
      </c>
      <c r="W126" s="203" t="s">
        <v>266</v>
      </c>
      <c r="Y126" s="203" t="s">
        <v>266</v>
      </c>
      <c r="Z126" s="203" t="s">
        <v>266</v>
      </c>
      <c r="AA126" s="203" t="s">
        <v>266</v>
      </c>
      <c r="AB126" s="203" t="s">
        <v>266</v>
      </c>
      <c r="AC126" s="203" t="s">
        <v>266</v>
      </c>
      <c r="AD126" s="203" t="s">
        <v>266</v>
      </c>
      <c r="AE126" s="203" t="s">
        <v>266</v>
      </c>
      <c r="AG126">
        <v>1</v>
      </c>
      <c r="AH126">
        <v>1</v>
      </c>
    </row>
    <row r="127" spans="1:34" x14ac:dyDescent="0.25">
      <c r="A127" s="203" t="s">
        <v>266</v>
      </c>
      <c r="B127" s="203"/>
      <c r="C127" s="203"/>
      <c r="D127" s="203"/>
      <c r="E127" s="203" t="s">
        <v>266</v>
      </c>
      <c r="F127" s="203" t="s">
        <v>266</v>
      </c>
      <c r="G127" s="203" t="s">
        <v>266</v>
      </c>
      <c r="I127" s="203" t="s">
        <v>266</v>
      </c>
      <c r="J127" s="203" t="s">
        <v>266</v>
      </c>
      <c r="K127" s="203" t="s">
        <v>266</v>
      </c>
      <c r="L127" s="203" t="s">
        <v>266</v>
      </c>
      <c r="M127" s="203" t="s">
        <v>266</v>
      </c>
      <c r="N127" s="203" t="s">
        <v>266</v>
      </c>
      <c r="O127" s="203" t="s">
        <v>266</v>
      </c>
      <c r="Q127" s="203" t="s">
        <v>266</v>
      </c>
      <c r="R127" s="203" t="s">
        <v>266</v>
      </c>
      <c r="S127" s="203" t="s">
        <v>266</v>
      </c>
      <c r="T127" s="203" t="s">
        <v>266</v>
      </c>
      <c r="U127" s="203" t="s">
        <v>266</v>
      </c>
      <c r="V127" s="203" t="s">
        <v>266</v>
      </c>
      <c r="W127" s="203" t="s">
        <v>266</v>
      </c>
      <c r="Y127" s="203" t="s">
        <v>266</v>
      </c>
      <c r="Z127" s="203" t="s">
        <v>266</v>
      </c>
      <c r="AA127" s="203" t="s">
        <v>266</v>
      </c>
      <c r="AB127" s="203" t="s">
        <v>266</v>
      </c>
      <c r="AC127" s="203" t="s">
        <v>266</v>
      </c>
      <c r="AD127" s="203" t="s">
        <v>266</v>
      </c>
      <c r="AE127" s="203" t="s">
        <v>266</v>
      </c>
      <c r="AG127">
        <v>1</v>
      </c>
      <c r="AH127">
        <v>1</v>
      </c>
    </row>
    <row r="128" spans="1:34" x14ac:dyDescent="0.25">
      <c r="A128" s="203" t="s">
        <v>266</v>
      </c>
      <c r="B128" s="203"/>
      <c r="C128" s="203"/>
      <c r="D128" s="203"/>
      <c r="E128" s="203" t="s">
        <v>266</v>
      </c>
      <c r="F128" s="203" t="s">
        <v>266</v>
      </c>
      <c r="G128" s="203" t="s">
        <v>266</v>
      </c>
      <c r="I128" s="203" t="s">
        <v>266</v>
      </c>
      <c r="J128" s="203" t="s">
        <v>266</v>
      </c>
      <c r="K128" s="203" t="s">
        <v>266</v>
      </c>
      <c r="L128" s="203" t="s">
        <v>266</v>
      </c>
      <c r="M128" s="203" t="s">
        <v>266</v>
      </c>
      <c r="N128" s="203" t="s">
        <v>266</v>
      </c>
      <c r="O128" s="203" t="s">
        <v>266</v>
      </c>
      <c r="Q128" s="203" t="s">
        <v>266</v>
      </c>
      <c r="R128" s="203" t="s">
        <v>266</v>
      </c>
      <c r="S128" s="203" t="s">
        <v>266</v>
      </c>
      <c r="T128" s="203" t="s">
        <v>266</v>
      </c>
      <c r="U128" s="203" t="s">
        <v>266</v>
      </c>
      <c r="V128" s="203" t="s">
        <v>266</v>
      </c>
      <c r="W128" s="203" t="s">
        <v>266</v>
      </c>
      <c r="Y128" s="203" t="s">
        <v>266</v>
      </c>
      <c r="Z128" s="203" t="s">
        <v>266</v>
      </c>
      <c r="AA128" s="203" t="s">
        <v>266</v>
      </c>
      <c r="AB128" s="203" t="s">
        <v>266</v>
      </c>
      <c r="AC128" s="203" t="s">
        <v>266</v>
      </c>
      <c r="AD128" s="203" t="s">
        <v>266</v>
      </c>
      <c r="AE128" s="203" t="s">
        <v>266</v>
      </c>
      <c r="AG128">
        <v>1</v>
      </c>
      <c r="AH128">
        <v>1</v>
      </c>
    </row>
    <row r="129" spans="1:34" x14ac:dyDescent="0.25">
      <c r="A129" s="203" t="s">
        <v>266</v>
      </c>
      <c r="B129" s="203"/>
      <c r="C129" s="203"/>
      <c r="D129" s="203"/>
      <c r="E129" s="203" t="s">
        <v>266</v>
      </c>
      <c r="F129" s="203" t="s">
        <v>266</v>
      </c>
      <c r="G129" s="203" t="s">
        <v>266</v>
      </c>
      <c r="I129" s="203" t="s">
        <v>266</v>
      </c>
      <c r="J129" s="203" t="s">
        <v>266</v>
      </c>
      <c r="K129" s="203" t="s">
        <v>266</v>
      </c>
      <c r="L129" s="203" t="s">
        <v>266</v>
      </c>
      <c r="M129" s="203" t="s">
        <v>266</v>
      </c>
      <c r="N129" s="203" t="s">
        <v>266</v>
      </c>
      <c r="O129" s="203" t="s">
        <v>266</v>
      </c>
      <c r="Q129" s="203" t="s">
        <v>266</v>
      </c>
      <c r="R129" s="203" t="s">
        <v>266</v>
      </c>
      <c r="S129" s="203" t="s">
        <v>266</v>
      </c>
      <c r="T129" s="203" t="s">
        <v>266</v>
      </c>
      <c r="U129" s="203" t="s">
        <v>266</v>
      </c>
      <c r="V129" s="203" t="s">
        <v>266</v>
      </c>
      <c r="W129" s="203" t="s">
        <v>266</v>
      </c>
      <c r="Y129" s="203" t="s">
        <v>266</v>
      </c>
      <c r="Z129" s="203" t="s">
        <v>266</v>
      </c>
      <c r="AA129" s="203" t="s">
        <v>266</v>
      </c>
      <c r="AB129" s="203" t="s">
        <v>266</v>
      </c>
      <c r="AC129" s="203" t="s">
        <v>266</v>
      </c>
      <c r="AD129" s="203" t="s">
        <v>266</v>
      </c>
      <c r="AE129" s="203" t="s">
        <v>266</v>
      </c>
      <c r="AG129">
        <v>1</v>
      </c>
      <c r="AH129">
        <v>1</v>
      </c>
    </row>
    <row r="130" spans="1:34" x14ac:dyDescent="0.25">
      <c r="A130" s="203" t="s">
        <v>266</v>
      </c>
      <c r="B130" s="203"/>
      <c r="C130" s="203"/>
      <c r="D130" s="203"/>
      <c r="E130" s="203" t="s">
        <v>266</v>
      </c>
      <c r="F130" s="203" t="s">
        <v>266</v>
      </c>
      <c r="G130" s="203" t="s">
        <v>266</v>
      </c>
      <c r="I130" s="203" t="s">
        <v>266</v>
      </c>
      <c r="J130" s="203" t="s">
        <v>266</v>
      </c>
      <c r="K130" s="203" t="s">
        <v>266</v>
      </c>
      <c r="L130" s="203" t="s">
        <v>266</v>
      </c>
      <c r="M130" s="203" t="s">
        <v>266</v>
      </c>
      <c r="N130" s="203" t="s">
        <v>266</v>
      </c>
      <c r="O130" s="203" t="s">
        <v>266</v>
      </c>
      <c r="Q130" s="203" t="s">
        <v>266</v>
      </c>
      <c r="R130" s="203" t="s">
        <v>266</v>
      </c>
      <c r="S130" s="203" t="s">
        <v>266</v>
      </c>
      <c r="T130" s="203" t="s">
        <v>266</v>
      </c>
      <c r="U130" s="203" t="s">
        <v>266</v>
      </c>
      <c r="V130" s="203" t="s">
        <v>266</v>
      </c>
      <c r="W130" s="203" t="s">
        <v>266</v>
      </c>
      <c r="Y130" s="203" t="s">
        <v>266</v>
      </c>
      <c r="Z130" s="203" t="s">
        <v>266</v>
      </c>
      <c r="AA130" s="203" t="s">
        <v>266</v>
      </c>
      <c r="AB130" s="203" t="s">
        <v>266</v>
      </c>
      <c r="AC130" s="203" t="s">
        <v>266</v>
      </c>
      <c r="AD130" s="203" t="s">
        <v>266</v>
      </c>
      <c r="AE130" s="203" t="s">
        <v>266</v>
      </c>
      <c r="AG130">
        <v>1</v>
      </c>
      <c r="AH130">
        <v>1</v>
      </c>
    </row>
    <row r="131" spans="1:34" x14ac:dyDescent="0.25">
      <c r="A131" s="203" t="s">
        <v>266</v>
      </c>
      <c r="B131" s="203"/>
      <c r="C131" s="203"/>
      <c r="D131" s="203"/>
      <c r="E131" s="203" t="s">
        <v>266</v>
      </c>
      <c r="F131" s="203" t="s">
        <v>266</v>
      </c>
      <c r="G131" s="203" t="s">
        <v>266</v>
      </c>
      <c r="I131" s="203" t="s">
        <v>266</v>
      </c>
      <c r="J131" s="203" t="s">
        <v>266</v>
      </c>
      <c r="K131" s="203" t="s">
        <v>266</v>
      </c>
      <c r="L131" s="203" t="s">
        <v>266</v>
      </c>
      <c r="M131" s="203" t="s">
        <v>266</v>
      </c>
      <c r="N131" s="203" t="s">
        <v>266</v>
      </c>
      <c r="O131" s="203" t="s">
        <v>266</v>
      </c>
      <c r="Q131" s="203" t="s">
        <v>266</v>
      </c>
      <c r="R131" s="203" t="s">
        <v>266</v>
      </c>
      <c r="S131" s="203" t="s">
        <v>266</v>
      </c>
      <c r="T131" s="203" t="s">
        <v>266</v>
      </c>
      <c r="U131" s="203" t="s">
        <v>266</v>
      </c>
      <c r="V131" s="203" t="s">
        <v>266</v>
      </c>
      <c r="W131" s="203" t="s">
        <v>266</v>
      </c>
      <c r="Y131" s="203" t="s">
        <v>266</v>
      </c>
      <c r="Z131" s="203" t="s">
        <v>266</v>
      </c>
      <c r="AA131" s="203" t="s">
        <v>266</v>
      </c>
      <c r="AB131" s="203" t="s">
        <v>266</v>
      </c>
      <c r="AC131" s="203" t="s">
        <v>266</v>
      </c>
      <c r="AD131" s="203" t="s">
        <v>266</v>
      </c>
      <c r="AE131" s="203" t="s">
        <v>266</v>
      </c>
      <c r="AG131">
        <v>1</v>
      </c>
      <c r="AH131">
        <v>1</v>
      </c>
    </row>
    <row r="132" spans="1:34" x14ac:dyDescent="0.25">
      <c r="A132" s="203" t="s">
        <v>266</v>
      </c>
      <c r="B132" s="203"/>
      <c r="C132" s="203"/>
      <c r="D132" s="203"/>
      <c r="E132" s="203" t="s">
        <v>266</v>
      </c>
      <c r="F132" s="203" t="s">
        <v>266</v>
      </c>
      <c r="G132" s="203" t="s">
        <v>266</v>
      </c>
      <c r="I132" s="203" t="s">
        <v>266</v>
      </c>
      <c r="J132" s="203" t="s">
        <v>266</v>
      </c>
      <c r="K132" s="203" t="s">
        <v>266</v>
      </c>
      <c r="L132" s="203" t="s">
        <v>266</v>
      </c>
      <c r="M132" s="203" t="s">
        <v>266</v>
      </c>
      <c r="N132" s="203" t="s">
        <v>266</v>
      </c>
      <c r="O132" s="203" t="s">
        <v>266</v>
      </c>
      <c r="Q132" s="203" t="s">
        <v>266</v>
      </c>
      <c r="R132" s="203" t="s">
        <v>266</v>
      </c>
      <c r="S132" s="203" t="s">
        <v>266</v>
      </c>
      <c r="T132" s="203" t="s">
        <v>266</v>
      </c>
      <c r="U132" s="203" t="s">
        <v>266</v>
      </c>
      <c r="V132" s="203" t="s">
        <v>266</v>
      </c>
      <c r="W132" s="203" t="s">
        <v>266</v>
      </c>
      <c r="Y132" s="203" t="s">
        <v>266</v>
      </c>
      <c r="Z132" s="203" t="s">
        <v>266</v>
      </c>
      <c r="AA132" s="203" t="s">
        <v>266</v>
      </c>
      <c r="AB132" s="203" t="s">
        <v>266</v>
      </c>
      <c r="AC132" s="203" t="s">
        <v>266</v>
      </c>
      <c r="AD132" s="203" t="s">
        <v>266</v>
      </c>
      <c r="AE132" s="203" t="s">
        <v>266</v>
      </c>
      <c r="AG132">
        <v>1</v>
      </c>
      <c r="AH132">
        <v>1</v>
      </c>
    </row>
    <row r="133" spans="1:34" x14ac:dyDescent="0.25">
      <c r="A133" s="203" t="s">
        <v>266</v>
      </c>
      <c r="B133" s="203"/>
      <c r="C133" s="203"/>
      <c r="D133" s="203"/>
      <c r="E133" s="203" t="s">
        <v>266</v>
      </c>
      <c r="F133" s="203" t="s">
        <v>266</v>
      </c>
      <c r="G133" s="203" t="s">
        <v>266</v>
      </c>
      <c r="I133" s="203" t="s">
        <v>266</v>
      </c>
      <c r="J133" s="203" t="s">
        <v>266</v>
      </c>
      <c r="K133" s="203" t="s">
        <v>266</v>
      </c>
      <c r="L133" s="203" t="s">
        <v>266</v>
      </c>
      <c r="M133" s="203" t="s">
        <v>266</v>
      </c>
      <c r="N133" s="203" t="s">
        <v>266</v>
      </c>
      <c r="O133" s="203" t="s">
        <v>266</v>
      </c>
      <c r="Q133" s="203" t="s">
        <v>266</v>
      </c>
      <c r="R133" s="203" t="s">
        <v>266</v>
      </c>
      <c r="S133" s="203" t="s">
        <v>266</v>
      </c>
      <c r="T133" s="203" t="s">
        <v>266</v>
      </c>
      <c r="U133" s="203" t="s">
        <v>266</v>
      </c>
      <c r="V133" s="203" t="s">
        <v>266</v>
      </c>
      <c r="W133" s="203" t="s">
        <v>266</v>
      </c>
      <c r="Y133" s="203" t="s">
        <v>266</v>
      </c>
      <c r="Z133" s="203" t="s">
        <v>266</v>
      </c>
      <c r="AA133" s="203" t="s">
        <v>266</v>
      </c>
      <c r="AB133" s="203" t="s">
        <v>266</v>
      </c>
      <c r="AC133" s="203" t="s">
        <v>266</v>
      </c>
      <c r="AD133" s="203" t="s">
        <v>266</v>
      </c>
      <c r="AE133" s="203" t="s">
        <v>266</v>
      </c>
      <c r="AG133">
        <v>1</v>
      </c>
      <c r="AH133">
        <v>1</v>
      </c>
    </row>
    <row r="134" spans="1:34" x14ac:dyDescent="0.25">
      <c r="A134" s="203" t="s">
        <v>266</v>
      </c>
      <c r="B134" s="203"/>
      <c r="C134" s="203"/>
      <c r="D134" s="203"/>
      <c r="E134" s="203" t="s">
        <v>266</v>
      </c>
      <c r="F134" s="203" t="s">
        <v>266</v>
      </c>
      <c r="G134" s="203" t="s">
        <v>266</v>
      </c>
      <c r="I134" s="203" t="s">
        <v>266</v>
      </c>
      <c r="J134" s="203" t="s">
        <v>266</v>
      </c>
      <c r="K134" s="203" t="s">
        <v>266</v>
      </c>
      <c r="L134" s="203" t="s">
        <v>266</v>
      </c>
      <c r="M134" s="203" t="s">
        <v>266</v>
      </c>
      <c r="N134" s="203" t="s">
        <v>266</v>
      </c>
      <c r="O134" s="203" t="s">
        <v>266</v>
      </c>
      <c r="Q134" s="203" t="s">
        <v>266</v>
      </c>
      <c r="R134" s="203" t="s">
        <v>266</v>
      </c>
      <c r="S134" s="203" t="s">
        <v>266</v>
      </c>
      <c r="T134" s="203" t="s">
        <v>266</v>
      </c>
      <c r="U134" s="203" t="s">
        <v>266</v>
      </c>
      <c r="V134" s="203" t="s">
        <v>266</v>
      </c>
      <c r="W134" s="203" t="s">
        <v>266</v>
      </c>
      <c r="Y134" s="203" t="s">
        <v>266</v>
      </c>
      <c r="Z134" s="203" t="s">
        <v>266</v>
      </c>
      <c r="AA134" s="203" t="s">
        <v>266</v>
      </c>
      <c r="AB134" s="203" t="s">
        <v>266</v>
      </c>
      <c r="AC134" s="203" t="s">
        <v>266</v>
      </c>
      <c r="AD134" s="203" t="s">
        <v>266</v>
      </c>
      <c r="AE134" s="203" t="s">
        <v>266</v>
      </c>
      <c r="AG134">
        <v>1</v>
      </c>
      <c r="AH134">
        <v>1</v>
      </c>
    </row>
    <row r="135" spans="1:34" x14ac:dyDescent="0.25">
      <c r="A135" s="203" t="s">
        <v>266</v>
      </c>
      <c r="B135" s="203"/>
      <c r="C135" s="203"/>
      <c r="D135" s="203"/>
      <c r="E135" s="203" t="s">
        <v>266</v>
      </c>
      <c r="F135" s="203" t="s">
        <v>266</v>
      </c>
      <c r="G135" s="203" t="s">
        <v>266</v>
      </c>
      <c r="I135" s="203" t="s">
        <v>266</v>
      </c>
      <c r="J135" s="203" t="s">
        <v>266</v>
      </c>
      <c r="K135" s="203" t="s">
        <v>266</v>
      </c>
      <c r="L135" s="203" t="s">
        <v>266</v>
      </c>
      <c r="M135" s="203" t="s">
        <v>266</v>
      </c>
      <c r="N135" s="203" t="s">
        <v>266</v>
      </c>
      <c r="O135" s="203" t="s">
        <v>266</v>
      </c>
      <c r="Q135" s="203" t="s">
        <v>266</v>
      </c>
      <c r="R135" s="203" t="s">
        <v>266</v>
      </c>
      <c r="S135" s="203" t="s">
        <v>266</v>
      </c>
      <c r="T135" s="203" t="s">
        <v>266</v>
      </c>
      <c r="U135" s="203" t="s">
        <v>266</v>
      </c>
      <c r="V135" s="203" t="s">
        <v>266</v>
      </c>
      <c r="W135" s="203" t="s">
        <v>266</v>
      </c>
      <c r="Y135" s="203" t="s">
        <v>266</v>
      </c>
      <c r="Z135" s="203" t="s">
        <v>266</v>
      </c>
      <c r="AA135" s="203" t="s">
        <v>266</v>
      </c>
      <c r="AB135" s="203" t="s">
        <v>266</v>
      </c>
      <c r="AC135" s="203" t="s">
        <v>266</v>
      </c>
      <c r="AD135" s="203" t="s">
        <v>266</v>
      </c>
      <c r="AE135" s="203" t="s">
        <v>266</v>
      </c>
      <c r="AG135">
        <v>1</v>
      </c>
      <c r="AH135">
        <v>1</v>
      </c>
    </row>
    <row r="136" spans="1:34" x14ac:dyDescent="0.25">
      <c r="A136" s="203" t="s">
        <v>266</v>
      </c>
      <c r="B136" s="203"/>
      <c r="C136" s="203"/>
      <c r="D136" s="203"/>
      <c r="E136" s="203" t="s">
        <v>266</v>
      </c>
      <c r="F136" s="203" t="s">
        <v>266</v>
      </c>
      <c r="G136" s="203" t="s">
        <v>266</v>
      </c>
      <c r="I136" s="203" t="s">
        <v>266</v>
      </c>
      <c r="J136" s="203" t="s">
        <v>266</v>
      </c>
      <c r="K136" s="203" t="s">
        <v>266</v>
      </c>
      <c r="L136" s="203" t="s">
        <v>266</v>
      </c>
      <c r="M136" s="203" t="s">
        <v>266</v>
      </c>
      <c r="N136" s="203" t="s">
        <v>266</v>
      </c>
      <c r="O136" s="203" t="s">
        <v>266</v>
      </c>
      <c r="Q136" s="203" t="s">
        <v>266</v>
      </c>
      <c r="R136" s="203" t="s">
        <v>266</v>
      </c>
      <c r="S136" s="203" t="s">
        <v>266</v>
      </c>
      <c r="T136" s="203" t="s">
        <v>266</v>
      </c>
      <c r="U136" s="203" t="s">
        <v>266</v>
      </c>
      <c r="V136" s="203" t="s">
        <v>266</v>
      </c>
      <c r="W136" s="203" t="s">
        <v>266</v>
      </c>
      <c r="Y136" s="203" t="s">
        <v>266</v>
      </c>
      <c r="Z136" s="203" t="s">
        <v>266</v>
      </c>
      <c r="AA136" s="203" t="s">
        <v>266</v>
      </c>
      <c r="AB136" s="203" t="s">
        <v>266</v>
      </c>
      <c r="AC136" s="203" t="s">
        <v>266</v>
      </c>
      <c r="AD136" s="203" t="s">
        <v>266</v>
      </c>
      <c r="AE136" s="203" t="s">
        <v>266</v>
      </c>
      <c r="AG136">
        <v>1</v>
      </c>
      <c r="AH136">
        <v>1</v>
      </c>
    </row>
    <row r="137" spans="1:34" x14ac:dyDescent="0.25">
      <c r="A137" s="203" t="s">
        <v>266</v>
      </c>
      <c r="B137" s="203"/>
      <c r="C137" s="203"/>
      <c r="D137" s="203"/>
      <c r="E137" s="203" t="s">
        <v>266</v>
      </c>
      <c r="F137" s="203" t="s">
        <v>266</v>
      </c>
      <c r="G137" s="203" t="s">
        <v>266</v>
      </c>
      <c r="I137" s="203" t="s">
        <v>266</v>
      </c>
      <c r="J137" s="203" t="s">
        <v>266</v>
      </c>
      <c r="K137" s="203" t="s">
        <v>266</v>
      </c>
      <c r="L137" s="203" t="s">
        <v>266</v>
      </c>
      <c r="M137" s="203" t="s">
        <v>266</v>
      </c>
      <c r="N137" s="203" t="s">
        <v>266</v>
      </c>
      <c r="O137" s="203" t="s">
        <v>266</v>
      </c>
      <c r="Q137" s="203" t="s">
        <v>266</v>
      </c>
      <c r="R137" s="203" t="s">
        <v>266</v>
      </c>
      <c r="S137" s="203" t="s">
        <v>266</v>
      </c>
      <c r="T137" s="203" t="s">
        <v>266</v>
      </c>
      <c r="U137" s="203" t="s">
        <v>266</v>
      </c>
      <c r="V137" s="203" t="s">
        <v>266</v>
      </c>
      <c r="W137" s="203" t="s">
        <v>266</v>
      </c>
      <c r="Y137" s="203" t="s">
        <v>266</v>
      </c>
      <c r="Z137" s="203" t="s">
        <v>266</v>
      </c>
      <c r="AA137" s="203" t="s">
        <v>266</v>
      </c>
      <c r="AB137" s="203" t="s">
        <v>266</v>
      </c>
      <c r="AC137" s="203" t="s">
        <v>266</v>
      </c>
      <c r="AD137" s="203" t="s">
        <v>266</v>
      </c>
      <c r="AE137" s="203" t="s">
        <v>266</v>
      </c>
      <c r="AG137">
        <v>1</v>
      </c>
      <c r="AH137">
        <v>1</v>
      </c>
    </row>
    <row r="138" spans="1:34" x14ac:dyDescent="0.25">
      <c r="A138" s="203" t="s">
        <v>266</v>
      </c>
      <c r="B138" s="203"/>
      <c r="C138" s="203"/>
      <c r="D138" s="203"/>
      <c r="E138" s="203" t="s">
        <v>266</v>
      </c>
      <c r="F138" s="203" t="s">
        <v>266</v>
      </c>
      <c r="G138" s="203" t="s">
        <v>266</v>
      </c>
      <c r="I138" s="203" t="s">
        <v>266</v>
      </c>
      <c r="J138" s="203" t="s">
        <v>266</v>
      </c>
      <c r="K138" s="203" t="s">
        <v>266</v>
      </c>
      <c r="L138" s="203" t="s">
        <v>266</v>
      </c>
      <c r="M138" s="203" t="s">
        <v>266</v>
      </c>
      <c r="N138" s="203" t="s">
        <v>266</v>
      </c>
      <c r="O138" s="203" t="s">
        <v>266</v>
      </c>
      <c r="Q138" s="203" t="s">
        <v>266</v>
      </c>
      <c r="R138" s="203" t="s">
        <v>266</v>
      </c>
      <c r="S138" s="203" t="s">
        <v>266</v>
      </c>
      <c r="T138" s="203" t="s">
        <v>266</v>
      </c>
      <c r="U138" s="203" t="s">
        <v>266</v>
      </c>
      <c r="V138" s="203" t="s">
        <v>266</v>
      </c>
      <c r="W138" s="203" t="s">
        <v>266</v>
      </c>
      <c r="Y138" s="203" t="s">
        <v>266</v>
      </c>
      <c r="Z138" s="203" t="s">
        <v>266</v>
      </c>
      <c r="AA138" s="203" t="s">
        <v>266</v>
      </c>
      <c r="AB138" s="203" t="s">
        <v>266</v>
      </c>
      <c r="AC138" s="203" t="s">
        <v>266</v>
      </c>
      <c r="AD138" s="203" t="s">
        <v>266</v>
      </c>
      <c r="AE138" s="203" t="s">
        <v>266</v>
      </c>
      <c r="AG138">
        <v>1</v>
      </c>
      <c r="AH138">
        <v>1</v>
      </c>
    </row>
    <row r="139" spans="1:34" x14ac:dyDescent="0.25">
      <c r="A139" s="203" t="s">
        <v>266</v>
      </c>
      <c r="B139" s="203"/>
      <c r="C139" s="203"/>
      <c r="D139" s="203"/>
      <c r="E139" s="203" t="s">
        <v>266</v>
      </c>
      <c r="F139" s="203" t="s">
        <v>266</v>
      </c>
      <c r="G139" s="203" t="s">
        <v>266</v>
      </c>
      <c r="I139" s="203" t="s">
        <v>266</v>
      </c>
      <c r="J139" s="203" t="s">
        <v>266</v>
      </c>
      <c r="K139" s="203" t="s">
        <v>266</v>
      </c>
      <c r="L139" s="203" t="s">
        <v>266</v>
      </c>
      <c r="M139" s="203" t="s">
        <v>266</v>
      </c>
      <c r="N139" s="203" t="s">
        <v>266</v>
      </c>
      <c r="O139" s="203" t="s">
        <v>266</v>
      </c>
      <c r="Q139" s="203" t="s">
        <v>266</v>
      </c>
      <c r="R139" s="203" t="s">
        <v>266</v>
      </c>
      <c r="S139" s="203" t="s">
        <v>266</v>
      </c>
      <c r="T139" s="203" t="s">
        <v>266</v>
      </c>
      <c r="U139" s="203" t="s">
        <v>266</v>
      </c>
      <c r="V139" s="203" t="s">
        <v>266</v>
      </c>
      <c r="W139" s="203" t="s">
        <v>266</v>
      </c>
      <c r="Y139" s="203" t="s">
        <v>266</v>
      </c>
      <c r="Z139" s="203" t="s">
        <v>266</v>
      </c>
      <c r="AA139" s="203" t="s">
        <v>266</v>
      </c>
      <c r="AB139" s="203" t="s">
        <v>266</v>
      </c>
      <c r="AC139" s="203" t="s">
        <v>266</v>
      </c>
      <c r="AD139" s="203" t="s">
        <v>266</v>
      </c>
      <c r="AE139" s="203" t="s">
        <v>266</v>
      </c>
      <c r="AG139">
        <v>1</v>
      </c>
      <c r="AH139">
        <v>1</v>
      </c>
    </row>
    <row r="140" spans="1:34" x14ac:dyDescent="0.25">
      <c r="A140" s="203" t="s">
        <v>266</v>
      </c>
      <c r="B140" s="203"/>
      <c r="C140" s="203"/>
      <c r="D140" s="203"/>
      <c r="E140" s="203" t="s">
        <v>266</v>
      </c>
      <c r="F140" s="203" t="s">
        <v>266</v>
      </c>
      <c r="G140" s="203" t="s">
        <v>266</v>
      </c>
      <c r="I140" s="203" t="s">
        <v>266</v>
      </c>
      <c r="J140" s="203" t="s">
        <v>266</v>
      </c>
      <c r="K140" s="203" t="s">
        <v>266</v>
      </c>
      <c r="L140" s="203" t="s">
        <v>266</v>
      </c>
      <c r="M140" s="203" t="s">
        <v>266</v>
      </c>
      <c r="N140" s="203" t="s">
        <v>266</v>
      </c>
      <c r="O140" s="203" t="s">
        <v>266</v>
      </c>
      <c r="Q140" s="203" t="s">
        <v>266</v>
      </c>
      <c r="R140" s="203" t="s">
        <v>266</v>
      </c>
      <c r="S140" s="203" t="s">
        <v>266</v>
      </c>
      <c r="T140" s="203" t="s">
        <v>266</v>
      </c>
      <c r="U140" s="203" t="s">
        <v>266</v>
      </c>
      <c r="V140" s="203" t="s">
        <v>266</v>
      </c>
      <c r="W140" s="203" t="s">
        <v>266</v>
      </c>
      <c r="Y140" s="203" t="s">
        <v>266</v>
      </c>
      <c r="Z140" s="203" t="s">
        <v>266</v>
      </c>
      <c r="AA140" s="203" t="s">
        <v>266</v>
      </c>
      <c r="AB140" s="203" t="s">
        <v>266</v>
      </c>
      <c r="AC140" s="203" t="s">
        <v>266</v>
      </c>
      <c r="AD140" s="203" t="s">
        <v>266</v>
      </c>
      <c r="AE140" s="203" t="s">
        <v>266</v>
      </c>
      <c r="AG140">
        <v>1</v>
      </c>
      <c r="AH140">
        <v>1</v>
      </c>
    </row>
    <row r="141" spans="1:34" x14ac:dyDescent="0.25">
      <c r="A141" s="203" t="s">
        <v>266</v>
      </c>
      <c r="B141" s="203"/>
      <c r="C141" s="203"/>
      <c r="D141" s="203"/>
      <c r="E141" s="203" t="s">
        <v>266</v>
      </c>
      <c r="F141" s="203" t="s">
        <v>266</v>
      </c>
      <c r="G141" s="203" t="s">
        <v>266</v>
      </c>
      <c r="I141" s="203" t="s">
        <v>266</v>
      </c>
      <c r="J141" s="203" t="s">
        <v>266</v>
      </c>
      <c r="K141" s="203" t="s">
        <v>266</v>
      </c>
      <c r="L141" s="203" t="s">
        <v>266</v>
      </c>
      <c r="M141" s="203" t="s">
        <v>266</v>
      </c>
      <c r="N141" s="203" t="s">
        <v>266</v>
      </c>
      <c r="O141" s="203" t="s">
        <v>266</v>
      </c>
      <c r="Q141" s="203" t="s">
        <v>266</v>
      </c>
      <c r="R141" s="203" t="s">
        <v>266</v>
      </c>
      <c r="S141" s="203" t="s">
        <v>266</v>
      </c>
      <c r="T141" s="203" t="s">
        <v>266</v>
      </c>
      <c r="U141" s="203" t="s">
        <v>266</v>
      </c>
      <c r="V141" s="203" t="s">
        <v>266</v>
      </c>
      <c r="W141" s="203" t="s">
        <v>266</v>
      </c>
      <c r="Y141" s="203" t="s">
        <v>266</v>
      </c>
      <c r="Z141" s="203" t="s">
        <v>266</v>
      </c>
      <c r="AA141" s="203" t="s">
        <v>266</v>
      </c>
      <c r="AB141" s="203" t="s">
        <v>266</v>
      </c>
      <c r="AC141" s="203" t="s">
        <v>266</v>
      </c>
      <c r="AD141" s="203" t="s">
        <v>266</v>
      </c>
      <c r="AE141" s="203" t="s">
        <v>266</v>
      </c>
      <c r="AG141">
        <v>1</v>
      </c>
      <c r="AH141">
        <v>1</v>
      </c>
    </row>
    <row r="142" spans="1:34" x14ac:dyDescent="0.25">
      <c r="A142" s="203" t="s">
        <v>266</v>
      </c>
      <c r="B142" s="203"/>
      <c r="C142" s="203"/>
      <c r="D142" s="203"/>
      <c r="E142" s="203" t="s">
        <v>266</v>
      </c>
      <c r="F142" s="203" t="s">
        <v>266</v>
      </c>
      <c r="G142" s="203" t="s">
        <v>266</v>
      </c>
      <c r="I142" s="203" t="s">
        <v>266</v>
      </c>
      <c r="J142" s="203" t="s">
        <v>266</v>
      </c>
      <c r="K142" s="203" t="s">
        <v>266</v>
      </c>
      <c r="L142" s="203" t="s">
        <v>266</v>
      </c>
      <c r="M142" s="203" t="s">
        <v>266</v>
      </c>
      <c r="N142" s="203" t="s">
        <v>266</v>
      </c>
      <c r="O142" s="203" t="s">
        <v>266</v>
      </c>
      <c r="Q142" s="203" t="s">
        <v>266</v>
      </c>
      <c r="R142" s="203" t="s">
        <v>266</v>
      </c>
      <c r="S142" s="203" t="s">
        <v>266</v>
      </c>
      <c r="T142" s="203" t="s">
        <v>266</v>
      </c>
      <c r="U142" s="203" t="s">
        <v>266</v>
      </c>
      <c r="V142" s="203" t="s">
        <v>266</v>
      </c>
      <c r="W142" s="203" t="s">
        <v>266</v>
      </c>
      <c r="Y142" s="203" t="s">
        <v>266</v>
      </c>
      <c r="Z142" s="203" t="s">
        <v>266</v>
      </c>
      <c r="AA142" s="203" t="s">
        <v>266</v>
      </c>
      <c r="AB142" s="203" t="s">
        <v>266</v>
      </c>
      <c r="AC142" s="203" t="s">
        <v>266</v>
      </c>
      <c r="AD142" s="203" t="s">
        <v>266</v>
      </c>
      <c r="AE142" s="203" t="s">
        <v>266</v>
      </c>
      <c r="AG142">
        <v>1</v>
      </c>
      <c r="AH142">
        <v>1</v>
      </c>
    </row>
    <row r="143" spans="1:34" x14ac:dyDescent="0.25">
      <c r="A143" s="203" t="s">
        <v>266</v>
      </c>
      <c r="B143" s="203"/>
      <c r="C143" s="203"/>
      <c r="D143" s="203"/>
      <c r="E143" s="203" t="s">
        <v>266</v>
      </c>
      <c r="F143" s="203" t="s">
        <v>266</v>
      </c>
      <c r="G143" s="203" t="s">
        <v>266</v>
      </c>
      <c r="I143" s="203" t="s">
        <v>266</v>
      </c>
      <c r="J143" s="203" t="s">
        <v>266</v>
      </c>
      <c r="K143" s="203" t="s">
        <v>266</v>
      </c>
      <c r="L143" s="203" t="s">
        <v>266</v>
      </c>
      <c r="M143" s="203" t="s">
        <v>266</v>
      </c>
      <c r="N143" s="203" t="s">
        <v>266</v>
      </c>
      <c r="O143" s="203" t="s">
        <v>266</v>
      </c>
      <c r="Q143" s="203" t="s">
        <v>266</v>
      </c>
      <c r="R143" s="203" t="s">
        <v>266</v>
      </c>
      <c r="S143" s="203" t="s">
        <v>266</v>
      </c>
      <c r="T143" s="203" t="s">
        <v>266</v>
      </c>
      <c r="U143" s="203" t="s">
        <v>266</v>
      </c>
      <c r="V143" s="203" t="s">
        <v>266</v>
      </c>
      <c r="W143" s="203" t="s">
        <v>266</v>
      </c>
      <c r="Y143" s="203" t="s">
        <v>266</v>
      </c>
      <c r="Z143" s="203" t="s">
        <v>266</v>
      </c>
      <c r="AA143" s="203" t="s">
        <v>266</v>
      </c>
      <c r="AB143" s="203" t="s">
        <v>266</v>
      </c>
      <c r="AC143" s="203" t="s">
        <v>266</v>
      </c>
      <c r="AD143" s="203" t="s">
        <v>266</v>
      </c>
      <c r="AE143" s="203" t="s">
        <v>266</v>
      </c>
      <c r="AG143">
        <v>1</v>
      </c>
      <c r="AH143">
        <v>1</v>
      </c>
    </row>
    <row r="144" spans="1:34" x14ac:dyDescent="0.25">
      <c r="A144" s="203" t="s">
        <v>266</v>
      </c>
      <c r="B144" s="203"/>
      <c r="C144" s="203"/>
      <c r="D144" s="203"/>
      <c r="E144" s="203" t="s">
        <v>266</v>
      </c>
      <c r="F144" s="203" t="s">
        <v>266</v>
      </c>
      <c r="G144" s="203" t="s">
        <v>266</v>
      </c>
      <c r="I144" s="203" t="s">
        <v>266</v>
      </c>
      <c r="J144" s="203" t="s">
        <v>266</v>
      </c>
      <c r="K144" s="203" t="s">
        <v>266</v>
      </c>
      <c r="L144" s="203" t="s">
        <v>266</v>
      </c>
      <c r="M144" s="203" t="s">
        <v>266</v>
      </c>
      <c r="N144" s="203" t="s">
        <v>266</v>
      </c>
      <c r="O144" s="203" t="s">
        <v>266</v>
      </c>
      <c r="Q144" s="203" t="s">
        <v>266</v>
      </c>
      <c r="R144" s="203" t="s">
        <v>266</v>
      </c>
      <c r="S144" s="203" t="s">
        <v>266</v>
      </c>
      <c r="T144" s="203" t="s">
        <v>266</v>
      </c>
      <c r="U144" s="203" t="s">
        <v>266</v>
      </c>
      <c r="V144" s="203" t="s">
        <v>266</v>
      </c>
      <c r="W144" s="203" t="s">
        <v>266</v>
      </c>
      <c r="Y144" s="203" t="s">
        <v>266</v>
      </c>
      <c r="Z144" s="203" t="s">
        <v>266</v>
      </c>
      <c r="AA144" s="203" t="s">
        <v>266</v>
      </c>
      <c r="AB144" s="203" t="s">
        <v>266</v>
      </c>
      <c r="AC144" s="203" t="s">
        <v>266</v>
      </c>
      <c r="AD144" s="203" t="s">
        <v>266</v>
      </c>
      <c r="AE144" s="203" t="s">
        <v>266</v>
      </c>
      <c r="AG144">
        <v>1</v>
      </c>
      <c r="AH144">
        <v>1</v>
      </c>
    </row>
    <row r="145" spans="1:34" x14ac:dyDescent="0.25">
      <c r="A145" s="203" t="s">
        <v>266</v>
      </c>
      <c r="B145" s="203"/>
      <c r="C145" s="203"/>
      <c r="D145" s="203"/>
      <c r="E145" s="203" t="s">
        <v>266</v>
      </c>
      <c r="F145" s="203" t="s">
        <v>266</v>
      </c>
      <c r="G145" s="203" t="s">
        <v>266</v>
      </c>
      <c r="I145" s="203" t="s">
        <v>266</v>
      </c>
      <c r="J145" s="203" t="s">
        <v>266</v>
      </c>
      <c r="K145" s="203" t="s">
        <v>266</v>
      </c>
      <c r="L145" s="203" t="s">
        <v>266</v>
      </c>
      <c r="M145" s="203" t="s">
        <v>266</v>
      </c>
      <c r="N145" s="203" t="s">
        <v>266</v>
      </c>
      <c r="O145" s="203" t="s">
        <v>266</v>
      </c>
      <c r="Q145" s="203" t="s">
        <v>266</v>
      </c>
      <c r="R145" s="203" t="s">
        <v>266</v>
      </c>
      <c r="S145" s="203" t="s">
        <v>266</v>
      </c>
      <c r="T145" s="203" t="s">
        <v>266</v>
      </c>
      <c r="U145" s="203" t="s">
        <v>266</v>
      </c>
      <c r="V145" s="203" t="s">
        <v>266</v>
      </c>
      <c r="W145" s="203" t="s">
        <v>266</v>
      </c>
      <c r="Y145" s="203" t="s">
        <v>266</v>
      </c>
      <c r="Z145" s="203" t="s">
        <v>266</v>
      </c>
      <c r="AA145" s="203" t="s">
        <v>266</v>
      </c>
      <c r="AB145" s="203" t="s">
        <v>266</v>
      </c>
      <c r="AC145" s="203" t="s">
        <v>266</v>
      </c>
      <c r="AD145" s="203" t="s">
        <v>266</v>
      </c>
      <c r="AE145" s="203" t="s">
        <v>266</v>
      </c>
      <c r="AG145">
        <v>1</v>
      </c>
      <c r="AH145">
        <v>1</v>
      </c>
    </row>
    <row r="146" spans="1:34" x14ac:dyDescent="0.25">
      <c r="A146" s="203" t="s">
        <v>266</v>
      </c>
      <c r="B146" s="203"/>
      <c r="C146" s="203"/>
      <c r="D146" s="203"/>
      <c r="E146" s="203" t="s">
        <v>266</v>
      </c>
      <c r="F146" s="203" t="s">
        <v>266</v>
      </c>
      <c r="G146" s="203" t="s">
        <v>266</v>
      </c>
      <c r="I146" s="203" t="s">
        <v>266</v>
      </c>
      <c r="J146" s="203" t="s">
        <v>266</v>
      </c>
      <c r="K146" s="203" t="s">
        <v>266</v>
      </c>
      <c r="L146" s="203" t="s">
        <v>266</v>
      </c>
      <c r="M146" s="203" t="s">
        <v>266</v>
      </c>
      <c r="N146" s="203" t="s">
        <v>266</v>
      </c>
      <c r="O146" s="203" t="s">
        <v>266</v>
      </c>
      <c r="Q146" s="203" t="s">
        <v>266</v>
      </c>
      <c r="R146" s="203" t="s">
        <v>266</v>
      </c>
      <c r="S146" s="203" t="s">
        <v>266</v>
      </c>
      <c r="T146" s="203" t="s">
        <v>266</v>
      </c>
      <c r="U146" s="203" t="s">
        <v>266</v>
      </c>
      <c r="V146" s="203" t="s">
        <v>266</v>
      </c>
      <c r="W146" s="203" t="s">
        <v>266</v>
      </c>
      <c r="Y146" s="203" t="s">
        <v>266</v>
      </c>
      <c r="Z146" s="203" t="s">
        <v>266</v>
      </c>
      <c r="AA146" s="203" t="s">
        <v>266</v>
      </c>
      <c r="AB146" s="203" t="s">
        <v>266</v>
      </c>
      <c r="AC146" s="203" t="s">
        <v>266</v>
      </c>
      <c r="AD146" s="203" t="s">
        <v>266</v>
      </c>
      <c r="AE146" s="203" t="s">
        <v>266</v>
      </c>
      <c r="AG146">
        <v>1</v>
      </c>
      <c r="AH146">
        <v>1</v>
      </c>
    </row>
    <row r="147" spans="1:34" x14ac:dyDescent="0.25">
      <c r="A147" s="203" t="s">
        <v>266</v>
      </c>
      <c r="B147" s="203"/>
      <c r="C147" s="203"/>
      <c r="D147" s="203"/>
      <c r="E147" s="203" t="s">
        <v>266</v>
      </c>
      <c r="F147" s="203" t="s">
        <v>266</v>
      </c>
      <c r="G147" s="203" t="s">
        <v>266</v>
      </c>
      <c r="I147" s="203" t="s">
        <v>266</v>
      </c>
      <c r="J147" s="203" t="s">
        <v>266</v>
      </c>
      <c r="K147" s="203" t="s">
        <v>266</v>
      </c>
      <c r="L147" s="203" t="s">
        <v>266</v>
      </c>
      <c r="M147" s="203" t="s">
        <v>266</v>
      </c>
      <c r="N147" s="203" t="s">
        <v>266</v>
      </c>
      <c r="O147" s="203" t="s">
        <v>266</v>
      </c>
      <c r="Q147" s="203" t="s">
        <v>266</v>
      </c>
      <c r="R147" s="203" t="s">
        <v>266</v>
      </c>
      <c r="S147" s="203" t="s">
        <v>266</v>
      </c>
      <c r="T147" s="203" t="s">
        <v>266</v>
      </c>
      <c r="U147" s="203" t="s">
        <v>266</v>
      </c>
      <c r="V147" s="203" t="s">
        <v>266</v>
      </c>
      <c r="W147" s="203" t="s">
        <v>266</v>
      </c>
      <c r="Y147" s="203" t="s">
        <v>266</v>
      </c>
      <c r="Z147" s="203" t="s">
        <v>266</v>
      </c>
      <c r="AA147" s="203" t="s">
        <v>266</v>
      </c>
      <c r="AB147" s="203" t="s">
        <v>266</v>
      </c>
      <c r="AC147" s="203" t="s">
        <v>266</v>
      </c>
      <c r="AD147" s="203" t="s">
        <v>266</v>
      </c>
      <c r="AE147" s="203" t="s">
        <v>266</v>
      </c>
      <c r="AG147">
        <v>1</v>
      </c>
      <c r="AH147">
        <v>1</v>
      </c>
    </row>
    <row r="148" spans="1:34" x14ac:dyDescent="0.25">
      <c r="A148" s="203" t="s">
        <v>266</v>
      </c>
      <c r="B148" s="203"/>
      <c r="C148" s="203"/>
      <c r="D148" s="203"/>
      <c r="E148" s="203" t="s">
        <v>266</v>
      </c>
      <c r="F148" s="203" t="s">
        <v>266</v>
      </c>
      <c r="G148" s="203" t="s">
        <v>266</v>
      </c>
      <c r="I148" s="203" t="s">
        <v>266</v>
      </c>
      <c r="J148" s="203" t="s">
        <v>266</v>
      </c>
      <c r="K148" s="203" t="s">
        <v>266</v>
      </c>
      <c r="L148" s="203" t="s">
        <v>266</v>
      </c>
      <c r="M148" s="203" t="s">
        <v>266</v>
      </c>
      <c r="N148" s="203" t="s">
        <v>266</v>
      </c>
      <c r="O148" s="203" t="s">
        <v>266</v>
      </c>
      <c r="Q148" s="203" t="s">
        <v>266</v>
      </c>
      <c r="R148" s="203" t="s">
        <v>266</v>
      </c>
      <c r="S148" s="203" t="s">
        <v>266</v>
      </c>
      <c r="T148" s="203" t="s">
        <v>266</v>
      </c>
      <c r="U148" s="203" t="s">
        <v>266</v>
      </c>
      <c r="V148" s="203" t="s">
        <v>266</v>
      </c>
      <c r="W148" s="203" t="s">
        <v>266</v>
      </c>
      <c r="Y148" s="203" t="s">
        <v>266</v>
      </c>
      <c r="Z148" s="203" t="s">
        <v>266</v>
      </c>
      <c r="AA148" s="203" t="s">
        <v>266</v>
      </c>
      <c r="AB148" s="203" t="s">
        <v>266</v>
      </c>
      <c r="AC148" s="203" t="s">
        <v>266</v>
      </c>
      <c r="AD148" s="203" t="s">
        <v>266</v>
      </c>
      <c r="AE148" s="203" t="s">
        <v>266</v>
      </c>
      <c r="AG148">
        <v>1</v>
      </c>
      <c r="AH148">
        <v>1</v>
      </c>
    </row>
    <row r="149" spans="1:34" x14ac:dyDescent="0.25">
      <c r="A149" s="203" t="s">
        <v>266</v>
      </c>
      <c r="B149" s="203"/>
      <c r="C149" s="203"/>
      <c r="D149" s="203"/>
      <c r="E149" s="203" t="s">
        <v>266</v>
      </c>
      <c r="F149" s="203" t="s">
        <v>266</v>
      </c>
      <c r="G149" s="203" t="s">
        <v>266</v>
      </c>
      <c r="I149" s="203" t="s">
        <v>266</v>
      </c>
      <c r="J149" s="203" t="s">
        <v>266</v>
      </c>
      <c r="K149" s="203" t="s">
        <v>266</v>
      </c>
      <c r="L149" s="203" t="s">
        <v>266</v>
      </c>
      <c r="M149" s="203" t="s">
        <v>266</v>
      </c>
      <c r="N149" s="203" t="s">
        <v>266</v>
      </c>
      <c r="O149" s="203" t="s">
        <v>266</v>
      </c>
      <c r="Q149" s="203" t="s">
        <v>266</v>
      </c>
      <c r="R149" s="203" t="s">
        <v>266</v>
      </c>
      <c r="S149" s="203" t="s">
        <v>266</v>
      </c>
      <c r="T149" s="203" t="s">
        <v>266</v>
      </c>
      <c r="U149" s="203" t="s">
        <v>266</v>
      </c>
      <c r="V149" s="203" t="s">
        <v>266</v>
      </c>
      <c r="W149" s="203" t="s">
        <v>266</v>
      </c>
      <c r="Y149" s="203" t="s">
        <v>266</v>
      </c>
      <c r="Z149" s="203" t="s">
        <v>266</v>
      </c>
      <c r="AA149" s="203" t="s">
        <v>266</v>
      </c>
      <c r="AB149" s="203" t="s">
        <v>266</v>
      </c>
      <c r="AC149" s="203" t="s">
        <v>266</v>
      </c>
      <c r="AD149" s="203" t="s">
        <v>266</v>
      </c>
      <c r="AE149" s="203" t="s">
        <v>266</v>
      </c>
      <c r="AG149">
        <v>1</v>
      </c>
      <c r="AH149">
        <v>1</v>
      </c>
    </row>
    <row r="150" spans="1:34" x14ac:dyDescent="0.25">
      <c r="A150" s="203" t="s">
        <v>266</v>
      </c>
      <c r="B150" s="203"/>
      <c r="C150" s="203"/>
      <c r="D150" s="203"/>
      <c r="E150" s="203" t="s">
        <v>266</v>
      </c>
      <c r="F150" s="203" t="s">
        <v>266</v>
      </c>
      <c r="G150" s="203" t="s">
        <v>266</v>
      </c>
      <c r="I150" s="203" t="s">
        <v>266</v>
      </c>
      <c r="J150" s="203" t="s">
        <v>266</v>
      </c>
      <c r="K150" s="203" t="s">
        <v>266</v>
      </c>
      <c r="L150" s="203" t="s">
        <v>266</v>
      </c>
      <c r="M150" s="203" t="s">
        <v>266</v>
      </c>
      <c r="N150" s="203" t="s">
        <v>266</v>
      </c>
      <c r="O150" s="203" t="s">
        <v>266</v>
      </c>
      <c r="Q150" s="203" t="s">
        <v>266</v>
      </c>
      <c r="R150" s="203" t="s">
        <v>266</v>
      </c>
      <c r="S150" s="203" t="s">
        <v>266</v>
      </c>
      <c r="T150" s="203" t="s">
        <v>266</v>
      </c>
      <c r="U150" s="203" t="s">
        <v>266</v>
      </c>
      <c r="V150" s="203" t="s">
        <v>266</v>
      </c>
      <c r="W150" s="203" t="s">
        <v>266</v>
      </c>
      <c r="Y150" s="203" t="s">
        <v>266</v>
      </c>
      <c r="Z150" s="203" t="s">
        <v>266</v>
      </c>
      <c r="AA150" s="203" t="s">
        <v>266</v>
      </c>
      <c r="AB150" s="203" t="s">
        <v>266</v>
      </c>
      <c r="AC150" s="203" t="s">
        <v>266</v>
      </c>
      <c r="AD150" s="203" t="s">
        <v>266</v>
      </c>
      <c r="AE150" s="203" t="s">
        <v>266</v>
      </c>
      <c r="AG150">
        <v>1</v>
      </c>
      <c r="AH150">
        <v>1</v>
      </c>
    </row>
    <row r="151" spans="1:34" x14ac:dyDescent="0.25">
      <c r="A151" s="203" t="s">
        <v>266</v>
      </c>
      <c r="B151" s="203"/>
      <c r="C151" s="203"/>
      <c r="D151" s="203"/>
      <c r="E151" s="203" t="s">
        <v>266</v>
      </c>
      <c r="F151" s="203" t="s">
        <v>266</v>
      </c>
      <c r="G151" s="203" t="s">
        <v>266</v>
      </c>
      <c r="I151" s="203" t="s">
        <v>266</v>
      </c>
      <c r="J151" s="203" t="s">
        <v>266</v>
      </c>
      <c r="K151" s="203" t="s">
        <v>266</v>
      </c>
      <c r="L151" s="203" t="s">
        <v>266</v>
      </c>
      <c r="M151" s="203" t="s">
        <v>266</v>
      </c>
      <c r="N151" s="203" t="s">
        <v>266</v>
      </c>
      <c r="O151" s="203" t="s">
        <v>266</v>
      </c>
      <c r="Q151" s="203" t="s">
        <v>266</v>
      </c>
      <c r="R151" s="203" t="s">
        <v>266</v>
      </c>
      <c r="S151" s="203" t="s">
        <v>266</v>
      </c>
      <c r="T151" s="203" t="s">
        <v>266</v>
      </c>
      <c r="U151" s="203" t="s">
        <v>266</v>
      </c>
      <c r="V151" s="203" t="s">
        <v>266</v>
      </c>
      <c r="W151" s="203" t="s">
        <v>266</v>
      </c>
      <c r="Y151" s="203" t="s">
        <v>266</v>
      </c>
      <c r="Z151" s="203" t="s">
        <v>266</v>
      </c>
      <c r="AA151" s="203" t="s">
        <v>266</v>
      </c>
      <c r="AB151" s="203" t="s">
        <v>266</v>
      </c>
      <c r="AC151" s="203" t="s">
        <v>266</v>
      </c>
      <c r="AD151" s="203" t="s">
        <v>266</v>
      </c>
      <c r="AE151" s="203" t="s">
        <v>266</v>
      </c>
      <c r="AG151">
        <v>1</v>
      </c>
      <c r="AH151">
        <v>1</v>
      </c>
    </row>
    <row r="152" spans="1:34" x14ac:dyDescent="0.25">
      <c r="A152" s="203" t="s">
        <v>266</v>
      </c>
      <c r="B152" s="203"/>
      <c r="C152" s="203"/>
      <c r="D152" s="203"/>
      <c r="E152" s="203" t="s">
        <v>266</v>
      </c>
      <c r="F152" s="203" t="s">
        <v>266</v>
      </c>
      <c r="G152" s="203" t="s">
        <v>266</v>
      </c>
      <c r="I152" s="203" t="s">
        <v>266</v>
      </c>
      <c r="J152" s="203" t="s">
        <v>266</v>
      </c>
      <c r="K152" s="203" t="s">
        <v>266</v>
      </c>
      <c r="L152" s="203" t="s">
        <v>266</v>
      </c>
      <c r="M152" s="203" t="s">
        <v>266</v>
      </c>
      <c r="N152" s="203" t="s">
        <v>266</v>
      </c>
      <c r="O152" s="203" t="s">
        <v>266</v>
      </c>
      <c r="Q152" s="203" t="s">
        <v>266</v>
      </c>
      <c r="R152" s="203" t="s">
        <v>266</v>
      </c>
      <c r="S152" s="203" t="s">
        <v>266</v>
      </c>
      <c r="T152" s="203" t="s">
        <v>266</v>
      </c>
      <c r="U152" s="203" t="s">
        <v>266</v>
      </c>
      <c r="V152" s="203" t="s">
        <v>266</v>
      </c>
      <c r="W152" s="203" t="s">
        <v>266</v>
      </c>
      <c r="Y152" s="203" t="s">
        <v>266</v>
      </c>
      <c r="Z152" s="203" t="s">
        <v>266</v>
      </c>
      <c r="AA152" s="203" t="s">
        <v>266</v>
      </c>
      <c r="AB152" s="203" t="s">
        <v>266</v>
      </c>
      <c r="AC152" s="203" t="s">
        <v>266</v>
      </c>
      <c r="AD152" s="203" t="s">
        <v>266</v>
      </c>
      <c r="AE152" s="203" t="s">
        <v>266</v>
      </c>
      <c r="AG152">
        <v>1</v>
      </c>
      <c r="AH152">
        <v>1</v>
      </c>
    </row>
    <row r="153" spans="1:34" x14ac:dyDescent="0.25">
      <c r="A153" s="203" t="s">
        <v>266</v>
      </c>
      <c r="B153" s="203"/>
      <c r="C153" s="203"/>
      <c r="D153" s="203"/>
      <c r="E153" s="203" t="s">
        <v>266</v>
      </c>
      <c r="F153" s="203" t="s">
        <v>266</v>
      </c>
      <c r="G153" s="203" t="s">
        <v>266</v>
      </c>
      <c r="I153" s="203" t="s">
        <v>266</v>
      </c>
      <c r="J153" s="203" t="s">
        <v>266</v>
      </c>
      <c r="K153" s="203" t="s">
        <v>266</v>
      </c>
      <c r="L153" s="203" t="s">
        <v>266</v>
      </c>
      <c r="M153" s="203" t="s">
        <v>266</v>
      </c>
      <c r="N153" s="203" t="s">
        <v>266</v>
      </c>
      <c r="O153" s="203" t="s">
        <v>266</v>
      </c>
      <c r="Q153" s="203" t="s">
        <v>266</v>
      </c>
      <c r="R153" s="203" t="s">
        <v>266</v>
      </c>
      <c r="S153" s="203" t="s">
        <v>266</v>
      </c>
      <c r="T153" s="203" t="s">
        <v>266</v>
      </c>
      <c r="U153" s="203" t="s">
        <v>266</v>
      </c>
      <c r="V153" s="203" t="s">
        <v>266</v>
      </c>
      <c r="W153" s="203" t="s">
        <v>266</v>
      </c>
      <c r="Y153" s="203" t="s">
        <v>266</v>
      </c>
      <c r="Z153" s="203" t="s">
        <v>266</v>
      </c>
      <c r="AA153" s="203" t="s">
        <v>266</v>
      </c>
      <c r="AB153" s="203" t="s">
        <v>266</v>
      </c>
      <c r="AC153" s="203" t="s">
        <v>266</v>
      </c>
      <c r="AD153" s="203" t="s">
        <v>266</v>
      </c>
      <c r="AE153" s="203" t="s">
        <v>266</v>
      </c>
      <c r="AG153">
        <v>1</v>
      </c>
      <c r="AH153">
        <v>1</v>
      </c>
    </row>
    <row r="154" spans="1:34" x14ac:dyDescent="0.25">
      <c r="A154" s="203" t="s">
        <v>266</v>
      </c>
      <c r="B154" s="203"/>
      <c r="C154" s="203"/>
      <c r="D154" s="203"/>
      <c r="E154" s="203" t="s">
        <v>266</v>
      </c>
      <c r="F154" s="203" t="s">
        <v>266</v>
      </c>
      <c r="G154" s="203" t="s">
        <v>266</v>
      </c>
      <c r="I154" s="203" t="s">
        <v>266</v>
      </c>
      <c r="J154" s="203" t="s">
        <v>266</v>
      </c>
      <c r="K154" s="203" t="s">
        <v>266</v>
      </c>
      <c r="L154" s="203" t="s">
        <v>266</v>
      </c>
      <c r="M154" s="203" t="s">
        <v>266</v>
      </c>
      <c r="N154" s="203" t="s">
        <v>266</v>
      </c>
      <c r="O154" s="203" t="s">
        <v>266</v>
      </c>
      <c r="Q154" s="203" t="s">
        <v>266</v>
      </c>
      <c r="R154" s="203" t="s">
        <v>266</v>
      </c>
      <c r="S154" s="203" t="s">
        <v>266</v>
      </c>
      <c r="T154" s="203" t="s">
        <v>266</v>
      </c>
      <c r="U154" s="203" t="s">
        <v>266</v>
      </c>
      <c r="V154" s="203" t="s">
        <v>266</v>
      </c>
      <c r="W154" s="203" t="s">
        <v>266</v>
      </c>
      <c r="Y154" s="203" t="s">
        <v>266</v>
      </c>
      <c r="Z154" s="203" t="s">
        <v>266</v>
      </c>
      <c r="AA154" s="203" t="s">
        <v>266</v>
      </c>
      <c r="AB154" s="203" t="s">
        <v>266</v>
      </c>
      <c r="AC154" s="203" t="s">
        <v>266</v>
      </c>
      <c r="AD154" s="203" t="s">
        <v>266</v>
      </c>
      <c r="AE154" s="203" t="s">
        <v>266</v>
      </c>
      <c r="AG154">
        <v>1</v>
      </c>
      <c r="AH154">
        <v>1</v>
      </c>
    </row>
    <row r="155" spans="1:34" x14ac:dyDescent="0.25">
      <c r="A155" s="203" t="s">
        <v>266</v>
      </c>
      <c r="B155" s="203"/>
      <c r="C155" s="203"/>
      <c r="D155" s="203"/>
      <c r="E155" s="203" t="s">
        <v>266</v>
      </c>
      <c r="F155" s="203" t="s">
        <v>266</v>
      </c>
      <c r="G155" s="203" t="s">
        <v>266</v>
      </c>
      <c r="I155" s="203" t="s">
        <v>266</v>
      </c>
      <c r="J155" s="203" t="s">
        <v>266</v>
      </c>
      <c r="K155" s="203" t="s">
        <v>266</v>
      </c>
      <c r="L155" s="203" t="s">
        <v>266</v>
      </c>
      <c r="M155" s="203" t="s">
        <v>266</v>
      </c>
      <c r="N155" s="203" t="s">
        <v>266</v>
      </c>
      <c r="O155" s="203" t="s">
        <v>266</v>
      </c>
      <c r="Q155" s="203" t="s">
        <v>266</v>
      </c>
      <c r="R155" s="203" t="s">
        <v>266</v>
      </c>
      <c r="S155" s="203" t="s">
        <v>266</v>
      </c>
      <c r="T155" s="203" t="s">
        <v>266</v>
      </c>
      <c r="U155" s="203" t="s">
        <v>266</v>
      </c>
      <c r="V155" s="203" t="s">
        <v>266</v>
      </c>
      <c r="W155" s="203" t="s">
        <v>266</v>
      </c>
      <c r="Y155" s="203" t="s">
        <v>266</v>
      </c>
      <c r="Z155" s="203" t="s">
        <v>266</v>
      </c>
      <c r="AA155" s="203" t="s">
        <v>266</v>
      </c>
      <c r="AB155" s="203" t="s">
        <v>266</v>
      </c>
      <c r="AC155" s="203" t="s">
        <v>266</v>
      </c>
      <c r="AD155" s="203" t="s">
        <v>266</v>
      </c>
      <c r="AE155" s="203" t="s">
        <v>266</v>
      </c>
      <c r="AG155">
        <v>1</v>
      </c>
      <c r="AH155">
        <v>1</v>
      </c>
    </row>
    <row r="156" spans="1:34" x14ac:dyDescent="0.25">
      <c r="A156" s="203" t="s">
        <v>266</v>
      </c>
      <c r="B156" s="203"/>
      <c r="C156" s="203"/>
      <c r="D156" s="203"/>
      <c r="E156" s="203" t="s">
        <v>266</v>
      </c>
      <c r="F156" s="203" t="s">
        <v>266</v>
      </c>
      <c r="G156" s="203" t="s">
        <v>266</v>
      </c>
      <c r="I156" s="203" t="s">
        <v>266</v>
      </c>
      <c r="J156" s="203" t="s">
        <v>266</v>
      </c>
      <c r="K156" s="203" t="s">
        <v>266</v>
      </c>
      <c r="L156" s="203" t="s">
        <v>266</v>
      </c>
      <c r="M156" s="203" t="s">
        <v>266</v>
      </c>
      <c r="N156" s="203" t="s">
        <v>266</v>
      </c>
      <c r="O156" s="203" t="s">
        <v>266</v>
      </c>
      <c r="Q156" s="203" t="s">
        <v>266</v>
      </c>
      <c r="R156" s="203" t="s">
        <v>266</v>
      </c>
      <c r="S156" s="203" t="s">
        <v>266</v>
      </c>
      <c r="T156" s="203" t="s">
        <v>266</v>
      </c>
      <c r="U156" s="203" t="s">
        <v>266</v>
      </c>
      <c r="V156" s="203" t="s">
        <v>266</v>
      </c>
      <c r="W156" s="203" t="s">
        <v>266</v>
      </c>
      <c r="Y156" s="203" t="s">
        <v>266</v>
      </c>
      <c r="Z156" s="203" t="s">
        <v>266</v>
      </c>
      <c r="AA156" s="203" t="s">
        <v>266</v>
      </c>
      <c r="AB156" s="203" t="s">
        <v>266</v>
      </c>
      <c r="AC156" s="203" t="s">
        <v>266</v>
      </c>
      <c r="AD156" s="203" t="s">
        <v>266</v>
      </c>
      <c r="AE156" s="203" t="s">
        <v>266</v>
      </c>
      <c r="AG156">
        <v>1</v>
      </c>
      <c r="AH156">
        <v>1</v>
      </c>
    </row>
    <row r="157" spans="1:34" x14ac:dyDescent="0.25">
      <c r="A157" s="203" t="s">
        <v>266</v>
      </c>
      <c r="B157" s="203"/>
      <c r="C157" s="203"/>
      <c r="D157" s="203"/>
      <c r="E157" s="203" t="s">
        <v>266</v>
      </c>
      <c r="F157" s="203" t="s">
        <v>266</v>
      </c>
      <c r="G157" s="203" t="s">
        <v>266</v>
      </c>
      <c r="I157" s="203" t="s">
        <v>266</v>
      </c>
      <c r="J157" s="203" t="s">
        <v>266</v>
      </c>
      <c r="K157" s="203" t="s">
        <v>266</v>
      </c>
      <c r="L157" s="203" t="s">
        <v>266</v>
      </c>
      <c r="M157" s="203" t="s">
        <v>266</v>
      </c>
      <c r="N157" s="203" t="s">
        <v>266</v>
      </c>
      <c r="O157" s="203" t="s">
        <v>266</v>
      </c>
      <c r="Q157" s="203" t="s">
        <v>266</v>
      </c>
      <c r="R157" s="203" t="s">
        <v>266</v>
      </c>
      <c r="S157" s="203" t="s">
        <v>266</v>
      </c>
      <c r="T157" s="203" t="s">
        <v>266</v>
      </c>
      <c r="U157" s="203" t="s">
        <v>266</v>
      </c>
      <c r="V157" s="203" t="s">
        <v>266</v>
      </c>
      <c r="W157" s="203" t="s">
        <v>266</v>
      </c>
      <c r="Y157" s="203" t="s">
        <v>266</v>
      </c>
      <c r="Z157" s="203" t="s">
        <v>266</v>
      </c>
      <c r="AA157" s="203" t="s">
        <v>266</v>
      </c>
      <c r="AB157" s="203" t="s">
        <v>266</v>
      </c>
      <c r="AC157" s="203" t="s">
        <v>266</v>
      </c>
      <c r="AD157" s="203" t="s">
        <v>266</v>
      </c>
      <c r="AE157" s="203" t="s">
        <v>266</v>
      </c>
      <c r="AG157">
        <v>1</v>
      </c>
      <c r="AH157">
        <v>1</v>
      </c>
    </row>
    <row r="158" spans="1:34" x14ac:dyDescent="0.25">
      <c r="A158" s="203" t="s">
        <v>266</v>
      </c>
      <c r="B158" s="203"/>
      <c r="C158" s="203"/>
      <c r="D158" s="203"/>
      <c r="E158" s="203" t="s">
        <v>266</v>
      </c>
      <c r="F158" s="203" t="s">
        <v>266</v>
      </c>
      <c r="G158" s="203" t="s">
        <v>266</v>
      </c>
      <c r="I158" s="203" t="s">
        <v>266</v>
      </c>
      <c r="J158" s="203" t="s">
        <v>266</v>
      </c>
      <c r="K158" s="203" t="s">
        <v>266</v>
      </c>
      <c r="L158" s="203" t="s">
        <v>266</v>
      </c>
      <c r="M158" s="203" t="s">
        <v>266</v>
      </c>
      <c r="N158" s="203" t="s">
        <v>266</v>
      </c>
      <c r="O158" s="203" t="s">
        <v>266</v>
      </c>
      <c r="Q158" s="203" t="s">
        <v>266</v>
      </c>
      <c r="R158" s="203" t="s">
        <v>266</v>
      </c>
      <c r="S158" s="203" t="s">
        <v>266</v>
      </c>
      <c r="T158" s="203" t="s">
        <v>266</v>
      </c>
      <c r="U158" s="203" t="s">
        <v>266</v>
      </c>
      <c r="V158" s="203" t="s">
        <v>266</v>
      </c>
      <c r="W158" s="203" t="s">
        <v>266</v>
      </c>
      <c r="Y158" s="203" t="s">
        <v>266</v>
      </c>
      <c r="Z158" s="203" t="s">
        <v>266</v>
      </c>
      <c r="AA158" s="203" t="s">
        <v>266</v>
      </c>
      <c r="AB158" s="203" t="s">
        <v>266</v>
      </c>
      <c r="AC158" s="203" t="s">
        <v>266</v>
      </c>
      <c r="AD158" s="203" t="s">
        <v>266</v>
      </c>
      <c r="AE158" s="203" t="s">
        <v>266</v>
      </c>
      <c r="AG158">
        <v>1</v>
      </c>
      <c r="AH158">
        <v>1</v>
      </c>
    </row>
    <row r="159" spans="1:34" x14ac:dyDescent="0.25">
      <c r="A159" s="203" t="s">
        <v>266</v>
      </c>
      <c r="B159" s="203"/>
      <c r="C159" s="203"/>
      <c r="D159" s="203"/>
      <c r="E159" s="203" t="s">
        <v>266</v>
      </c>
      <c r="F159" s="203" t="s">
        <v>266</v>
      </c>
      <c r="G159" s="203" t="s">
        <v>266</v>
      </c>
      <c r="I159" s="203" t="s">
        <v>266</v>
      </c>
      <c r="J159" s="203" t="s">
        <v>266</v>
      </c>
      <c r="K159" s="203" t="s">
        <v>266</v>
      </c>
      <c r="L159" s="203" t="s">
        <v>266</v>
      </c>
      <c r="M159" s="203" t="s">
        <v>266</v>
      </c>
      <c r="N159" s="203" t="s">
        <v>266</v>
      </c>
      <c r="O159" s="203" t="s">
        <v>266</v>
      </c>
      <c r="Q159" s="203" t="s">
        <v>266</v>
      </c>
      <c r="R159" s="203" t="s">
        <v>266</v>
      </c>
      <c r="S159" s="203" t="s">
        <v>266</v>
      </c>
      <c r="T159" s="203" t="s">
        <v>266</v>
      </c>
      <c r="U159" s="203" t="s">
        <v>266</v>
      </c>
      <c r="V159" s="203" t="s">
        <v>266</v>
      </c>
      <c r="W159" s="203" t="s">
        <v>266</v>
      </c>
      <c r="Y159" s="203" t="s">
        <v>266</v>
      </c>
      <c r="Z159" s="203" t="s">
        <v>266</v>
      </c>
      <c r="AA159" s="203" t="s">
        <v>266</v>
      </c>
      <c r="AB159" s="203" t="s">
        <v>266</v>
      </c>
      <c r="AC159" s="203" t="s">
        <v>266</v>
      </c>
      <c r="AD159" s="203" t="s">
        <v>266</v>
      </c>
      <c r="AE159" s="203" t="s">
        <v>266</v>
      </c>
      <c r="AG159">
        <v>1</v>
      </c>
      <c r="AH159">
        <v>1</v>
      </c>
    </row>
    <row r="160" spans="1:34" x14ac:dyDescent="0.25">
      <c r="A160" s="203" t="s">
        <v>266</v>
      </c>
      <c r="B160" s="203"/>
      <c r="C160" s="203"/>
      <c r="D160" s="203"/>
      <c r="E160" s="203" t="s">
        <v>266</v>
      </c>
      <c r="F160" s="203" t="s">
        <v>266</v>
      </c>
      <c r="G160" s="203" t="s">
        <v>266</v>
      </c>
      <c r="I160" s="203" t="s">
        <v>266</v>
      </c>
      <c r="J160" s="203" t="s">
        <v>266</v>
      </c>
      <c r="K160" s="203" t="s">
        <v>266</v>
      </c>
      <c r="L160" s="203" t="s">
        <v>266</v>
      </c>
      <c r="M160" s="203" t="s">
        <v>266</v>
      </c>
      <c r="N160" s="203" t="s">
        <v>266</v>
      </c>
      <c r="O160" s="203" t="s">
        <v>266</v>
      </c>
      <c r="Q160" s="203" t="s">
        <v>266</v>
      </c>
      <c r="R160" s="203" t="s">
        <v>266</v>
      </c>
      <c r="S160" s="203" t="s">
        <v>266</v>
      </c>
      <c r="T160" s="203" t="s">
        <v>266</v>
      </c>
      <c r="U160" s="203" t="s">
        <v>266</v>
      </c>
      <c r="V160" s="203" t="s">
        <v>266</v>
      </c>
      <c r="W160" s="203" t="s">
        <v>266</v>
      </c>
      <c r="Y160" s="203" t="s">
        <v>266</v>
      </c>
      <c r="Z160" s="203" t="s">
        <v>266</v>
      </c>
      <c r="AA160" s="203" t="s">
        <v>266</v>
      </c>
      <c r="AB160" s="203" t="s">
        <v>266</v>
      </c>
      <c r="AC160" s="203" t="s">
        <v>266</v>
      </c>
      <c r="AD160" s="203" t="s">
        <v>266</v>
      </c>
      <c r="AE160" s="203" t="s">
        <v>266</v>
      </c>
      <c r="AG160">
        <v>1</v>
      </c>
      <c r="AH160">
        <v>1</v>
      </c>
    </row>
    <row r="161" spans="1:34" x14ac:dyDescent="0.25">
      <c r="A161" s="203" t="s">
        <v>266</v>
      </c>
      <c r="B161" s="203"/>
      <c r="C161" s="203"/>
      <c r="D161" s="203"/>
      <c r="E161" s="203" t="s">
        <v>266</v>
      </c>
      <c r="F161" s="203" t="s">
        <v>266</v>
      </c>
      <c r="G161" s="203" t="s">
        <v>266</v>
      </c>
      <c r="I161" s="203" t="s">
        <v>266</v>
      </c>
      <c r="J161" s="203" t="s">
        <v>266</v>
      </c>
      <c r="K161" s="203" t="s">
        <v>266</v>
      </c>
      <c r="L161" s="203" t="s">
        <v>266</v>
      </c>
      <c r="M161" s="203" t="s">
        <v>266</v>
      </c>
      <c r="N161" s="203" t="s">
        <v>266</v>
      </c>
      <c r="O161" s="203" t="s">
        <v>266</v>
      </c>
      <c r="Q161" s="203" t="s">
        <v>266</v>
      </c>
      <c r="R161" s="203" t="s">
        <v>266</v>
      </c>
      <c r="S161" s="203" t="s">
        <v>266</v>
      </c>
      <c r="T161" s="203" t="s">
        <v>266</v>
      </c>
      <c r="U161" s="203" t="s">
        <v>266</v>
      </c>
      <c r="V161" s="203" t="s">
        <v>266</v>
      </c>
      <c r="W161" s="203" t="s">
        <v>266</v>
      </c>
      <c r="Y161" s="203" t="s">
        <v>266</v>
      </c>
      <c r="Z161" s="203" t="s">
        <v>266</v>
      </c>
      <c r="AA161" s="203" t="s">
        <v>266</v>
      </c>
      <c r="AB161" s="203" t="s">
        <v>266</v>
      </c>
      <c r="AC161" s="203" t="s">
        <v>266</v>
      </c>
      <c r="AD161" s="203" t="s">
        <v>266</v>
      </c>
      <c r="AE161" s="203" t="s">
        <v>266</v>
      </c>
      <c r="AG161">
        <v>1</v>
      </c>
      <c r="AH161">
        <v>1</v>
      </c>
    </row>
    <row r="162" spans="1:34" x14ac:dyDescent="0.25">
      <c r="A162" s="203" t="s">
        <v>266</v>
      </c>
      <c r="B162" s="203"/>
      <c r="C162" s="203"/>
      <c r="D162" s="203"/>
      <c r="E162" s="203" t="s">
        <v>266</v>
      </c>
      <c r="F162" s="203" t="s">
        <v>266</v>
      </c>
      <c r="G162" s="203" t="s">
        <v>266</v>
      </c>
      <c r="I162" s="203" t="s">
        <v>266</v>
      </c>
      <c r="J162" s="203" t="s">
        <v>266</v>
      </c>
      <c r="K162" s="203" t="s">
        <v>266</v>
      </c>
      <c r="L162" s="203" t="s">
        <v>266</v>
      </c>
      <c r="M162" s="203" t="s">
        <v>266</v>
      </c>
      <c r="N162" s="203" t="s">
        <v>266</v>
      </c>
      <c r="O162" s="203" t="s">
        <v>266</v>
      </c>
      <c r="Q162" s="203" t="s">
        <v>266</v>
      </c>
      <c r="R162" s="203" t="s">
        <v>266</v>
      </c>
      <c r="S162" s="203" t="s">
        <v>266</v>
      </c>
      <c r="T162" s="203" t="s">
        <v>266</v>
      </c>
      <c r="U162" s="203" t="s">
        <v>266</v>
      </c>
      <c r="V162" s="203" t="s">
        <v>266</v>
      </c>
      <c r="W162" s="203" t="s">
        <v>266</v>
      </c>
      <c r="Y162" s="203" t="s">
        <v>266</v>
      </c>
      <c r="Z162" s="203" t="s">
        <v>266</v>
      </c>
      <c r="AA162" s="203" t="s">
        <v>266</v>
      </c>
      <c r="AB162" s="203" t="s">
        <v>266</v>
      </c>
      <c r="AC162" s="203" t="s">
        <v>266</v>
      </c>
      <c r="AD162" s="203" t="s">
        <v>266</v>
      </c>
      <c r="AE162" s="203" t="s">
        <v>266</v>
      </c>
      <c r="AG162">
        <v>1</v>
      </c>
      <c r="AH162">
        <v>1</v>
      </c>
    </row>
    <row r="163" spans="1:34" x14ac:dyDescent="0.25">
      <c r="A163" s="203" t="s">
        <v>266</v>
      </c>
      <c r="B163" s="203"/>
      <c r="C163" s="203"/>
      <c r="D163" s="203"/>
      <c r="E163" s="203" t="s">
        <v>266</v>
      </c>
      <c r="F163" s="203" t="s">
        <v>266</v>
      </c>
      <c r="G163" s="203" t="s">
        <v>266</v>
      </c>
      <c r="I163" s="203" t="s">
        <v>266</v>
      </c>
      <c r="J163" s="203" t="s">
        <v>266</v>
      </c>
      <c r="K163" s="203" t="s">
        <v>266</v>
      </c>
      <c r="L163" s="203" t="s">
        <v>266</v>
      </c>
      <c r="M163" s="203" t="s">
        <v>266</v>
      </c>
      <c r="N163" s="203" t="s">
        <v>266</v>
      </c>
      <c r="O163" s="203" t="s">
        <v>266</v>
      </c>
      <c r="Q163" s="203" t="s">
        <v>266</v>
      </c>
      <c r="R163" s="203" t="s">
        <v>266</v>
      </c>
      <c r="S163" s="203" t="s">
        <v>266</v>
      </c>
      <c r="T163" s="203" t="s">
        <v>266</v>
      </c>
      <c r="U163" s="203" t="s">
        <v>266</v>
      </c>
      <c r="V163" s="203" t="s">
        <v>266</v>
      </c>
      <c r="W163" s="203" t="s">
        <v>266</v>
      </c>
      <c r="Y163" s="203" t="s">
        <v>266</v>
      </c>
      <c r="Z163" s="203" t="s">
        <v>266</v>
      </c>
      <c r="AA163" s="203" t="s">
        <v>266</v>
      </c>
      <c r="AB163" s="203" t="s">
        <v>266</v>
      </c>
      <c r="AC163" s="203" t="s">
        <v>266</v>
      </c>
      <c r="AD163" s="203" t="s">
        <v>266</v>
      </c>
      <c r="AE163" s="203" t="s">
        <v>266</v>
      </c>
      <c r="AG163">
        <v>1</v>
      </c>
      <c r="AH163">
        <v>1</v>
      </c>
    </row>
    <row r="164" spans="1:34" x14ac:dyDescent="0.25">
      <c r="A164" s="203" t="s">
        <v>266</v>
      </c>
      <c r="B164" s="203"/>
      <c r="C164" s="203"/>
      <c r="D164" s="203"/>
      <c r="E164" s="203" t="s">
        <v>266</v>
      </c>
      <c r="F164" s="203" t="s">
        <v>266</v>
      </c>
      <c r="G164" s="203" t="s">
        <v>266</v>
      </c>
      <c r="I164" s="203" t="s">
        <v>266</v>
      </c>
      <c r="J164" s="203" t="s">
        <v>266</v>
      </c>
      <c r="K164" s="203" t="s">
        <v>266</v>
      </c>
      <c r="L164" s="203" t="s">
        <v>266</v>
      </c>
      <c r="M164" s="203" t="s">
        <v>266</v>
      </c>
      <c r="N164" s="203" t="s">
        <v>266</v>
      </c>
      <c r="O164" s="203" t="s">
        <v>266</v>
      </c>
      <c r="Q164" s="203" t="s">
        <v>266</v>
      </c>
      <c r="R164" s="203" t="s">
        <v>266</v>
      </c>
      <c r="S164" s="203" t="s">
        <v>266</v>
      </c>
      <c r="T164" s="203" t="s">
        <v>266</v>
      </c>
      <c r="U164" s="203" t="s">
        <v>266</v>
      </c>
      <c r="V164" s="203" t="s">
        <v>266</v>
      </c>
      <c r="W164" s="203" t="s">
        <v>266</v>
      </c>
      <c r="Y164" s="203" t="s">
        <v>266</v>
      </c>
      <c r="Z164" s="203" t="s">
        <v>266</v>
      </c>
      <c r="AA164" s="203" t="s">
        <v>266</v>
      </c>
      <c r="AB164" s="203" t="s">
        <v>266</v>
      </c>
      <c r="AC164" s="203" t="s">
        <v>266</v>
      </c>
      <c r="AD164" s="203" t="s">
        <v>266</v>
      </c>
      <c r="AE164" s="203" t="s">
        <v>266</v>
      </c>
      <c r="AG164">
        <v>1</v>
      </c>
      <c r="AH164">
        <v>1</v>
      </c>
    </row>
    <row r="165" spans="1:34" x14ac:dyDescent="0.25">
      <c r="A165" s="203" t="s">
        <v>266</v>
      </c>
      <c r="B165" s="203"/>
      <c r="C165" s="203"/>
      <c r="D165" s="203"/>
      <c r="E165" s="203" t="s">
        <v>266</v>
      </c>
      <c r="F165" s="203" t="s">
        <v>266</v>
      </c>
      <c r="G165" s="203" t="s">
        <v>266</v>
      </c>
      <c r="I165" s="203" t="s">
        <v>266</v>
      </c>
      <c r="J165" s="203" t="s">
        <v>266</v>
      </c>
      <c r="K165" s="203" t="s">
        <v>266</v>
      </c>
      <c r="L165" s="203" t="s">
        <v>266</v>
      </c>
      <c r="M165" s="203" t="s">
        <v>266</v>
      </c>
      <c r="N165" s="203" t="s">
        <v>266</v>
      </c>
      <c r="O165" s="203" t="s">
        <v>266</v>
      </c>
      <c r="Q165" s="203" t="s">
        <v>266</v>
      </c>
      <c r="R165" s="203" t="s">
        <v>266</v>
      </c>
      <c r="S165" s="203" t="s">
        <v>266</v>
      </c>
      <c r="T165" s="203" t="s">
        <v>266</v>
      </c>
      <c r="U165" s="203" t="s">
        <v>266</v>
      </c>
      <c r="V165" s="203" t="s">
        <v>266</v>
      </c>
      <c r="W165" s="203" t="s">
        <v>266</v>
      </c>
      <c r="Y165" s="203" t="s">
        <v>266</v>
      </c>
      <c r="Z165" s="203" t="s">
        <v>266</v>
      </c>
      <c r="AA165" s="203" t="s">
        <v>266</v>
      </c>
      <c r="AB165" s="203" t="s">
        <v>266</v>
      </c>
      <c r="AC165" s="203" t="s">
        <v>266</v>
      </c>
      <c r="AD165" s="203" t="s">
        <v>266</v>
      </c>
      <c r="AE165" s="203" t="s">
        <v>266</v>
      </c>
      <c r="AG165">
        <v>1</v>
      </c>
      <c r="AH165">
        <v>1</v>
      </c>
    </row>
    <row r="166" spans="1:34" x14ac:dyDescent="0.25">
      <c r="A166" s="203" t="s">
        <v>266</v>
      </c>
      <c r="B166" s="203"/>
      <c r="C166" s="203"/>
      <c r="D166" s="203"/>
      <c r="E166" s="203" t="s">
        <v>266</v>
      </c>
      <c r="F166" s="203" t="s">
        <v>266</v>
      </c>
      <c r="G166" s="203" t="s">
        <v>266</v>
      </c>
      <c r="I166" s="203" t="s">
        <v>266</v>
      </c>
      <c r="J166" s="203" t="s">
        <v>266</v>
      </c>
      <c r="K166" s="203" t="s">
        <v>266</v>
      </c>
      <c r="L166" s="203" t="s">
        <v>266</v>
      </c>
      <c r="M166" s="203" t="s">
        <v>266</v>
      </c>
      <c r="N166" s="203" t="s">
        <v>266</v>
      </c>
      <c r="O166" s="203" t="s">
        <v>266</v>
      </c>
      <c r="Q166" s="203" t="s">
        <v>266</v>
      </c>
      <c r="R166" s="203" t="s">
        <v>266</v>
      </c>
      <c r="S166" s="203" t="s">
        <v>266</v>
      </c>
      <c r="T166" s="203" t="s">
        <v>266</v>
      </c>
      <c r="U166" s="203" t="s">
        <v>266</v>
      </c>
      <c r="V166" s="203" t="s">
        <v>266</v>
      </c>
      <c r="W166" s="203" t="s">
        <v>266</v>
      </c>
      <c r="Y166" s="203" t="s">
        <v>266</v>
      </c>
      <c r="Z166" s="203" t="s">
        <v>266</v>
      </c>
      <c r="AA166" s="203" t="s">
        <v>266</v>
      </c>
      <c r="AB166" s="203" t="s">
        <v>266</v>
      </c>
      <c r="AC166" s="203" t="s">
        <v>266</v>
      </c>
      <c r="AD166" s="203" t="s">
        <v>266</v>
      </c>
      <c r="AE166" s="203" t="s">
        <v>266</v>
      </c>
      <c r="AG166">
        <v>1</v>
      </c>
      <c r="AH166">
        <v>1</v>
      </c>
    </row>
    <row r="167" spans="1:34" x14ac:dyDescent="0.25">
      <c r="A167" s="203" t="s">
        <v>266</v>
      </c>
      <c r="B167" s="203"/>
      <c r="C167" s="203"/>
      <c r="D167" s="203"/>
      <c r="E167" s="203" t="s">
        <v>266</v>
      </c>
      <c r="F167" s="203" t="s">
        <v>266</v>
      </c>
      <c r="G167" s="203" t="s">
        <v>266</v>
      </c>
      <c r="I167" s="203" t="s">
        <v>266</v>
      </c>
      <c r="J167" s="203" t="s">
        <v>266</v>
      </c>
      <c r="K167" s="203" t="s">
        <v>266</v>
      </c>
      <c r="L167" s="203" t="s">
        <v>266</v>
      </c>
      <c r="M167" s="203" t="s">
        <v>266</v>
      </c>
      <c r="N167" s="203" t="s">
        <v>266</v>
      </c>
      <c r="O167" s="203" t="s">
        <v>266</v>
      </c>
      <c r="Q167" s="203" t="s">
        <v>266</v>
      </c>
      <c r="R167" s="203" t="s">
        <v>266</v>
      </c>
      <c r="S167" s="203" t="s">
        <v>266</v>
      </c>
      <c r="T167" s="203" t="s">
        <v>266</v>
      </c>
      <c r="U167" s="203" t="s">
        <v>266</v>
      </c>
      <c r="V167" s="203" t="s">
        <v>266</v>
      </c>
      <c r="W167" s="203" t="s">
        <v>266</v>
      </c>
      <c r="Y167" s="203" t="s">
        <v>266</v>
      </c>
      <c r="Z167" s="203" t="s">
        <v>266</v>
      </c>
      <c r="AA167" s="203" t="s">
        <v>266</v>
      </c>
      <c r="AB167" s="203" t="s">
        <v>266</v>
      </c>
      <c r="AC167" s="203" t="s">
        <v>266</v>
      </c>
      <c r="AD167" s="203" t="s">
        <v>266</v>
      </c>
      <c r="AE167" s="203" t="s">
        <v>266</v>
      </c>
      <c r="AG167">
        <v>1</v>
      </c>
      <c r="AH167">
        <v>1</v>
      </c>
    </row>
    <row r="168" spans="1:34" x14ac:dyDescent="0.25">
      <c r="A168" s="203" t="s">
        <v>266</v>
      </c>
      <c r="B168" s="203"/>
      <c r="C168" s="203"/>
      <c r="D168" s="203"/>
      <c r="E168" s="203" t="s">
        <v>266</v>
      </c>
      <c r="F168" s="203" t="s">
        <v>266</v>
      </c>
      <c r="G168" s="203" t="s">
        <v>266</v>
      </c>
      <c r="I168" s="203" t="s">
        <v>266</v>
      </c>
      <c r="J168" s="203" t="s">
        <v>266</v>
      </c>
      <c r="K168" s="203" t="s">
        <v>266</v>
      </c>
      <c r="L168" s="203" t="s">
        <v>266</v>
      </c>
      <c r="M168" s="203" t="s">
        <v>266</v>
      </c>
      <c r="N168" s="203" t="s">
        <v>266</v>
      </c>
      <c r="O168" s="203" t="s">
        <v>266</v>
      </c>
      <c r="Q168" s="203" t="s">
        <v>266</v>
      </c>
      <c r="R168" s="203" t="s">
        <v>266</v>
      </c>
      <c r="S168" s="203" t="s">
        <v>266</v>
      </c>
      <c r="T168" s="203" t="s">
        <v>266</v>
      </c>
      <c r="U168" s="203" t="s">
        <v>266</v>
      </c>
      <c r="V168" s="203" t="s">
        <v>266</v>
      </c>
      <c r="W168" s="203" t="s">
        <v>266</v>
      </c>
      <c r="Y168" s="203" t="s">
        <v>266</v>
      </c>
      <c r="Z168" s="203" t="s">
        <v>266</v>
      </c>
      <c r="AA168" s="203" t="s">
        <v>266</v>
      </c>
      <c r="AB168" s="203" t="s">
        <v>266</v>
      </c>
      <c r="AC168" s="203" t="s">
        <v>266</v>
      </c>
      <c r="AD168" s="203" t="s">
        <v>266</v>
      </c>
      <c r="AE168" s="203" t="s">
        <v>266</v>
      </c>
      <c r="AG168">
        <v>1</v>
      </c>
      <c r="AH168">
        <v>1</v>
      </c>
    </row>
    <row r="169" spans="1:34" x14ac:dyDescent="0.25">
      <c r="A169" s="203" t="s">
        <v>266</v>
      </c>
      <c r="B169" s="203"/>
      <c r="C169" s="203"/>
      <c r="D169" s="203"/>
      <c r="E169" s="203" t="s">
        <v>266</v>
      </c>
      <c r="F169" s="203" t="s">
        <v>266</v>
      </c>
      <c r="G169" s="203" t="s">
        <v>266</v>
      </c>
      <c r="I169" s="203" t="s">
        <v>266</v>
      </c>
      <c r="J169" s="203" t="s">
        <v>266</v>
      </c>
      <c r="K169" s="203" t="s">
        <v>266</v>
      </c>
      <c r="L169" s="203" t="s">
        <v>266</v>
      </c>
      <c r="M169" s="203" t="s">
        <v>266</v>
      </c>
      <c r="N169" s="203" t="s">
        <v>266</v>
      </c>
      <c r="O169" s="203" t="s">
        <v>266</v>
      </c>
      <c r="Q169" s="203" t="s">
        <v>266</v>
      </c>
      <c r="R169" s="203" t="s">
        <v>266</v>
      </c>
      <c r="S169" s="203" t="s">
        <v>266</v>
      </c>
      <c r="T169" s="203" t="s">
        <v>266</v>
      </c>
      <c r="U169" s="203" t="s">
        <v>266</v>
      </c>
      <c r="V169" s="203" t="s">
        <v>266</v>
      </c>
      <c r="W169" s="203" t="s">
        <v>266</v>
      </c>
      <c r="Y169" s="203" t="s">
        <v>266</v>
      </c>
      <c r="Z169" s="203" t="s">
        <v>266</v>
      </c>
      <c r="AA169" s="203" t="s">
        <v>266</v>
      </c>
      <c r="AB169" s="203" t="s">
        <v>266</v>
      </c>
      <c r="AC169" s="203" t="s">
        <v>266</v>
      </c>
      <c r="AD169" s="203" t="s">
        <v>266</v>
      </c>
      <c r="AE169" s="203" t="s">
        <v>266</v>
      </c>
      <c r="AG169">
        <v>1</v>
      </c>
      <c r="AH169">
        <v>1</v>
      </c>
    </row>
    <row r="170" spans="1:34" x14ac:dyDescent="0.25">
      <c r="A170" s="203" t="s">
        <v>266</v>
      </c>
      <c r="B170" s="203"/>
      <c r="C170" s="203"/>
      <c r="D170" s="203"/>
      <c r="E170" s="203" t="s">
        <v>266</v>
      </c>
      <c r="F170" s="203" t="s">
        <v>266</v>
      </c>
      <c r="G170" s="203" t="s">
        <v>266</v>
      </c>
      <c r="I170" s="203" t="s">
        <v>266</v>
      </c>
      <c r="J170" s="203" t="s">
        <v>266</v>
      </c>
      <c r="K170" s="203" t="s">
        <v>266</v>
      </c>
      <c r="L170" s="203" t="s">
        <v>266</v>
      </c>
      <c r="M170" s="203" t="s">
        <v>266</v>
      </c>
      <c r="N170" s="203" t="s">
        <v>266</v>
      </c>
      <c r="O170" s="203" t="s">
        <v>266</v>
      </c>
      <c r="Q170" s="203" t="s">
        <v>266</v>
      </c>
      <c r="R170" s="203" t="s">
        <v>266</v>
      </c>
      <c r="S170" s="203" t="s">
        <v>266</v>
      </c>
      <c r="T170" s="203" t="s">
        <v>266</v>
      </c>
      <c r="U170" s="203" t="s">
        <v>266</v>
      </c>
      <c r="V170" s="203" t="s">
        <v>266</v>
      </c>
      <c r="W170" s="203" t="s">
        <v>266</v>
      </c>
      <c r="Y170" s="203" t="s">
        <v>266</v>
      </c>
      <c r="Z170" s="203" t="s">
        <v>266</v>
      </c>
      <c r="AA170" s="203" t="s">
        <v>266</v>
      </c>
      <c r="AB170" s="203" t="s">
        <v>266</v>
      </c>
      <c r="AC170" s="203" t="s">
        <v>266</v>
      </c>
      <c r="AD170" s="203" t="s">
        <v>266</v>
      </c>
      <c r="AE170" s="203" t="s">
        <v>266</v>
      </c>
      <c r="AG170">
        <v>1</v>
      </c>
      <c r="AH170">
        <v>1</v>
      </c>
    </row>
    <row r="171" spans="1:34" x14ac:dyDescent="0.25">
      <c r="A171" s="203" t="s">
        <v>266</v>
      </c>
      <c r="B171" s="203"/>
      <c r="C171" s="203"/>
      <c r="D171" s="203"/>
      <c r="E171" s="203" t="s">
        <v>266</v>
      </c>
      <c r="F171" s="203" t="s">
        <v>266</v>
      </c>
      <c r="G171" s="203" t="s">
        <v>266</v>
      </c>
      <c r="I171" s="203" t="s">
        <v>266</v>
      </c>
      <c r="J171" s="203" t="s">
        <v>266</v>
      </c>
      <c r="K171" s="203" t="s">
        <v>266</v>
      </c>
      <c r="L171" s="203" t="s">
        <v>266</v>
      </c>
      <c r="M171" s="203" t="s">
        <v>266</v>
      </c>
      <c r="N171" s="203" t="s">
        <v>266</v>
      </c>
      <c r="O171" s="203" t="s">
        <v>266</v>
      </c>
      <c r="Q171" s="203" t="s">
        <v>266</v>
      </c>
      <c r="R171" s="203" t="s">
        <v>266</v>
      </c>
      <c r="S171" s="203" t="s">
        <v>266</v>
      </c>
      <c r="T171" s="203" t="s">
        <v>266</v>
      </c>
      <c r="U171" s="203" t="s">
        <v>266</v>
      </c>
      <c r="V171" s="203" t="s">
        <v>266</v>
      </c>
      <c r="W171" s="203" t="s">
        <v>266</v>
      </c>
      <c r="Y171" s="203" t="s">
        <v>266</v>
      </c>
      <c r="Z171" s="203" t="s">
        <v>266</v>
      </c>
      <c r="AA171" s="203" t="s">
        <v>266</v>
      </c>
      <c r="AB171" s="203" t="s">
        <v>266</v>
      </c>
      <c r="AC171" s="203" t="s">
        <v>266</v>
      </c>
      <c r="AD171" s="203" t="s">
        <v>266</v>
      </c>
      <c r="AE171" s="203" t="s">
        <v>266</v>
      </c>
      <c r="AG171">
        <v>1</v>
      </c>
      <c r="AH171">
        <v>1</v>
      </c>
    </row>
    <row r="172" spans="1:34" x14ac:dyDescent="0.25">
      <c r="A172" s="203" t="s">
        <v>266</v>
      </c>
      <c r="B172" s="203"/>
      <c r="C172" s="203"/>
      <c r="D172" s="203"/>
      <c r="E172" s="203" t="s">
        <v>266</v>
      </c>
      <c r="F172" s="203" t="s">
        <v>266</v>
      </c>
      <c r="G172" s="203" t="s">
        <v>266</v>
      </c>
      <c r="I172" s="203" t="s">
        <v>266</v>
      </c>
      <c r="J172" s="203" t="s">
        <v>266</v>
      </c>
      <c r="K172" s="203" t="s">
        <v>266</v>
      </c>
      <c r="L172" s="203" t="s">
        <v>266</v>
      </c>
      <c r="M172" s="203" t="s">
        <v>266</v>
      </c>
      <c r="N172" s="203" t="s">
        <v>266</v>
      </c>
      <c r="O172" s="203" t="s">
        <v>266</v>
      </c>
      <c r="Q172" s="203" t="s">
        <v>266</v>
      </c>
      <c r="R172" s="203" t="s">
        <v>266</v>
      </c>
      <c r="S172" s="203" t="s">
        <v>266</v>
      </c>
      <c r="T172" s="203" t="s">
        <v>266</v>
      </c>
      <c r="U172" s="203" t="s">
        <v>266</v>
      </c>
      <c r="V172" s="203" t="s">
        <v>266</v>
      </c>
      <c r="W172" s="203" t="s">
        <v>266</v>
      </c>
      <c r="Y172" s="203" t="s">
        <v>266</v>
      </c>
      <c r="Z172" s="203" t="s">
        <v>266</v>
      </c>
      <c r="AA172" s="203" t="s">
        <v>266</v>
      </c>
      <c r="AB172" s="203" t="s">
        <v>266</v>
      </c>
      <c r="AC172" s="203" t="s">
        <v>266</v>
      </c>
      <c r="AD172" s="203" t="s">
        <v>266</v>
      </c>
      <c r="AE172" s="203" t="s">
        <v>266</v>
      </c>
      <c r="AG172">
        <v>1</v>
      </c>
      <c r="AH172">
        <v>1</v>
      </c>
    </row>
    <row r="173" spans="1:34" x14ac:dyDescent="0.25">
      <c r="A173" s="203" t="s">
        <v>266</v>
      </c>
      <c r="B173" s="203"/>
      <c r="C173" s="203"/>
      <c r="D173" s="203"/>
      <c r="E173" s="203" t="s">
        <v>266</v>
      </c>
      <c r="F173" s="203" t="s">
        <v>266</v>
      </c>
      <c r="G173" s="203" t="s">
        <v>266</v>
      </c>
      <c r="I173" s="203" t="s">
        <v>266</v>
      </c>
      <c r="J173" s="203" t="s">
        <v>266</v>
      </c>
      <c r="K173" s="203" t="s">
        <v>266</v>
      </c>
      <c r="L173" s="203" t="s">
        <v>266</v>
      </c>
      <c r="M173" s="203" t="s">
        <v>266</v>
      </c>
      <c r="N173" s="203" t="s">
        <v>266</v>
      </c>
      <c r="O173" s="203" t="s">
        <v>266</v>
      </c>
      <c r="Q173" s="203" t="s">
        <v>266</v>
      </c>
      <c r="R173" s="203" t="s">
        <v>266</v>
      </c>
      <c r="S173" s="203" t="s">
        <v>266</v>
      </c>
      <c r="T173" s="203" t="s">
        <v>266</v>
      </c>
      <c r="U173" s="203" t="s">
        <v>266</v>
      </c>
      <c r="V173" s="203" t="s">
        <v>266</v>
      </c>
      <c r="W173" s="203" t="s">
        <v>266</v>
      </c>
      <c r="Y173" s="203" t="s">
        <v>266</v>
      </c>
      <c r="Z173" s="203" t="s">
        <v>266</v>
      </c>
      <c r="AA173" s="203" t="s">
        <v>266</v>
      </c>
      <c r="AB173" s="203" t="s">
        <v>266</v>
      </c>
      <c r="AC173" s="203" t="s">
        <v>266</v>
      </c>
      <c r="AD173" s="203" t="s">
        <v>266</v>
      </c>
      <c r="AE173" s="203" t="s">
        <v>266</v>
      </c>
      <c r="AG173">
        <v>1</v>
      </c>
      <c r="AH173">
        <v>1</v>
      </c>
    </row>
    <row r="174" spans="1:34" x14ac:dyDescent="0.25">
      <c r="A174" s="203" t="s">
        <v>266</v>
      </c>
      <c r="B174" s="203"/>
      <c r="C174" s="203"/>
      <c r="D174" s="203"/>
      <c r="E174" s="203" t="s">
        <v>266</v>
      </c>
      <c r="F174" s="203" t="s">
        <v>266</v>
      </c>
      <c r="G174" s="203" t="s">
        <v>266</v>
      </c>
      <c r="I174" s="203" t="s">
        <v>266</v>
      </c>
      <c r="J174" s="203" t="s">
        <v>266</v>
      </c>
      <c r="K174" s="203" t="s">
        <v>266</v>
      </c>
      <c r="L174" s="203" t="s">
        <v>266</v>
      </c>
      <c r="M174" s="203" t="s">
        <v>266</v>
      </c>
      <c r="N174" s="203" t="s">
        <v>266</v>
      </c>
      <c r="O174" s="203" t="s">
        <v>266</v>
      </c>
      <c r="Q174" s="203" t="s">
        <v>266</v>
      </c>
      <c r="R174" s="203" t="s">
        <v>266</v>
      </c>
      <c r="S174" s="203" t="s">
        <v>266</v>
      </c>
      <c r="T174" s="203" t="s">
        <v>266</v>
      </c>
      <c r="U174" s="203" t="s">
        <v>266</v>
      </c>
      <c r="V174" s="203" t="s">
        <v>266</v>
      </c>
      <c r="W174" s="203" t="s">
        <v>266</v>
      </c>
      <c r="Y174" s="203" t="s">
        <v>266</v>
      </c>
      <c r="Z174" s="203" t="s">
        <v>266</v>
      </c>
      <c r="AA174" s="203" t="s">
        <v>266</v>
      </c>
      <c r="AB174" s="203" t="s">
        <v>266</v>
      </c>
      <c r="AC174" s="203" t="s">
        <v>266</v>
      </c>
      <c r="AD174" s="203" t="s">
        <v>266</v>
      </c>
      <c r="AE174" s="203" t="s">
        <v>266</v>
      </c>
      <c r="AG174">
        <v>1</v>
      </c>
      <c r="AH174">
        <v>1</v>
      </c>
    </row>
    <row r="175" spans="1:34" x14ac:dyDescent="0.25">
      <c r="A175" s="203" t="s">
        <v>266</v>
      </c>
      <c r="B175" s="203"/>
      <c r="C175" s="203"/>
      <c r="D175" s="203"/>
      <c r="E175" s="203" t="s">
        <v>266</v>
      </c>
      <c r="F175" s="203" t="s">
        <v>266</v>
      </c>
      <c r="G175" s="203" t="s">
        <v>266</v>
      </c>
      <c r="I175" s="203" t="s">
        <v>266</v>
      </c>
      <c r="J175" s="203" t="s">
        <v>266</v>
      </c>
      <c r="K175" s="203" t="s">
        <v>266</v>
      </c>
      <c r="L175" s="203" t="s">
        <v>266</v>
      </c>
      <c r="M175" s="203" t="s">
        <v>266</v>
      </c>
      <c r="N175" s="203" t="s">
        <v>266</v>
      </c>
      <c r="O175" s="203" t="s">
        <v>266</v>
      </c>
      <c r="Q175" s="203" t="s">
        <v>266</v>
      </c>
      <c r="R175" s="203" t="s">
        <v>266</v>
      </c>
      <c r="S175" s="203" t="s">
        <v>266</v>
      </c>
      <c r="T175" s="203" t="s">
        <v>266</v>
      </c>
      <c r="U175" s="203" t="s">
        <v>266</v>
      </c>
      <c r="V175" s="203" t="s">
        <v>266</v>
      </c>
      <c r="W175" s="203" t="s">
        <v>266</v>
      </c>
      <c r="Y175" s="203" t="s">
        <v>266</v>
      </c>
      <c r="Z175" s="203" t="s">
        <v>266</v>
      </c>
      <c r="AA175" s="203" t="s">
        <v>266</v>
      </c>
      <c r="AB175" s="203" t="s">
        <v>266</v>
      </c>
      <c r="AC175" s="203" t="s">
        <v>266</v>
      </c>
      <c r="AD175" s="203" t="s">
        <v>266</v>
      </c>
      <c r="AE175" s="203" t="s">
        <v>266</v>
      </c>
      <c r="AG175">
        <v>1</v>
      </c>
      <c r="AH175">
        <v>1</v>
      </c>
    </row>
    <row r="176" spans="1:34" x14ac:dyDescent="0.25">
      <c r="A176" s="203" t="s">
        <v>266</v>
      </c>
      <c r="B176" s="203"/>
      <c r="C176" s="203"/>
      <c r="D176" s="203"/>
      <c r="E176" s="203" t="s">
        <v>266</v>
      </c>
      <c r="F176" s="203" t="s">
        <v>266</v>
      </c>
      <c r="G176" s="203" t="s">
        <v>266</v>
      </c>
      <c r="I176" s="203" t="s">
        <v>266</v>
      </c>
      <c r="J176" s="203" t="s">
        <v>266</v>
      </c>
      <c r="K176" s="203" t="s">
        <v>266</v>
      </c>
      <c r="L176" s="203" t="s">
        <v>266</v>
      </c>
      <c r="M176" s="203" t="s">
        <v>266</v>
      </c>
      <c r="N176" s="203" t="s">
        <v>266</v>
      </c>
      <c r="O176" s="203" t="s">
        <v>266</v>
      </c>
      <c r="Q176" s="203" t="s">
        <v>266</v>
      </c>
      <c r="R176" s="203" t="s">
        <v>266</v>
      </c>
      <c r="S176" s="203" t="s">
        <v>266</v>
      </c>
      <c r="T176" s="203" t="s">
        <v>266</v>
      </c>
      <c r="U176" s="203" t="s">
        <v>266</v>
      </c>
      <c r="V176" s="203" t="s">
        <v>266</v>
      </c>
      <c r="W176" s="203" t="s">
        <v>266</v>
      </c>
      <c r="Y176" s="203" t="s">
        <v>266</v>
      </c>
      <c r="Z176" s="203" t="s">
        <v>266</v>
      </c>
      <c r="AA176" s="203" t="s">
        <v>266</v>
      </c>
      <c r="AB176" s="203" t="s">
        <v>266</v>
      </c>
      <c r="AC176" s="203" t="s">
        <v>266</v>
      </c>
      <c r="AD176" s="203" t="s">
        <v>266</v>
      </c>
      <c r="AE176" s="203" t="s">
        <v>266</v>
      </c>
      <c r="AG176">
        <v>1</v>
      </c>
      <c r="AH176">
        <v>1</v>
      </c>
    </row>
    <row r="177" spans="1:34" x14ac:dyDescent="0.25">
      <c r="A177" s="203" t="s">
        <v>266</v>
      </c>
      <c r="B177" s="203"/>
      <c r="C177" s="203"/>
      <c r="D177" s="203"/>
      <c r="E177" s="203" t="s">
        <v>266</v>
      </c>
      <c r="F177" s="203" t="s">
        <v>266</v>
      </c>
      <c r="G177" s="203" t="s">
        <v>266</v>
      </c>
      <c r="I177" s="203" t="s">
        <v>266</v>
      </c>
      <c r="J177" s="203" t="s">
        <v>266</v>
      </c>
      <c r="K177" s="203" t="s">
        <v>266</v>
      </c>
      <c r="L177" s="203" t="s">
        <v>266</v>
      </c>
      <c r="M177" s="203" t="s">
        <v>266</v>
      </c>
      <c r="N177" s="203" t="s">
        <v>266</v>
      </c>
      <c r="O177" s="203" t="s">
        <v>266</v>
      </c>
      <c r="Q177" s="203" t="s">
        <v>266</v>
      </c>
      <c r="R177" s="203" t="s">
        <v>266</v>
      </c>
      <c r="S177" s="203" t="s">
        <v>266</v>
      </c>
      <c r="T177" s="203" t="s">
        <v>266</v>
      </c>
      <c r="U177" s="203" t="s">
        <v>266</v>
      </c>
      <c r="V177" s="203" t="s">
        <v>266</v>
      </c>
      <c r="W177" s="203" t="s">
        <v>266</v>
      </c>
      <c r="Y177" s="203" t="s">
        <v>266</v>
      </c>
      <c r="Z177" s="203" t="s">
        <v>266</v>
      </c>
      <c r="AA177" s="203" t="s">
        <v>266</v>
      </c>
      <c r="AB177" s="203" t="s">
        <v>266</v>
      </c>
      <c r="AC177" s="203" t="s">
        <v>266</v>
      </c>
      <c r="AD177" s="203" t="s">
        <v>266</v>
      </c>
      <c r="AE177" s="203" t="s">
        <v>266</v>
      </c>
      <c r="AG177">
        <v>1</v>
      </c>
      <c r="AH177">
        <v>1</v>
      </c>
    </row>
    <row r="178" spans="1:34" x14ac:dyDescent="0.25">
      <c r="A178" s="203" t="s">
        <v>266</v>
      </c>
      <c r="B178" s="203"/>
      <c r="C178" s="203"/>
      <c r="D178" s="203"/>
      <c r="E178" s="203" t="s">
        <v>266</v>
      </c>
      <c r="F178" s="203" t="s">
        <v>266</v>
      </c>
      <c r="G178" s="203" t="s">
        <v>266</v>
      </c>
      <c r="I178" s="203" t="s">
        <v>266</v>
      </c>
      <c r="J178" s="203" t="s">
        <v>266</v>
      </c>
      <c r="K178" s="203" t="s">
        <v>266</v>
      </c>
      <c r="L178" s="203" t="s">
        <v>266</v>
      </c>
      <c r="M178" s="203" t="s">
        <v>266</v>
      </c>
      <c r="N178" s="203" t="s">
        <v>266</v>
      </c>
      <c r="O178" s="203" t="s">
        <v>266</v>
      </c>
      <c r="Q178" s="203" t="s">
        <v>266</v>
      </c>
      <c r="R178" s="203" t="s">
        <v>266</v>
      </c>
      <c r="S178" s="203" t="s">
        <v>266</v>
      </c>
      <c r="T178" s="203" t="s">
        <v>266</v>
      </c>
      <c r="U178" s="203" t="s">
        <v>266</v>
      </c>
      <c r="V178" s="203" t="s">
        <v>266</v>
      </c>
      <c r="W178" s="203" t="s">
        <v>266</v>
      </c>
      <c r="Y178" s="203" t="s">
        <v>266</v>
      </c>
      <c r="Z178" s="203" t="s">
        <v>266</v>
      </c>
      <c r="AA178" s="203" t="s">
        <v>266</v>
      </c>
      <c r="AB178" s="203" t="s">
        <v>266</v>
      </c>
      <c r="AC178" s="203" t="s">
        <v>266</v>
      </c>
      <c r="AD178" s="203" t="s">
        <v>266</v>
      </c>
      <c r="AE178" s="203" t="s">
        <v>266</v>
      </c>
      <c r="AG178">
        <v>1</v>
      </c>
      <c r="AH178">
        <v>1</v>
      </c>
    </row>
    <row r="179" spans="1:34" x14ac:dyDescent="0.25">
      <c r="A179" s="203" t="s">
        <v>266</v>
      </c>
      <c r="B179" s="203"/>
      <c r="C179" s="203"/>
      <c r="D179" s="203"/>
      <c r="E179" s="203" t="s">
        <v>266</v>
      </c>
      <c r="F179" s="203" t="s">
        <v>266</v>
      </c>
      <c r="G179" s="203" t="s">
        <v>266</v>
      </c>
      <c r="I179" s="203" t="s">
        <v>266</v>
      </c>
      <c r="J179" s="203" t="s">
        <v>266</v>
      </c>
      <c r="K179" s="203" t="s">
        <v>266</v>
      </c>
      <c r="L179" s="203" t="s">
        <v>266</v>
      </c>
      <c r="M179" s="203" t="s">
        <v>266</v>
      </c>
      <c r="N179" s="203" t="s">
        <v>266</v>
      </c>
      <c r="O179" s="203" t="s">
        <v>266</v>
      </c>
      <c r="Q179" s="203" t="s">
        <v>266</v>
      </c>
      <c r="R179" s="203" t="s">
        <v>266</v>
      </c>
      <c r="S179" s="203" t="s">
        <v>266</v>
      </c>
      <c r="T179" s="203" t="s">
        <v>266</v>
      </c>
      <c r="U179" s="203" t="s">
        <v>266</v>
      </c>
      <c r="V179" s="203" t="s">
        <v>266</v>
      </c>
      <c r="W179" s="203" t="s">
        <v>266</v>
      </c>
      <c r="Y179" s="203" t="s">
        <v>266</v>
      </c>
      <c r="Z179" s="203" t="s">
        <v>266</v>
      </c>
      <c r="AA179" s="203" t="s">
        <v>266</v>
      </c>
      <c r="AB179" s="203" t="s">
        <v>266</v>
      </c>
      <c r="AC179" s="203" t="s">
        <v>266</v>
      </c>
      <c r="AD179" s="203" t="s">
        <v>266</v>
      </c>
      <c r="AE179" s="203" t="s">
        <v>266</v>
      </c>
      <c r="AG179">
        <v>1</v>
      </c>
      <c r="AH179">
        <v>1</v>
      </c>
    </row>
    <row r="180" spans="1:34" x14ac:dyDescent="0.25">
      <c r="A180" s="203" t="s">
        <v>266</v>
      </c>
      <c r="B180" s="203"/>
      <c r="C180" s="203"/>
      <c r="D180" s="203"/>
      <c r="E180" s="203" t="s">
        <v>266</v>
      </c>
      <c r="F180" s="203" t="s">
        <v>266</v>
      </c>
      <c r="G180" s="203" t="s">
        <v>266</v>
      </c>
      <c r="I180" s="203" t="s">
        <v>266</v>
      </c>
      <c r="J180" s="203" t="s">
        <v>266</v>
      </c>
      <c r="K180" s="203" t="s">
        <v>266</v>
      </c>
      <c r="L180" s="203" t="s">
        <v>266</v>
      </c>
      <c r="M180" s="203" t="s">
        <v>266</v>
      </c>
      <c r="N180" s="203" t="s">
        <v>266</v>
      </c>
      <c r="O180" s="203" t="s">
        <v>266</v>
      </c>
      <c r="Q180" s="203" t="s">
        <v>266</v>
      </c>
      <c r="R180" s="203" t="s">
        <v>266</v>
      </c>
      <c r="S180" s="203" t="s">
        <v>266</v>
      </c>
      <c r="T180" s="203" t="s">
        <v>266</v>
      </c>
      <c r="U180" s="203" t="s">
        <v>266</v>
      </c>
      <c r="V180" s="203" t="s">
        <v>266</v>
      </c>
      <c r="W180" s="203" t="s">
        <v>266</v>
      </c>
      <c r="Y180" s="203" t="s">
        <v>266</v>
      </c>
      <c r="Z180" s="203" t="s">
        <v>266</v>
      </c>
      <c r="AA180" s="203" t="s">
        <v>266</v>
      </c>
      <c r="AB180" s="203" t="s">
        <v>266</v>
      </c>
      <c r="AC180" s="203" t="s">
        <v>266</v>
      </c>
      <c r="AD180" s="203" t="s">
        <v>266</v>
      </c>
      <c r="AE180" s="203" t="s">
        <v>266</v>
      </c>
      <c r="AG180">
        <v>1</v>
      </c>
      <c r="AH180">
        <v>1</v>
      </c>
    </row>
    <row r="181" spans="1:34" x14ac:dyDescent="0.25">
      <c r="A181" s="203" t="s">
        <v>266</v>
      </c>
      <c r="B181" s="203"/>
      <c r="C181" s="203"/>
      <c r="D181" s="203"/>
      <c r="E181" s="203" t="s">
        <v>266</v>
      </c>
      <c r="F181" s="203" t="s">
        <v>266</v>
      </c>
      <c r="G181" s="203" t="s">
        <v>266</v>
      </c>
      <c r="I181" s="203" t="s">
        <v>266</v>
      </c>
      <c r="J181" s="203" t="s">
        <v>266</v>
      </c>
      <c r="K181" s="203" t="s">
        <v>266</v>
      </c>
      <c r="L181" s="203" t="s">
        <v>266</v>
      </c>
      <c r="M181" s="203" t="s">
        <v>266</v>
      </c>
      <c r="N181" s="203" t="s">
        <v>266</v>
      </c>
      <c r="O181" s="203" t="s">
        <v>266</v>
      </c>
      <c r="Q181" s="203" t="s">
        <v>266</v>
      </c>
      <c r="R181" s="203" t="s">
        <v>266</v>
      </c>
      <c r="S181" s="203" t="s">
        <v>266</v>
      </c>
      <c r="T181" s="203" t="s">
        <v>266</v>
      </c>
      <c r="U181" s="203" t="s">
        <v>266</v>
      </c>
      <c r="V181" s="203" t="s">
        <v>266</v>
      </c>
      <c r="W181" s="203" t="s">
        <v>266</v>
      </c>
      <c r="Y181" s="203" t="s">
        <v>266</v>
      </c>
      <c r="Z181" s="203" t="s">
        <v>266</v>
      </c>
      <c r="AA181" s="203" t="s">
        <v>266</v>
      </c>
      <c r="AB181" s="203" t="s">
        <v>266</v>
      </c>
      <c r="AC181" s="203" t="s">
        <v>266</v>
      </c>
      <c r="AD181" s="203" t="s">
        <v>266</v>
      </c>
      <c r="AE181" s="203" t="s">
        <v>266</v>
      </c>
      <c r="AG181">
        <v>1</v>
      </c>
      <c r="AH181">
        <v>1</v>
      </c>
    </row>
    <row r="182" spans="1:34" x14ac:dyDescent="0.25">
      <c r="A182" s="203" t="s">
        <v>266</v>
      </c>
      <c r="B182" s="203"/>
      <c r="C182" s="203"/>
      <c r="D182" s="203"/>
      <c r="E182" s="203" t="s">
        <v>266</v>
      </c>
      <c r="F182" s="203" t="s">
        <v>266</v>
      </c>
      <c r="G182" s="203" t="s">
        <v>266</v>
      </c>
      <c r="I182" s="203" t="s">
        <v>266</v>
      </c>
      <c r="J182" s="203" t="s">
        <v>266</v>
      </c>
      <c r="K182" s="203" t="s">
        <v>266</v>
      </c>
      <c r="L182" s="203" t="s">
        <v>266</v>
      </c>
      <c r="M182" s="203" t="s">
        <v>266</v>
      </c>
      <c r="N182" s="203" t="s">
        <v>266</v>
      </c>
      <c r="O182" s="203" t="s">
        <v>266</v>
      </c>
      <c r="Q182" s="203" t="s">
        <v>266</v>
      </c>
      <c r="R182" s="203" t="s">
        <v>266</v>
      </c>
      <c r="S182" s="203" t="s">
        <v>266</v>
      </c>
      <c r="T182" s="203" t="s">
        <v>266</v>
      </c>
      <c r="U182" s="203" t="s">
        <v>266</v>
      </c>
      <c r="V182" s="203" t="s">
        <v>266</v>
      </c>
      <c r="W182" s="203" t="s">
        <v>266</v>
      </c>
      <c r="Y182" s="203" t="s">
        <v>266</v>
      </c>
      <c r="Z182" s="203" t="s">
        <v>266</v>
      </c>
      <c r="AA182" s="203" t="s">
        <v>266</v>
      </c>
      <c r="AB182" s="203" t="s">
        <v>266</v>
      </c>
      <c r="AC182" s="203" t="s">
        <v>266</v>
      </c>
      <c r="AD182" s="203" t="s">
        <v>266</v>
      </c>
      <c r="AE182" s="203" t="s">
        <v>266</v>
      </c>
      <c r="AG182">
        <v>1</v>
      </c>
      <c r="AH182">
        <v>1</v>
      </c>
    </row>
    <row r="183" spans="1:34" x14ac:dyDescent="0.25">
      <c r="A183" s="203" t="s">
        <v>266</v>
      </c>
      <c r="B183" s="203"/>
      <c r="C183" s="203"/>
      <c r="D183" s="203"/>
      <c r="E183" s="203" t="s">
        <v>266</v>
      </c>
      <c r="F183" s="203" t="s">
        <v>266</v>
      </c>
      <c r="G183" s="203" t="s">
        <v>266</v>
      </c>
      <c r="I183" s="203" t="s">
        <v>266</v>
      </c>
      <c r="J183" s="203" t="s">
        <v>266</v>
      </c>
      <c r="K183" s="203" t="s">
        <v>266</v>
      </c>
      <c r="L183" s="203" t="s">
        <v>266</v>
      </c>
      <c r="M183" s="203" t="s">
        <v>266</v>
      </c>
      <c r="N183" s="203" t="s">
        <v>266</v>
      </c>
      <c r="O183" s="203" t="s">
        <v>266</v>
      </c>
      <c r="Q183" s="203" t="s">
        <v>266</v>
      </c>
      <c r="R183" s="203" t="s">
        <v>266</v>
      </c>
      <c r="S183" s="203" t="s">
        <v>266</v>
      </c>
      <c r="T183" s="203" t="s">
        <v>266</v>
      </c>
      <c r="U183" s="203" t="s">
        <v>266</v>
      </c>
      <c r="V183" s="203" t="s">
        <v>266</v>
      </c>
      <c r="W183" s="203" t="s">
        <v>266</v>
      </c>
      <c r="Y183" s="203" t="s">
        <v>266</v>
      </c>
      <c r="Z183" s="203" t="s">
        <v>266</v>
      </c>
      <c r="AA183" s="203" t="s">
        <v>266</v>
      </c>
      <c r="AB183" s="203" t="s">
        <v>266</v>
      </c>
      <c r="AC183" s="203" t="s">
        <v>266</v>
      </c>
      <c r="AD183" s="203" t="s">
        <v>266</v>
      </c>
      <c r="AE183" s="203" t="s">
        <v>266</v>
      </c>
      <c r="AG183">
        <v>1</v>
      </c>
      <c r="AH183">
        <v>1</v>
      </c>
    </row>
    <row r="184" spans="1:34" x14ac:dyDescent="0.25">
      <c r="A184" s="203" t="s">
        <v>266</v>
      </c>
      <c r="B184" s="203"/>
      <c r="C184" s="203"/>
      <c r="D184" s="203"/>
      <c r="E184" s="203" t="s">
        <v>266</v>
      </c>
      <c r="F184" s="203" t="s">
        <v>266</v>
      </c>
      <c r="G184" s="203" t="s">
        <v>266</v>
      </c>
      <c r="I184" s="203" t="s">
        <v>266</v>
      </c>
      <c r="J184" s="203" t="s">
        <v>266</v>
      </c>
      <c r="K184" s="203" t="s">
        <v>266</v>
      </c>
      <c r="L184" s="203" t="s">
        <v>266</v>
      </c>
      <c r="M184" s="203" t="s">
        <v>266</v>
      </c>
      <c r="N184" s="203" t="s">
        <v>266</v>
      </c>
      <c r="O184" s="203" t="s">
        <v>266</v>
      </c>
      <c r="Q184" s="203" t="s">
        <v>266</v>
      </c>
      <c r="R184" s="203" t="s">
        <v>266</v>
      </c>
      <c r="S184" s="203" t="s">
        <v>266</v>
      </c>
      <c r="T184" s="203" t="s">
        <v>266</v>
      </c>
      <c r="U184" s="203" t="s">
        <v>266</v>
      </c>
      <c r="V184" s="203" t="s">
        <v>266</v>
      </c>
      <c r="W184" s="203" t="s">
        <v>266</v>
      </c>
      <c r="Y184" s="203" t="s">
        <v>266</v>
      </c>
      <c r="Z184" s="203" t="s">
        <v>266</v>
      </c>
      <c r="AA184" s="203" t="s">
        <v>266</v>
      </c>
      <c r="AB184" s="203" t="s">
        <v>266</v>
      </c>
      <c r="AC184" s="203" t="s">
        <v>266</v>
      </c>
      <c r="AD184" s="203" t="s">
        <v>266</v>
      </c>
      <c r="AE184" s="203" t="s">
        <v>266</v>
      </c>
      <c r="AG184">
        <v>1</v>
      </c>
      <c r="AH184">
        <v>1</v>
      </c>
    </row>
    <row r="185" spans="1:34" x14ac:dyDescent="0.25">
      <c r="A185" s="203" t="s">
        <v>266</v>
      </c>
      <c r="B185" s="203"/>
      <c r="C185" s="203"/>
      <c r="D185" s="203"/>
      <c r="E185" s="203" t="s">
        <v>266</v>
      </c>
      <c r="F185" s="203" t="s">
        <v>266</v>
      </c>
      <c r="G185" s="203" t="s">
        <v>266</v>
      </c>
      <c r="I185" s="203" t="s">
        <v>266</v>
      </c>
      <c r="J185" s="203" t="s">
        <v>266</v>
      </c>
      <c r="K185" s="203" t="s">
        <v>266</v>
      </c>
      <c r="L185" s="203" t="s">
        <v>266</v>
      </c>
      <c r="M185" s="203" t="s">
        <v>266</v>
      </c>
      <c r="N185" s="203" t="s">
        <v>266</v>
      </c>
      <c r="O185" s="203" t="s">
        <v>266</v>
      </c>
      <c r="Q185" s="203" t="s">
        <v>266</v>
      </c>
      <c r="R185" s="203" t="s">
        <v>266</v>
      </c>
      <c r="S185" s="203" t="s">
        <v>266</v>
      </c>
      <c r="T185" s="203" t="s">
        <v>266</v>
      </c>
      <c r="U185" s="203" t="s">
        <v>266</v>
      </c>
      <c r="V185" s="203" t="s">
        <v>266</v>
      </c>
      <c r="W185" s="203" t="s">
        <v>266</v>
      </c>
      <c r="Y185" s="203" t="s">
        <v>266</v>
      </c>
      <c r="Z185" s="203" t="s">
        <v>266</v>
      </c>
      <c r="AA185" s="203" t="s">
        <v>266</v>
      </c>
      <c r="AB185" s="203" t="s">
        <v>266</v>
      </c>
      <c r="AC185" s="203" t="s">
        <v>266</v>
      </c>
      <c r="AD185" s="203" t="s">
        <v>266</v>
      </c>
      <c r="AE185" s="203" t="s">
        <v>266</v>
      </c>
      <c r="AG185">
        <v>1</v>
      </c>
      <c r="AH185">
        <v>1</v>
      </c>
    </row>
    <row r="186" spans="1:34" x14ac:dyDescent="0.25">
      <c r="A186" s="203" t="s">
        <v>266</v>
      </c>
      <c r="B186" s="203"/>
      <c r="C186" s="203"/>
      <c r="D186" s="203"/>
      <c r="E186" s="203" t="s">
        <v>266</v>
      </c>
      <c r="F186" s="203" t="s">
        <v>266</v>
      </c>
      <c r="G186" s="203" t="s">
        <v>266</v>
      </c>
      <c r="I186" s="203" t="s">
        <v>266</v>
      </c>
      <c r="J186" s="203" t="s">
        <v>266</v>
      </c>
      <c r="K186" s="203" t="s">
        <v>266</v>
      </c>
      <c r="L186" s="203" t="s">
        <v>266</v>
      </c>
      <c r="M186" s="203" t="s">
        <v>266</v>
      </c>
      <c r="N186" s="203" t="s">
        <v>266</v>
      </c>
      <c r="O186" s="203" t="s">
        <v>266</v>
      </c>
      <c r="Q186" s="203" t="s">
        <v>266</v>
      </c>
      <c r="R186" s="203" t="s">
        <v>266</v>
      </c>
      <c r="S186" s="203" t="s">
        <v>266</v>
      </c>
      <c r="T186" s="203" t="s">
        <v>266</v>
      </c>
      <c r="U186" s="203" t="s">
        <v>266</v>
      </c>
      <c r="V186" s="203" t="s">
        <v>266</v>
      </c>
      <c r="W186" s="203" t="s">
        <v>266</v>
      </c>
      <c r="Y186" s="203" t="s">
        <v>266</v>
      </c>
      <c r="Z186" s="203" t="s">
        <v>266</v>
      </c>
      <c r="AA186" s="203" t="s">
        <v>266</v>
      </c>
      <c r="AB186" s="203" t="s">
        <v>266</v>
      </c>
      <c r="AC186" s="203" t="s">
        <v>266</v>
      </c>
      <c r="AD186" s="203" t="s">
        <v>266</v>
      </c>
      <c r="AE186" s="203" t="s">
        <v>266</v>
      </c>
      <c r="AG186">
        <v>1</v>
      </c>
      <c r="AH186">
        <v>1</v>
      </c>
    </row>
    <row r="187" spans="1:34" x14ac:dyDescent="0.25">
      <c r="A187" s="203" t="s">
        <v>266</v>
      </c>
      <c r="B187" s="203"/>
      <c r="C187" s="203"/>
      <c r="D187" s="203"/>
      <c r="E187" s="203" t="s">
        <v>266</v>
      </c>
      <c r="F187" s="203" t="s">
        <v>266</v>
      </c>
      <c r="G187" s="203" t="s">
        <v>266</v>
      </c>
      <c r="I187" s="203" t="s">
        <v>266</v>
      </c>
      <c r="J187" s="203" t="s">
        <v>266</v>
      </c>
      <c r="K187" s="203" t="s">
        <v>266</v>
      </c>
      <c r="L187" s="203" t="s">
        <v>266</v>
      </c>
      <c r="M187" s="203" t="s">
        <v>266</v>
      </c>
      <c r="N187" s="203" t="s">
        <v>266</v>
      </c>
      <c r="O187" s="203" t="s">
        <v>266</v>
      </c>
      <c r="Q187" s="203" t="s">
        <v>266</v>
      </c>
      <c r="R187" s="203" t="s">
        <v>266</v>
      </c>
      <c r="S187" s="203" t="s">
        <v>266</v>
      </c>
      <c r="T187" s="203" t="s">
        <v>266</v>
      </c>
      <c r="U187" s="203" t="s">
        <v>266</v>
      </c>
      <c r="V187" s="203" t="s">
        <v>266</v>
      </c>
      <c r="W187" s="203" t="s">
        <v>266</v>
      </c>
      <c r="Y187" s="203" t="s">
        <v>266</v>
      </c>
      <c r="Z187" s="203" t="s">
        <v>266</v>
      </c>
      <c r="AA187" s="203" t="s">
        <v>266</v>
      </c>
      <c r="AB187" s="203" t="s">
        <v>266</v>
      </c>
      <c r="AC187" s="203" t="s">
        <v>266</v>
      </c>
      <c r="AD187" s="203" t="s">
        <v>266</v>
      </c>
      <c r="AE187" s="203" t="s">
        <v>266</v>
      </c>
      <c r="AG187">
        <v>1</v>
      </c>
      <c r="AH187">
        <v>1</v>
      </c>
    </row>
    <row r="188" spans="1:34" x14ac:dyDescent="0.25">
      <c r="A188" s="203" t="s">
        <v>266</v>
      </c>
      <c r="B188" s="203"/>
      <c r="C188" s="203"/>
      <c r="D188" s="203"/>
      <c r="E188" s="203" t="s">
        <v>266</v>
      </c>
      <c r="F188" s="203" t="s">
        <v>266</v>
      </c>
      <c r="G188" s="203" t="s">
        <v>266</v>
      </c>
      <c r="I188" s="203" t="s">
        <v>266</v>
      </c>
      <c r="J188" s="203" t="s">
        <v>266</v>
      </c>
      <c r="K188" s="203" t="s">
        <v>266</v>
      </c>
      <c r="L188" s="203" t="s">
        <v>266</v>
      </c>
      <c r="M188" s="203" t="s">
        <v>266</v>
      </c>
      <c r="N188" s="203" t="s">
        <v>266</v>
      </c>
      <c r="O188" s="203" t="s">
        <v>266</v>
      </c>
      <c r="Q188" s="203" t="s">
        <v>266</v>
      </c>
      <c r="R188" s="203" t="s">
        <v>266</v>
      </c>
      <c r="S188" s="203" t="s">
        <v>266</v>
      </c>
      <c r="T188" s="203" t="s">
        <v>266</v>
      </c>
      <c r="U188" s="203" t="s">
        <v>266</v>
      </c>
      <c r="V188" s="203" t="s">
        <v>266</v>
      </c>
      <c r="W188" s="203" t="s">
        <v>266</v>
      </c>
      <c r="Y188" s="203" t="s">
        <v>266</v>
      </c>
      <c r="Z188" s="203" t="s">
        <v>266</v>
      </c>
      <c r="AA188" s="203" t="s">
        <v>266</v>
      </c>
      <c r="AB188" s="203" t="s">
        <v>266</v>
      </c>
      <c r="AC188" s="203" t="s">
        <v>266</v>
      </c>
      <c r="AD188" s="203" t="s">
        <v>266</v>
      </c>
      <c r="AE188" s="203" t="s">
        <v>266</v>
      </c>
      <c r="AG188">
        <v>1</v>
      </c>
      <c r="AH188">
        <v>1</v>
      </c>
    </row>
    <row r="189" spans="1:34" x14ac:dyDescent="0.25">
      <c r="A189" s="203" t="s">
        <v>266</v>
      </c>
      <c r="B189" s="203"/>
      <c r="C189" s="203"/>
      <c r="D189" s="203"/>
      <c r="E189" s="203" t="s">
        <v>266</v>
      </c>
      <c r="F189" s="203" t="s">
        <v>266</v>
      </c>
      <c r="G189" s="203" t="s">
        <v>266</v>
      </c>
      <c r="I189" s="203" t="s">
        <v>266</v>
      </c>
      <c r="J189" s="203" t="s">
        <v>266</v>
      </c>
      <c r="K189" s="203" t="s">
        <v>266</v>
      </c>
      <c r="L189" s="203" t="s">
        <v>266</v>
      </c>
      <c r="M189" s="203" t="s">
        <v>266</v>
      </c>
      <c r="N189" s="203" t="s">
        <v>266</v>
      </c>
      <c r="O189" s="203" t="s">
        <v>266</v>
      </c>
      <c r="Q189" s="203" t="s">
        <v>266</v>
      </c>
      <c r="R189" s="203" t="s">
        <v>266</v>
      </c>
      <c r="S189" s="203" t="s">
        <v>266</v>
      </c>
      <c r="T189" s="203" t="s">
        <v>266</v>
      </c>
      <c r="U189" s="203" t="s">
        <v>266</v>
      </c>
      <c r="V189" s="203" t="s">
        <v>266</v>
      </c>
      <c r="W189" s="203" t="s">
        <v>266</v>
      </c>
      <c r="Y189" s="203" t="s">
        <v>266</v>
      </c>
      <c r="Z189" s="203" t="s">
        <v>266</v>
      </c>
      <c r="AA189" s="203" t="s">
        <v>266</v>
      </c>
      <c r="AB189" s="203" t="s">
        <v>266</v>
      </c>
      <c r="AC189" s="203" t="s">
        <v>266</v>
      </c>
      <c r="AD189" s="203" t="s">
        <v>266</v>
      </c>
      <c r="AE189" s="203" t="s">
        <v>266</v>
      </c>
      <c r="AG189">
        <v>1</v>
      </c>
      <c r="AH189">
        <v>1</v>
      </c>
    </row>
    <row r="190" spans="1:34" x14ac:dyDescent="0.25">
      <c r="A190" s="203" t="s">
        <v>266</v>
      </c>
      <c r="B190" s="203"/>
      <c r="C190" s="203"/>
      <c r="D190" s="203"/>
      <c r="E190" s="203" t="s">
        <v>266</v>
      </c>
      <c r="F190" s="203" t="s">
        <v>266</v>
      </c>
      <c r="G190" s="203" t="s">
        <v>266</v>
      </c>
      <c r="I190" s="203" t="s">
        <v>266</v>
      </c>
      <c r="J190" s="203" t="s">
        <v>266</v>
      </c>
      <c r="K190" s="203" t="s">
        <v>266</v>
      </c>
      <c r="L190" s="203" t="s">
        <v>266</v>
      </c>
      <c r="M190" s="203" t="s">
        <v>266</v>
      </c>
      <c r="N190" s="203" t="s">
        <v>266</v>
      </c>
      <c r="O190" s="203" t="s">
        <v>266</v>
      </c>
      <c r="Q190" s="203" t="s">
        <v>266</v>
      </c>
      <c r="R190" s="203" t="s">
        <v>266</v>
      </c>
      <c r="S190" s="203" t="s">
        <v>266</v>
      </c>
      <c r="T190" s="203" t="s">
        <v>266</v>
      </c>
      <c r="U190" s="203" t="s">
        <v>266</v>
      </c>
      <c r="V190" s="203" t="s">
        <v>266</v>
      </c>
      <c r="W190" s="203" t="s">
        <v>266</v>
      </c>
      <c r="Y190" s="203" t="s">
        <v>266</v>
      </c>
      <c r="Z190" s="203" t="s">
        <v>266</v>
      </c>
      <c r="AA190" s="203" t="s">
        <v>266</v>
      </c>
      <c r="AB190" s="203" t="s">
        <v>266</v>
      </c>
      <c r="AC190" s="203" t="s">
        <v>266</v>
      </c>
      <c r="AD190" s="203" t="s">
        <v>266</v>
      </c>
      <c r="AE190" s="203" t="s">
        <v>266</v>
      </c>
      <c r="AG190">
        <v>1</v>
      </c>
      <c r="AH190">
        <v>1</v>
      </c>
    </row>
    <row r="191" spans="1:34" x14ac:dyDescent="0.25">
      <c r="A191" s="203" t="s">
        <v>266</v>
      </c>
      <c r="B191" s="203"/>
      <c r="C191" s="203"/>
      <c r="D191" s="203"/>
      <c r="E191" s="203" t="s">
        <v>266</v>
      </c>
      <c r="F191" s="203" t="s">
        <v>266</v>
      </c>
      <c r="G191" s="203" t="s">
        <v>266</v>
      </c>
      <c r="I191" s="203" t="s">
        <v>266</v>
      </c>
      <c r="J191" s="203" t="s">
        <v>266</v>
      </c>
      <c r="K191" s="203" t="s">
        <v>266</v>
      </c>
      <c r="L191" s="203" t="s">
        <v>266</v>
      </c>
      <c r="M191" s="203" t="s">
        <v>266</v>
      </c>
      <c r="N191" s="203" t="s">
        <v>266</v>
      </c>
      <c r="O191" s="203" t="s">
        <v>266</v>
      </c>
      <c r="Q191" s="203" t="s">
        <v>266</v>
      </c>
      <c r="R191" s="203" t="s">
        <v>266</v>
      </c>
      <c r="S191" s="203" t="s">
        <v>266</v>
      </c>
      <c r="T191" s="203" t="s">
        <v>266</v>
      </c>
      <c r="U191" s="203" t="s">
        <v>266</v>
      </c>
      <c r="V191" s="203" t="s">
        <v>266</v>
      </c>
      <c r="W191" s="203" t="s">
        <v>266</v>
      </c>
      <c r="Y191" s="203" t="s">
        <v>266</v>
      </c>
      <c r="Z191" s="203" t="s">
        <v>266</v>
      </c>
      <c r="AA191" s="203" t="s">
        <v>266</v>
      </c>
      <c r="AB191" s="203" t="s">
        <v>266</v>
      </c>
      <c r="AC191" s="203" t="s">
        <v>266</v>
      </c>
      <c r="AD191" s="203" t="s">
        <v>266</v>
      </c>
      <c r="AE191" s="203" t="s">
        <v>266</v>
      </c>
      <c r="AG191">
        <v>1</v>
      </c>
      <c r="AH191">
        <v>1</v>
      </c>
    </row>
    <row r="192" spans="1:34" x14ac:dyDescent="0.25">
      <c r="A192" s="203" t="s">
        <v>266</v>
      </c>
      <c r="B192" s="203"/>
      <c r="C192" s="203"/>
      <c r="D192" s="203"/>
      <c r="E192" s="203" t="s">
        <v>266</v>
      </c>
      <c r="F192" s="203" t="s">
        <v>266</v>
      </c>
      <c r="G192" s="203" t="s">
        <v>266</v>
      </c>
      <c r="I192" s="203" t="s">
        <v>266</v>
      </c>
      <c r="J192" s="203" t="s">
        <v>266</v>
      </c>
      <c r="K192" s="203" t="s">
        <v>266</v>
      </c>
      <c r="L192" s="203" t="s">
        <v>266</v>
      </c>
      <c r="M192" s="203" t="s">
        <v>266</v>
      </c>
      <c r="N192" s="203" t="s">
        <v>266</v>
      </c>
      <c r="O192" s="203" t="s">
        <v>266</v>
      </c>
      <c r="Q192" s="203" t="s">
        <v>266</v>
      </c>
      <c r="R192" s="203" t="s">
        <v>266</v>
      </c>
      <c r="S192" s="203" t="s">
        <v>266</v>
      </c>
      <c r="T192" s="203" t="s">
        <v>266</v>
      </c>
      <c r="U192" s="203" t="s">
        <v>266</v>
      </c>
      <c r="V192" s="203" t="s">
        <v>266</v>
      </c>
      <c r="W192" s="203" t="s">
        <v>266</v>
      </c>
      <c r="Y192" s="203" t="s">
        <v>266</v>
      </c>
      <c r="Z192" s="203" t="s">
        <v>266</v>
      </c>
      <c r="AA192" s="203" t="s">
        <v>266</v>
      </c>
      <c r="AB192" s="203" t="s">
        <v>266</v>
      </c>
      <c r="AC192" s="203" t="s">
        <v>266</v>
      </c>
      <c r="AD192" s="203" t="s">
        <v>266</v>
      </c>
      <c r="AE192" s="203" t="s">
        <v>266</v>
      </c>
      <c r="AG192">
        <v>1</v>
      </c>
      <c r="AH192">
        <v>1</v>
      </c>
    </row>
    <row r="193" spans="1:34" x14ac:dyDescent="0.25">
      <c r="A193" s="203" t="s">
        <v>266</v>
      </c>
      <c r="B193" s="203"/>
      <c r="C193" s="203"/>
      <c r="D193" s="203"/>
      <c r="E193" s="203" t="s">
        <v>266</v>
      </c>
      <c r="F193" s="203" t="s">
        <v>266</v>
      </c>
      <c r="G193" s="203" t="s">
        <v>266</v>
      </c>
      <c r="I193" s="203" t="s">
        <v>266</v>
      </c>
      <c r="J193" s="203" t="s">
        <v>266</v>
      </c>
      <c r="K193" s="203" t="s">
        <v>266</v>
      </c>
      <c r="L193" s="203" t="s">
        <v>266</v>
      </c>
      <c r="M193" s="203" t="s">
        <v>266</v>
      </c>
      <c r="N193" s="203" t="s">
        <v>266</v>
      </c>
      <c r="O193" s="203" t="s">
        <v>266</v>
      </c>
      <c r="Q193" s="203" t="s">
        <v>266</v>
      </c>
      <c r="R193" s="203" t="s">
        <v>266</v>
      </c>
      <c r="S193" s="203" t="s">
        <v>266</v>
      </c>
      <c r="T193" s="203" t="s">
        <v>266</v>
      </c>
      <c r="U193" s="203" t="s">
        <v>266</v>
      </c>
      <c r="V193" s="203" t="s">
        <v>266</v>
      </c>
      <c r="W193" s="203" t="s">
        <v>266</v>
      </c>
      <c r="Y193" s="203" t="s">
        <v>266</v>
      </c>
      <c r="Z193" s="203" t="s">
        <v>266</v>
      </c>
      <c r="AA193" s="203" t="s">
        <v>266</v>
      </c>
      <c r="AB193" s="203" t="s">
        <v>266</v>
      </c>
      <c r="AC193" s="203" t="s">
        <v>266</v>
      </c>
      <c r="AD193" s="203" t="s">
        <v>266</v>
      </c>
      <c r="AE193" s="203" t="s">
        <v>266</v>
      </c>
      <c r="AG193">
        <v>1</v>
      </c>
      <c r="AH193">
        <v>1</v>
      </c>
    </row>
    <row r="194" spans="1:34" x14ac:dyDescent="0.25">
      <c r="A194" s="203" t="s">
        <v>266</v>
      </c>
      <c r="B194" s="203"/>
      <c r="C194" s="203"/>
      <c r="D194" s="203"/>
      <c r="E194" s="203" t="s">
        <v>266</v>
      </c>
      <c r="F194" s="203" t="s">
        <v>266</v>
      </c>
      <c r="G194" s="203" t="s">
        <v>266</v>
      </c>
      <c r="I194" s="203" t="s">
        <v>266</v>
      </c>
      <c r="J194" s="203" t="s">
        <v>266</v>
      </c>
      <c r="K194" s="203" t="s">
        <v>266</v>
      </c>
      <c r="L194" s="203" t="s">
        <v>266</v>
      </c>
      <c r="M194" s="203" t="s">
        <v>266</v>
      </c>
      <c r="N194" s="203" t="s">
        <v>266</v>
      </c>
      <c r="O194" s="203" t="s">
        <v>266</v>
      </c>
      <c r="Q194" s="203" t="s">
        <v>266</v>
      </c>
      <c r="R194" s="203" t="s">
        <v>266</v>
      </c>
      <c r="S194" s="203" t="s">
        <v>266</v>
      </c>
      <c r="T194" s="203" t="s">
        <v>266</v>
      </c>
      <c r="U194" s="203" t="s">
        <v>266</v>
      </c>
      <c r="V194" s="203" t="s">
        <v>266</v>
      </c>
      <c r="W194" s="203" t="s">
        <v>266</v>
      </c>
      <c r="Y194" s="203" t="s">
        <v>266</v>
      </c>
      <c r="Z194" s="203" t="s">
        <v>266</v>
      </c>
      <c r="AA194" s="203" t="s">
        <v>266</v>
      </c>
      <c r="AB194" s="203" t="s">
        <v>266</v>
      </c>
      <c r="AC194" s="203" t="s">
        <v>266</v>
      </c>
      <c r="AD194" s="203" t="s">
        <v>266</v>
      </c>
      <c r="AE194" s="203" t="s">
        <v>266</v>
      </c>
      <c r="AG194">
        <v>1</v>
      </c>
      <c r="AH194">
        <v>1</v>
      </c>
    </row>
    <row r="195" spans="1:34" x14ac:dyDescent="0.25">
      <c r="A195" s="203" t="s">
        <v>266</v>
      </c>
      <c r="B195" s="203"/>
      <c r="C195" s="203"/>
      <c r="D195" s="203"/>
      <c r="E195" s="203" t="s">
        <v>266</v>
      </c>
      <c r="F195" s="203" t="s">
        <v>266</v>
      </c>
      <c r="G195" s="203" t="s">
        <v>266</v>
      </c>
      <c r="I195" s="203" t="s">
        <v>266</v>
      </c>
      <c r="J195" s="203" t="s">
        <v>266</v>
      </c>
      <c r="K195" s="203" t="s">
        <v>266</v>
      </c>
      <c r="L195" s="203" t="s">
        <v>266</v>
      </c>
      <c r="M195" s="203" t="s">
        <v>266</v>
      </c>
      <c r="N195" s="203" t="s">
        <v>266</v>
      </c>
      <c r="O195" s="203" t="s">
        <v>266</v>
      </c>
      <c r="Q195" s="203" t="s">
        <v>266</v>
      </c>
      <c r="R195" s="203" t="s">
        <v>266</v>
      </c>
      <c r="S195" s="203" t="s">
        <v>266</v>
      </c>
      <c r="T195" s="203" t="s">
        <v>266</v>
      </c>
      <c r="U195" s="203" t="s">
        <v>266</v>
      </c>
      <c r="V195" s="203" t="s">
        <v>266</v>
      </c>
      <c r="W195" s="203" t="s">
        <v>266</v>
      </c>
      <c r="Y195" s="203" t="s">
        <v>266</v>
      </c>
      <c r="Z195" s="203" t="s">
        <v>266</v>
      </c>
      <c r="AA195" s="203" t="s">
        <v>266</v>
      </c>
      <c r="AB195" s="203" t="s">
        <v>266</v>
      </c>
      <c r="AC195" s="203" t="s">
        <v>266</v>
      </c>
      <c r="AD195" s="203" t="s">
        <v>266</v>
      </c>
      <c r="AE195" s="203" t="s">
        <v>266</v>
      </c>
      <c r="AG195">
        <v>1</v>
      </c>
      <c r="AH195">
        <v>1</v>
      </c>
    </row>
    <row r="196" spans="1:34" x14ac:dyDescent="0.25">
      <c r="A196" s="203" t="s">
        <v>266</v>
      </c>
      <c r="B196" s="203"/>
      <c r="C196" s="203"/>
      <c r="D196" s="203"/>
      <c r="E196" s="203" t="s">
        <v>266</v>
      </c>
      <c r="F196" s="203" t="s">
        <v>266</v>
      </c>
      <c r="G196" s="203" t="s">
        <v>266</v>
      </c>
      <c r="I196" s="203" t="s">
        <v>266</v>
      </c>
      <c r="J196" s="203" t="s">
        <v>266</v>
      </c>
      <c r="K196" s="203" t="s">
        <v>266</v>
      </c>
      <c r="L196" s="203" t="s">
        <v>266</v>
      </c>
      <c r="M196" s="203" t="s">
        <v>266</v>
      </c>
      <c r="N196" s="203" t="s">
        <v>266</v>
      </c>
      <c r="O196" s="203" t="s">
        <v>266</v>
      </c>
      <c r="Q196" s="203" t="s">
        <v>266</v>
      </c>
      <c r="R196" s="203" t="s">
        <v>266</v>
      </c>
      <c r="S196" s="203" t="s">
        <v>266</v>
      </c>
      <c r="T196" s="203" t="s">
        <v>266</v>
      </c>
      <c r="U196" s="203" t="s">
        <v>266</v>
      </c>
      <c r="V196" s="203" t="s">
        <v>266</v>
      </c>
      <c r="W196" s="203" t="s">
        <v>266</v>
      </c>
      <c r="Y196" s="203" t="s">
        <v>266</v>
      </c>
      <c r="Z196" s="203" t="s">
        <v>266</v>
      </c>
      <c r="AA196" s="203" t="s">
        <v>266</v>
      </c>
      <c r="AB196" s="203" t="s">
        <v>266</v>
      </c>
      <c r="AC196" s="203" t="s">
        <v>266</v>
      </c>
      <c r="AD196" s="203" t="s">
        <v>266</v>
      </c>
      <c r="AE196" s="203" t="s">
        <v>266</v>
      </c>
      <c r="AG196">
        <v>1</v>
      </c>
      <c r="AH196">
        <v>1</v>
      </c>
    </row>
    <row r="197" spans="1:34" x14ac:dyDescent="0.25">
      <c r="A197" s="203" t="s">
        <v>266</v>
      </c>
      <c r="B197" s="203"/>
      <c r="C197" s="203"/>
      <c r="D197" s="203"/>
      <c r="E197" s="203" t="s">
        <v>266</v>
      </c>
      <c r="F197" s="203" t="s">
        <v>266</v>
      </c>
      <c r="G197" s="203" t="s">
        <v>266</v>
      </c>
      <c r="I197" s="203" t="s">
        <v>266</v>
      </c>
      <c r="J197" s="203" t="s">
        <v>266</v>
      </c>
      <c r="K197" s="203" t="s">
        <v>266</v>
      </c>
      <c r="L197" s="203" t="s">
        <v>266</v>
      </c>
      <c r="M197" s="203" t="s">
        <v>266</v>
      </c>
      <c r="N197" s="203" t="s">
        <v>266</v>
      </c>
      <c r="O197" s="203" t="s">
        <v>266</v>
      </c>
      <c r="Q197" s="203" t="s">
        <v>266</v>
      </c>
      <c r="R197" s="203" t="s">
        <v>266</v>
      </c>
      <c r="S197" s="203" t="s">
        <v>266</v>
      </c>
      <c r="T197" s="203" t="s">
        <v>266</v>
      </c>
      <c r="U197" s="203" t="s">
        <v>266</v>
      </c>
      <c r="V197" s="203" t="s">
        <v>266</v>
      </c>
      <c r="W197" s="203" t="s">
        <v>266</v>
      </c>
      <c r="Y197" s="203" t="s">
        <v>266</v>
      </c>
      <c r="Z197" s="203" t="s">
        <v>266</v>
      </c>
      <c r="AA197" s="203" t="s">
        <v>266</v>
      </c>
      <c r="AB197" s="203" t="s">
        <v>266</v>
      </c>
      <c r="AC197" s="203" t="s">
        <v>266</v>
      </c>
      <c r="AD197" s="203" t="s">
        <v>266</v>
      </c>
      <c r="AE197" s="203" t="s">
        <v>266</v>
      </c>
      <c r="AG197">
        <v>1</v>
      </c>
      <c r="AH197">
        <v>1</v>
      </c>
    </row>
    <row r="198" spans="1:34" x14ac:dyDescent="0.25">
      <c r="A198" s="203" t="s">
        <v>266</v>
      </c>
      <c r="B198" s="203"/>
      <c r="C198" s="203"/>
      <c r="D198" s="203"/>
      <c r="E198" s="203" t="s">
        <v>266</v>
      </c>
      <c r="F198" s="203" t="s">
        <v>266</v>
      </c>
      <c r="G198" s="203" t="s">
        <v>266</v>
      </c>
      <c r="I198" s="203" t="s">
        <v>266</v>
      </c>
      <c r="J198" s="203" t="s">
        <v>266</v>
      </c>
      <c r="K198" s="203" t="s">
        <v>266</v>
      </c>
      <c r="L198" s="203" t="s">
        <v>266</v>
      </c>
      <c r="M198" s="203" t="s">
        <v>266</v>
      </c>
      <c r="N198" s="203" t="s">
        <v>266</v>
      </c>
      <c r="O198" s="203" t="s">
        <v>266</v>
      </c>
      <c r="Q198" s="203" t="s">
        <v>266</v>
      </c>
      <c r="R198" s="203" t="s">
        <v>266</v>
      </c>
      <c r="S198" s="203" t="s">
        <v>266</v>
      </c>
      <c r="T198" s="203" t="s">
        <v>266</v>
      </c>
      <c r="U198" s="203" t="s">
        <v>266</v>
      </c>
      <c r="V198" s="203" t="s">
        <v>266</v>
      </c>
      <c r="W198" s="203" t="s">
        <v>266</v>
      </c>
      <c r="Y198" s="203" t="s">
        <v>266</v>
      </c>
      <c r="Z198" s="203" t="s">
        <v>266</v>
      </c>
      <c r="AA198" s="203" t="s">
        <v>266</v>
      </c>
      <c r="AB198" s="203" t="s">
        <v>266</v>
      </c>
      <c r="AC198" s="203" t="s">
        <v>266</v>
      </c>
      <c r="AD198" s="203" t="s">
        <v>266</v>
      </c>
      <c r="AE198" s="203" t="s">
        <v>266</v>
      </c>
      <c r="AG198">
        <v>1</v>
      </c>
      <c r="AH198">
        <v>1</v>
      </c>
    </row>
    <row r="199" spans="1:34" x14ac:dyDescent="0.25">
      <c r="A199" s="203" t="s">
        <v>266</v>
      </c>
      <c r="B199" s="203"/>
      <c r="C199" s="203"/>
      <c r="D199" s="203"/>
      <c r="E199" s="203" t="s">
        <v>266</v>
      </c>
      <c r="F199" s="203" t="s">
        <v>266</v>
      </c>
      <c r="G199" s="203" t="s">
        <v>266</v>
      </c>
      <c r="I199" s="203" t="s">
        <v>266</v>
      </c>
      <c r="J199" s="203" t="s">
        <v>266</v>
      </c>
      <c r="K199" s="203" t="s">
        <v>266</v>
      </c>
      <c r="L199" s="203" t="s">
        <v>266</v>
      </c>
      <c r="M199" s="203" t="s">
        <v>266</v>
      </c>
      <c r="N199" s="203" t="s">
        <v>266</v>
      </c>
      <c r="O199" s="203" t="s">
        <v>266</v>
      </c>
      <c r="Q199" s="203" t="s">
        <v>266</v>
      </c>
      <c r="R199" s="203" t="s">
        <v>266</v>
      </c>
      <c r="S199" s="203" t="s">
        <v>266</v>
      </c>
      <c r="T199" s="203" t="s">
        <v>266</v>
      </c>
      <c r="U199" s="203" t="s">
        <v>266</v>
      </c>
      <c r="V199" s="203" t="s">
        <v>266</v>
      </c>
      <c r="W199" s="203" t="s">
        <v>266</v>
      </c>
      <c r="Y199" s="203" t="s">
        <v>266</v>
      </c>
      <c r="Z199" s="203" t="s">
        <v>266</v>
      </c>
      <c r="AA199" s="203" t="s">
        <v>266</v>
      </c>
      <c r="AB199" s="203" t="s">
        <v>266</v>
      </c>
      <c r="AC199" s="203" t="s">
        <v>266</v>
      </c>
      <c r="AD199" s="203" t="s">
        <v>266</v>
      </c>
      <c r="AE199" s="203" t="s">
        <v>266</v>
      </c>
      <c r="AG199">
        <v>1</v>
      </c>
      <c r="AH199">
        <v>1</v>
      </c>
    </row>
    <row r="200" spans="1:34" x14ac:dyDescent="0.25">
      <c r="A200" s="203" t="s">
        <v>266</v>
      </c>
      <c r="B200" s="203"/>
      <c r="C200" s="203"/>
      <c r="D200" s="203"/>
      <c r="E200" s="203" t="s">
        <v>266</v>
      </c>
      <c r="F200" s="203" t="s">
        <v>266</v>
      </c>
      <c r="G200" s="203" t="s">
        <v>266</v>
      </c>
      <c r="I200" s="203" t="s">
        <v>266</v>
      </c>
      <c r="J200" s="203" t="s">
        <v>266</v>
      </c>
      <c r="K200" s="203" t="s">
        <v>266</v>
      </c>
      <c r="L200" s="203" t="s">
        <v>266</v>
      </c>
      <c r="M200" s="203" t="s">
        <v>266</v>
      </c>
      <c r="N200" s="203" t="s">
        <v>266</v>
      </c>
      <c r="O200" s="203" t="s">
        <v>266</v>
      </c>
      <c r="Q200" s="203" t="s">
        <v>266</v>
      </c>
      <c r="R200" s="203" t="s">
        <v>266</v>
      </c>
      <c r="S200" s="203" t="s">
        <v>266</v>
      </c>
      <c r="T200" s="203" t="s">
        <v>266</v>
      </c>
      <c r="U200" s="203" t="s">
        <v>266</v>
      </c>
      <c r="V200" s="203" t="s">
        <v>266</v>
      </c>
      <c r="W200" s="203" t="s">
        <v>266</v>
      </c>
      <c r="Y200" s="203" t="s">
        <v>266</v>
      </c>
      <c r="Z200" s="203" t="s">
        <v>266</v>
      </c>
      <c r="AA200" s="203" t="s">
        <v>266</v>
      </c>
      <c r="AB200" s="203" t="s">
        <v>266</v>
      </c>
      <c r="AC200" s="203" t="s">
        <v>266</v>
      </c>
      <c r="AD200" s="203" t="s">
        <v>266</v>
      </c>
      <c r="AE200" s="203" t="s">
        <v>266</v>
      </c>
      <c r="AG200">
        <v>1</v>
      </c>
      <c r="AH200">
        <v>1</v>
      </c>
    </row>
    <row r="201" spans="1:34" x14ac:dyDescent="0.25">
      <c r="A201" s="203" t="s">
        <v>266</v>
      </c>
      <c r="B201" s="203"/>
      <c r="C201" s="203"/>
      <c r="D201" s="203"/>
      <c r="E201" s="203" t="s">
        <v>266</v>
      </c>
      <c r="F201" s="203" t="s">
        <v>266</v>
      </c>
      <c r="G201" s="203" t="s">
        <v>266</v>
      </c>
      <c r="I201" s="203" t="s">
        <v>266</v>
      </c>
      <c r="J201" s="203" t="s">
        <v>266</v>
      </c>
      <c r="K201" s="203" t="s">
        <v>266</v>
      </c>
      <c r="L201" s="203" t="s">
        <v>266</v>
      </c>
      <c r="M201" s="203" t="s">
        <v>266</v>
      </c>
      <c r="N201" s="203" t="s">
        <v>266</v>
      </c>
      <c r="O201" s="203" t="s">
        <v>266</v>
      </c>
      <c r="Q201" s="203" t="s">
        <v>266</v>
      </c>
      <c r="R201" s="203" t="s">
        <v>266</v>
      </c>
      <c r="S201" s="203" t="s">
        <v>266</v>
      </c>
      <c r="T201" s="203" t="s">
        <v>266</v>
      </c>
      <c r="U201" s="203" t="s">
        <v>266</v>
      </c>
      <c r="V201" s="203" t="s">
        <v>266</v>
      </c>
      <c r="W201" s="203" t="s">
        <v>266</v>
      </c>
      <c r="Y201" s="203" t="s">
        <v>266</v>
      </c>
      <c r="Z201" s="203" t="s">
        <v>266</v>
      </c>
      <c r="AA201" s="203" t="s">
        <v>266</v>
      </c>
      <c r="AB201" s="203" t="s">
        <v>266</v>
      </c>
      <c r="AC201" s="203" t="s">
        <v>266</v>
      </c>
      <c r="AD201" s="203" t="s">
        <v>266</v>
      </c>
      <c r="AE201" s="203" t="s">
        <v>266</v>
      </c>
      <c r="AG201">
        <v>1</v>
      </c>
      <c r="AH201">
        <v>1</v>
      </c>
    </row>
    <row r="202" spans="1:34" x14ac:dyDescent="0.25">
      <c r="A202" s="203" t="s">
        <v>266</v>
      </c>
      <c r="B202" s="203"/>
      <c r="C202" s="203"/>
      <c r="D202" s="203"/>
      <c r="E202" s="203" t="s">
        <v>266</v>
      </c>
      <c r="F202" s="203" t="s">
        <v>266</v>
      </c>
      <c r="G202" s="203" t="s">
        <v>266</v>
      </c>
      <c r="I202" s="203" t="s">
        <v>266</v>
      </c>
      <c r="J202" s="203" t="s">
        <v>266</v>
      </c>
      <c r="K202" s="203" t="s">
        <v>266</v>
      </c>
      <c r="L202" s="203" t="s">
        <v>266</v>
      </c>
      <c r="M202" s="203" t="s">
        <v>266</v>
      </c>
      <c r="N202" s="203" t="s">
        <v>266</v>
      </c>
      <c r="O202" s="203" t="s">
        <v>266</v>
      </c>
      <c r="Q202" s="203" t="s">
        <v>266</v>
      </c>
      <c r="R202" s="203" t="s">
        <v>266</v>
      </c>
      <c r="S202" s="203" t="s">
        <v>266</v>
      </c>
      <c r="T202" s="203" t="s">
        <v>266</v>
      </c>
      <c r="U202" s="203" t="s">
        <v>266</v>
      </c>
      <c r="V202" s="203" t="s">
        <v>266</v>
      </c>
      <c r="W202" s="203" t="s">
        <v>266</v>
      </c>
      <c r="Y202" s="203" t="s">
        <v>266</v>
      </c>
      <c r="Z202" s="203" t="s">
        <v>266</v>
      </c>
      <c r="AA202" s="203" t="s">
        <v>266</v>
      </c>
      <c r="AB202" s="203" t="s">
        <v>266</v>
      </c>
      <c r="AC202" s="203" t="s">
        <v>266</v>
      </c>
      <c r="AD202" s="203" t="s">
        <v>266</v>
      </c>
      <c r="AE202" s="203" t="s">
        <v>266</v>
      </c>
      <c r="AG202">
        <v>1</v>
      </c>
      <c r="AH202">
        <v>1</v>
      </c>
    </row>
    <row r="203" spans="1:34" x14ac:dyDescent="0.25">
      <c r="A203" s="203" t="s">
        <v>266</v>
      </c>
      <c r="B203" s="203"/>
      <c r="C203" s="203"/>
      <c r="D203" s="203"/>
      <c r="E203" s="203" t="s">
        <v>266</v>
      </c>
      <c r="F203" s="203" t="s">
        <v>266</v>
      </c>
      <c r="G203" s="203" t="s">
        <v>266</v>
      </c>
      <c r="I203" s="203" t="s">
        <v>266</v>
      </c>
      <c r="J203" s="203" t="s">
        <v>266</v>
      </c>
      <c r="K203" s="203" t="s">
        <v>266</v>
      </c>
      <c r="L203" s="203" t="s">
        <v>266</v>
      </c>
      <c r="M203" s="203" t="s">
        <v>266</v>
      </c>
      <c r="N203" s="203" t="s">
        <v>266</v>
      </c>
      <c r="O203" s="203" t="s">
        <v>266</v>
      </c>
      <c r="Q203" s="203" t="s">
        <v>266</v>
      </c>
      <c r="R203" s="203" t="s">
        <v>266</v>
      </c>
      <c r="S203" s="203" t="s">
        <v>266</v>
      </c>
      <c r="T203" s="203" t="s">
        <v>266</v>
      </c>
      <c r="U203" s="203" t="s">
        <v>266</v>
      </c>
      <c r="V203" s="203" t="s">
        <v>266</v>
      </c>
      <c r="W203" s="203" t="s">
        <v>266</v>
      </c>
      <c r="Y203" s="203" t="s">
        <v>266</v>
      </c>
      <c r="Z203" s="203" t="s">
        <v>266</v>
      </c>
      <c r="AA203" s="203" t="s">
        <v>266</v>
      </c>
      <c r="AB203" s="203" t="s">
        <v>266</v>
      </c>
      <c r="AC203" s="203" t="s">
        <v>266</v>
      </c>
      <c r="AD203" s="203" t="s">
        <v>266</v>
      </c>
      <c r="AE203" s="203" t="s">
        <v>266</v>
      </c>
      <c r="AG203">
        <v>1</v>
      </c>
      <c r="AH203">
        <v>1</v>
      </c>
    </row>
    <row r="204" spans="1:34" x14ac:dyDescent="0.25">
      <c r="A204" s="203" t="s">
        <v>266</v>
      </c>
      <c r="B204" s="203"/>
      <c r="C204" s="203"/>
      <c r="D204" s="203"/>
      <c r="E204" s="203" t="s">
        <v>266</v>
      </c>
      <c r="F204" s="203" t="s">
        <v>266</v>
      </c>
      <c r="G204" s="203" t="s">
        <v>266</v>
      </c>
      <c r="I204" s="203" t="s">
        <v>266</v>
      </c>
      <c r="J204" s="203" t="s">
        <v>266</v>
      </c>
      <c r="K204" s="203" t="s">
        <v>266</v>
      </c>
      <c r="L204" s="203" t="s">
        <v>266</v>
      </c>
      <c r="M204" s="203" t="s">
        <v>266</v>
      </c>
      <c r="N204" s="203" t="s">
        <v>266</v>
      </c>
      <c r="O204" s="203" t="s">
        <v>266</v>
      </c>
      <c r="Q204" s="203" t="s">
        <v>266</v>
      </c>
      <c r="R204" s="203" t="s">
        <v>266</v>
      </c>
      <c r="S204" s="203" t="s">
        <v>266</v>
      </c>
      <c r="T204" s="203" t="s">
        <v>266</v>
      </c>
      <c r="U204" s="203" t="s">
        <v>266</v>
      </c>
      <c r="V204" s="203" t="s">
        <v>266</v>
      </c>
      <c r="W204" s="203" t="s">
        <v>266</v>
      </c>
      <c r="Y204" s="203" t="s">
        <v>266</v>
      </c>
      <c r="Z204" s="203" t="s">
        <v>266</v>
      </c>
      <c r="AA204" s="203" t="s">
        <v>266</v>
      </c>
      <c r="AB204" s="203" t="s">
        <v>266</v>
      </c>
      <c r="AC204" s="203" t="s">
        <v>266</v>
      </c>
      <c r="AD204" s="203" t="s">
        <v>266</v>
      </c>
      <c r="AE204" s="203" t="s">
        <v>266</v>
      </c>
      <c r="AG204">
        <v>1</v>
      </c>
      <c r="AH204">
        <v>1</v>
      </c>
    </row>
    <row r="205" spans="1:34" x14ac:dyDescent="0.25">
      <c r="A205" s="203" t="s">
        <v>266</v>
      </c>
      <c r="B205" s="203"/>
      <c r="C205" s="203"/>
      <c r="D205" s="203"/>
      <c r="E205" s="203" t="s">
        <v>266</v>
      </c>
      <c r="F205" s="203" t="s">
        <v>266</v>
      </c>
      <c r="G205" s="203" t="s">
        <v>266</v>
      </c>
      <c r="I205" s="203" t="s">
        <v>266</v>
      </c>
      <c r="J205" s="203" t="s">
        <v>266</v>
      </c>
      <c r="K205" s="203" t="s">
        <v>266</v>
      </c>
      <c r="L205" s="203" t="s">
        <v>266</v>
      </c>
      <c r="M205" s="203" t="s">
        <v>266</v>
      </c>
      <c r="N205" s="203" t="s">
        <v>266</v>
      </c>
      <c r="O205" s="203" t="s">
        <v>266</v>
      </c>
      <c r="Q205" s="203" t="s">
        <v>266</v>
      </c>
      <c r="R205" s="203" t="s">
        <v>266</v>
      </c>
      <c r="S205" s="203" t="s">
        <v>266</v>
      </c>
      <c r="T205" s="203" t="s">
        <v>266</v>
      </c>
      <c r="U205" s="203" t="s">
        <v>266</v>
      </c>
      <c r="V205" s="203" t="s">
        <v>266</v>
      </c>
      <c r="W205" s="203" t="s">
        <v>266</v>
      </c>
      <c r="Y205" s="203" t="s">
        <v>266</v>
      </c>
      <c r="Z205" s="203" t="s">
        <v>266</v>
      </c>
      <c r="AA205" s="203" t="s">
        <v>266</v>
      </c>
      <c r="AB205" s="203" t="s">
        <v>266</v>
      </c>
      <c r="AC205" s="203" t="s">
        <v>266</v>
      </c>
      <c r="AD205" s="203" t="s">
        <v>266</v>
      </c>
      <c r="AE205" s="203" t="s">
        <v>266</v>
      </c>
      <c r="AG205">
        <v>1</v>
      </c>
      <c r="AH205">
        <v>1</v>
      </c>
    </row>
    <row r="206" spans="1:34" x14ac:dyDescent="0.25">
      <c r="A206" s="203" t="s">
        <v>266</v>
      </c>
      <c r="B206" s="203"/>
      <c r="C206" s="203"/>
      <c r="D206" s="203"/>
      <c r="E206" s="203" t="s">
        <v>266</v>
      </c>
      <c r="F206" s="203" t="s">
        <v>266</v>
      </c>
      <c r="G206" s="203" t="s">
        <v>266</v>
      </c>
      <c r="I206" s="203" t="s">
        <v>266</v>
      </c>
      <c r="J206" s="203" t="s">
        <v>266</v>
      </c>
      <c r="K206" s="203" t="s">
        <v>266</v>
      </c>
      <c r="L206" s="203" t="s">
        <v>266</v>
      </c>
      <c r="M206" s="203" t="s">
        <v>266</v>
      </c>
      <c r="N206" s="203" t="s">
        <v>266</v>
      </c>
      <c r="O206" s="203" t="s">
        <v>266</v>
      </c>
      <c r="Q206" s="203" t="s">
        <v>266</v>
      </c>
      <c r="R206" s="203" t="s">
        <v>266</v>
      </c>
      <c r="S206" s="203" t="s">
        <v>266</v>
      </c>
      <c r="T206" s="203" t="s">
        <v>266</v>
      </c>
      <c r="U206" s="203" t="s">
        <v>266</v>
      </c>
      <c r="V206" s="203" t="s">
        <v>266</v>
      </c>
      <c r="W206" s="203" t="s">
        <v>266</v>
      </c>
      <c r="Y206" s="203" t="s">
        <v>266</v>
      </c>
      <c r="Z206" s="203" t="s">
        <v>266</v>
      </c>
      <c r="AA206" s="203" t="s">
        <v>266</v>
      </c>
      <c r="AB206" s="203" t="s">
        <v>266</v>
      </c>
      <c r="AC206" s="203" t="s">
        <v>266</v>
      </c>
      <c r="AD206" s="203" t="s">
        <v>266</v>
      </c>
      <c r="AE206" s="203" t="s">
        <v>266</v>
      </c>
      <c r="AG206">
        <v>1</v>
      </c>
      <c r="AH206">
        <v>1</v>
      </c>
    </row>
    <row r="207" spans="1:34" x14ac:dyDescent="0.25">
      <c r="A207" s="203" t="s">
        <v>266</v>
      </c>
      <c r="B207" s="203"/>
      <c r="C207" s="203"/>
      <c r="D207" s="203"/>
      <c r="E207" s="203" t="s">
        <v>266</v>
      </c>
      <c r="F207" s="203" t="s">
        <v>266</v>
      </c>
      <c r="G207" s="203" t="s">
        <v>266</v>
      </c>
      <c r="I207" s="203" t="s">
        <v>266</v>
      </c>
      <c r="J207" s="203" t="s">
        <v>266</v>
      </c>
      <c r="K207" s="203" t="s">
        <v>266</v>
      </c>
      <c r="L207" s="203" t="s">
        <v>266</v>
      </c>
      <c r="M207" s="203" t="s">
        <v>266</v>
      </c>
      <c r="N207" s="203" t="s">
        <v>266</v>
      </c>
      <c r="O207" s="203" t="s">
        <v>266</v>
      </c>
      <c r="Q207" s="203" t="s">
        <v>266</v>
      </c>
      <c r="R207" s="203" t="s">
        <v>266</v>
      </c>
      <c r="S207" s="203" t="s">
        <v>266</v>
      </c>
      <c r="T207" s="203" t="s">
        <v>266</v>
      </c>
      <c r="U207" s="203" t="s">
        <v>266</v>
      </c>
      <c r="V207" s="203" t="s">
        <v>266</v>
      </c>
      <c r="W207" s="203" t="s">
        <v>266</v>
      </c>
      <c r="Y207" s="203" t="s">
        <v>266</v>
      </c>
      <c r="Z207" s="203" t="s">
        <v>266</v>
      </c>
      <c r="AA207" s="203" t="s">
        <v>266</v>
      </c>
      <c r="AB207" s="203" t="s">
        <v>266</v>
      </c>
      <c r="AC207" s="203" t="s">
        <v>266</v>
      </c>
      <c r="AD207" s="203" t="s">
        <v>266</v>
      </c>
      <c r="AE207" s="203" t="s">
        <v>266</v>
      </c>
      <c r="AG207">
        <v>1</v>
      </c>
      <c r="AH207">
        <v>1</v>
      </c>
    </row>
    <row r="208" spans="1:34" x14ac:dyDescent="0.25">
      <c r="A208" s="203" t="s">
        <v>266</v>
      </c>
      <c r="B208" s="203"/>
      <c r="C208" s="203"/>
      <c r="D208" s="203"/>
      <c r="E208" s="203" t="s">
        <v>266</v>
      </c>
      <c r="F208" s="203" t="s">
        <v>266</v>
      </c>
      <c r="G208" s="203" t="s">
        <v>266</v>
      </c>
      <c r="I208" s="203" t="s">
        <v>266</v>
      </c>
      <c r="J208" s="203" t="s">
        <v>266</v>
      </c>
      <c r="K208" s="203" t="s">
        <v>266</v>
      </c>
      <c r="L208" s="203" t="s">
        <v>266</v>
      </c>
      <c r="M208" s="203" t="s">
        <v>266</v>
      </c>
      <c r="N208" s="203" t="s">
        <v>266</v>
      </c>
      <c r="O208" s="203" t="s">
        <v>266</v>
      </c>
      <c r="Q208" s="203" t="s">
        <v>266</v>
      </c>
      <c r="R208" s="203" t="s">
        <v>266</v>
      </c>
      <c r="S208" s="203" t="s">
        <v>266</v>
      </c>
      <c r="T208" s="203" t="s">
        <v>266</v>
      </c>
      <c r="U208" s="203" t="s">
        <v>266</v>
      </c>
      <c r="V208" s="203" t="s">
        <v>266</v>
      </c>
      <c r="W208" s="203" t="s">
        <v>266</v>
      </c>
      <c r="Y208" s="203" t="s">
        <v>266</v>
      </c>
      <c r="Z208" s="203" t="s">
        <v>266</v>
      </c>
      <c r="AA208" s="203" t="s">
        <v>266</v>
      </c>
      <c r="AB208" s="203" t="s">
        <v>266</v>
      </c>
      <c r="AC208" s="203" t="s">
        <v>266</v>
      </c>
      <c r="AD208" s="203" t="s">
        <v>266</v>
      </c>
      <c r="AE208" s="203" t="s">
        <v>266</v>
      </c>
      <c r="AG208">
        <v>1</v>
      </c>
      <c r="AH208">
        <v>1</v>
      </c>
    </row>
    <row r="209" spans="1:34" x14ac:dyDescent="0.25">
      <c r="A209" s="203" t="s">
        <v>266</v>
      </c>
      <c r="B209" s="203"/>
      <c r="C209" s="203"/>
      <c r="D209" s="203"/>
      <c r="E209" s="203" t="s">
        <v>266</v>
      </c>
      <c r="F209" s="203" t="s">
        <v>266</v>
      </c>
      <c r="G209" s="203" t="s">
        <v>266</v>
      </c>
      <c r="I209" s="203" t="s">
        <v>266</v>
      </c>
      <c r="J209" s="203" t="s">
        <v>266</v>
      </c>
      <c r="K209" s="203" t="s">
        <v>266</v>
      </c>
      <c r="L209" s="203" t="s">
        <v>266</v>
      </c>
      <c r="M209" s="203" t="s">
        <v>266</v>
      </c>
      <c r="N209" s="203" t="s">
        <v>266</v>
      </c>
      <c r="O209" s="203" t="s">
        <v>266</v>
      </c>
      <c r="Q209" s="203" t="s">
        <v>266</v>
      </c>
      <c r="R209" s="203" t="s">
        <v>266</v>
      </c>
      <c r="S209" s="203" t="s">
        <v>266</v>
      </c>
      <c r="T209" s="203" t="s">
        <v>266</v>
      </c>
      <c r="U209" s="203" t="s">
        <v>266</v>
      </c>
      <c r="V209" s="203" t="s">
        <v>266</v>
      </c>
      <c r="W209" s="203" t="s">
        <v>266</v>
      </c>
      <c r="Y209" s="203" t="s">
        <v>266</v>
      </c>
      <c r="Z209" s="203" t="s">
        <v>266</v>
      </c>
      <c r="AA209" s="203" t="s">
        <v>266</v>
      </c>
      <c r="AB209" s="203" t="s">
        <v>266</v>
      </c>
      <c r="AC209" s="203" t="s">
        <v>266</v>
      </c>
      <c r="AD209" s="203" t="s">
        <v>266</v>
      </c>
      <c r="AE209" s="203" t="s">
        <v>266</v>
      </c>
      <c r="AG209">
        <v>1</v>
      </c>
      <c r="AH209">
        <v>1</v>
      </c>
    </row>
    <row r="210" spans="1:34" x14ac:dyDescent="0.25">
      <c r="A210" s="203" t="s">
        <v>266</v>
      </c>
      <c r="B210" s="203"/>
      <c r="C210" s="203"/>
      <c r="D210" s="203"/>
      <c r="E210" s="203" t="s">
        <v>266</v>
      </c>
      <c r="F210" s="203" t="s">
        <v>266</v>
      </c>
      <c r="G210" s="203" t="s">
        <v>266</v>
      </c>
      <c r="I210" s="203" t="s">
        <v>266</v>
      </c>
      <c r="J210" s="203" t="s">
        <v>266</v>
      </c>
      <c r="K210" s="203" t="s">
        <v>266</v>
      </c>
      <c r="L210" s="203" t="s">
        <v>266</v>
      </c>
      <c r="M210" s="203" t="s">
        <v>266</v>
      </c>
      <c r="N210" s="203" t="s">
        <v>266</v>
      </c>
      <c r="O210" s="203" t="s">
        <v>266</v>
      </c>
      <c r="Q210" s="203" t="s">
        <v>266</v>
      </c>
      <c r="R210" s="203" t="s">
        <v>266</v>
      </c>
      <c r="S210" s="203" t="s">
        <v>266</v>
      </c>
      <c r="T210" s="203" t="s">
        <v>266</v>
      </c>
      <c r="U210" s="203" t="s">
        <v>266</v>
      </c>
      <c r="V210" s="203" t="s">
        <v>266</v>
      </c>
      <c r="W210" s="203" t="s">
        <v>266</v>
      </c>
      <c r="Y210" s="203" t="s">
        <v>266</v>
      </c>
      <c r="Z210" s="203" t="s">
        <v>266</v>
      </c>
      <c r="AA210" s="203" t="s">
        <v>266</v>
      </c>
      <c r="AB210" s="203" t="s">
        <v>266</v>
      </c>
      <c r="AC210" s="203" t="s">
        <v>266</v>
      </c>
      <c r="AD210" s="203" t="s">
        <v>266</v>
      </c>
      <c r="AE210" s="203" t="s">
        <v>266</v>
      </c>
      <c r="AG210">
        <v>1</v>
      </c>
      <c r="AH210">
        <v>1</v>
      </c>
    </row>
    <row r="211" spans="1:34" x14ac:dyDescent="0.25">
      <c r="A211" s="203" t="s">
        <v>266</v>
      </c>
      <c r="B211" s="203"/>
      <c r="C211" s="203"/>
      <c r="D211" s="203"/>
      <c r="E211" s="203" t="s">
        <v>266</v>
      </c>
      <c r="F211" s="203" t="s">
        <v>266</v>
      </c>
      <c r="G211" s="203" t="s">
        <v>266</v>
      </c>
      <c r="I211" s="203" t="s">
        <v>266</v>
      </c>
      <c r="J211" s="203" t="s">
        <v>266</v>
      </c>
      <c r="K211" s="203" t="s">
        <v>266</v>
      </c>
      <c r="L211" s="203" t="s">
        <v>266</v>
      </c>
      <c r="M211" s="203" t="s">
        <v>266</v>
      </c>
      <c r="N211" s="203" t="s">
        <v>266</v>
      </c>
      <c r="O211" s="203" t="s">
        <v>266</v>
      </c>
      <c r="Q211" s="203" t="s">
        <v>266</v>
      </c>
      <c r="R211" s="203" t="s">
        <v>266</v>
      </c>
      <c r="S211" s="203" t="s">
        <v>266</v>
      </c>
      <c r="T211" s="203" t="s">
        <v>266</v>
      </c>
      <c r="U211" s="203" t="s">
        <v>266</v>
      </c>
      <c r="V211" s="203" t="s">
        <v>266</v>
      </c>
      <c r="W211" s="203" t="s">
        <v>266</v>
      </c>
      <c r="Y211" s="203" t="s">
        <v>266</v>
      </c>
      <c r="Z211" s="203" t="s">
        <v>266</v>
      </c>
      <c r="AA211" s="203" t="s">
        <v>266</v>
      </c>
      <c r="AB211" s="203" t="s">
        <v>266</v>
      </c>
      <c r="AC211" s="203" t="s">
        <v>266</v>
      </c>
      <c r="AD211" s="203" t="s">
        <v>266</v>
      </c>
      <c r="AE211" s="203" t="s">
        <v>266</v>
      </c>
      <c r="AG211">
        <v>1</v>
      </c>
      <c r="AH211">
        <v>1</v>
      </c>
    </row>
    <row r="212" spans="1:34" x14ac:dyDescent="0.25">
      <c r="A212" s="203" t="s">
        <v>266</v>
      </c>
      <c r="B212" s="203"/>
      <c r="C212" s="203"/>
      <c r="D212" s="203"/>
      <c r="E212" s="203" t="s">
        <v>266</v>
      </c>
      <c r="F212" s="203" t="s">
        <v>266</v>
      </c>
      <c r="G212" s="203" t="s">
        <v>266</v>
      </c>
      <c r="I212" s="203" t="s">
        <v>266</v>
      </c>
      <c r="J212" s="203" t="s">
        <v>266</v>
      </c>
      <c r="K212" s="203" t="s">
        <v>266</v>
      </c>
      <c r="L212" s="203" t="s">
        <v>266</v>
      </c>
      <c r="M212" s="203" t="s">
        <v>266</v>
      </c>
      <c r="N212" s="203" t="s">
        <v>266</v>
      </c>
      <c r="O212" s="203" t="s">
        <v>266</v>
      </c>
      <c r="Q212" s="203" t="s">
        <v>266</v>
      </c>
      <c r="R212" s="203" t="s">
        <v>266</v>
      </c>
      <c r="S212" s="203" t="s">
        <v>266</v>
      </c>
      <c r="T212" s="203" t="s">
        <v>266</v>
      </c>
      <c r="U212" s="203" t="s">
        <v>266</v>
      </c>
      <c r="V212" s="203" t="s">
        <v>266</v>
      </c>
      <c r="W212" s="203" t="s">
        <v>266</v>
      </c>
      <c r="Y212" s="203" t="s">
        <v>266</v>
      </c>
      <c r="Z212" s="203" t="s">
        <v>266</v>
      </c>
      <c r="AA212" s="203" t="s">
        <v>266</v>
      </c>
      <c r="AB212" s="203" t="s">
        <v>266</v>
      </c>
      <c r="AC212" s="203" t="s">
        <v>266</v>
      </c>
      <c r="AD212" s="203" t="s">
        <v>266</v>
      </c>
      <c r="AE212" s="203" t="s">
        <v>266</v>
      </c>
      <c r="AG212">
        <v>1</v>
      </c>
      <c r="AH212">
        <v>1</v>
      </c>
    </row>
    <row r="213" spans="1:34" x14ac:dyDescent="0.25">
      <c r="A213" s="203" t="s">
        <v>266</v>
      </c>
      <c r="B213" s="203"/>
      <c r="C213" s="203"/>
      <c r="D213" s="203"/>
      <c r="E213" s="203" t="s">
        <v>266</v>
      </c>
      <c r="F213" s="203" t="s">
        <v>266</v>
      </c>
      <c r="G213" s="203" t="s">
        <v>266</v>
      </c>
      <c r="I213" s="203" t="s">
        <v>266</v>
      </c>
      <c r="J213" s="203" t="s">
        <v>266</v>
      </c>
      <c r="K213" s="203" t="s">
        <v>266</v>
      </c>
      <c r="L213" s="203" t="s">
        <v>266</v>
      </c>
      <c r="M213" s="203" t="s">
        <v>266</v>
      </c>
      <c r="N213" s="203" t="s">
        <v>266</v>
      </c>
      <c r="O213" s="203" t="s">
        <v>266</v>
      </c>
      <c r="Q213" s="203" t="s">
        <v>266</v>
      </c>
      <c r="R213" s="203" t="s">
        <v>266</v>
      </c>
      <c r="S213" s="203" t="s">
        <v>266</v>
      </c>
      <c r="T213" s="203" t="s">
        <v>266</v>
      </c>
      <c r="U213" s="203" t="s">
        <v>266</v>
      </c>
      <c r="V213" s="203" t="s">
        <v>266</v>
      </c>
      <c r="W213" s="203" t="s">
        <v>266</v>
      </c>
      <c r="Y213" s="203" t="s">
        <v>266</v>
      </c>
      <c r="Z213" s="203" t="s">
        <v>266</v>
      </c>
      <c r="AA213" s="203" t="s">
        <v>266</v>
      </c>
      <c r="AB213" s="203" t="s">
        <v>266</v>
      </c>
      <c r="AC213" s="203" t="s">
        <v>266</v>
      </c>
      <c r="AD213" s="203" t="s">
        <v>266</v>
      </c>
      <c r="AE213" s="203" t="s">
        <v>266</v>
      </c>
      <c r="AG213">
        <v>1</v>
      </c>
      <c r="AH213">
        <v>1</v>
      </c>
    </row>
    <row r="214" spans="1:34" x14ac:dyDescent="0.25">
      <c r="A214" s="203" t="s">
        <v>266</v>
      </c>
      <c r="B214" s="203"/>
      <c r="C214" s="203"/>
      <c r="D214" s="203"/>
      <c r="E214" s="203" t="s">
        <v>266</v>
      </c>
      <c r="F214" s="203" t="s">
        <v>266</v>
      </c>
      <c r="G214" s="203" t="s">
        <v>266</v>
      </c>
      <c r="I214" s="203" t="s">
        <v>266</v>
      </c>
      <c r="J214" s="203" t="s">
        <v>266</v>
      </c>
      <c r="K214" s="203" t="s">
        <v>266</v>
      </c>
      <c r="L214" s="203" t="s">
        <v>266</v>
      </c>
      <c r="M214" s="203" t="s">
        <v>266</v>
      </c>
      <c r="N214" s="203" t="s">
        <v>266</v>
      </c>
      <c r="O214" s="203" t="s">
        <v>266</v>
      </c>
      <c r="Q214" s="203" t="s">
        <v>266</v>
      </c>
      <c r="R214" s="203" t="s">
        <v>266</v>
      </c>
      <c r="S214" s="203" t="s">
        <v>266</v>
      </c>
      <c r="T214" s="203" t="s">
        <v>266</v>
      </c>
      <c r="U214" s="203" t="s">
        <v>266</v>
      </c>
      <c r="V214" s="203" t="s">
        <v>266</v>
      </c>
      <c r="W214" s="203" t="s">
        <v>266</v>
      </c>
      <c r="Y214" s="203" t="s">
        <v>266</v>
      </c>
      <c r="Z214" s="203" t="s">
        <v>266</v>
      </c>
      <c r="AA214" s="203" t="s">
        <v>266</v>
      </c>
      <c r="AB214" s="203" t="s">
        <v>266</v>
      </c>
      <c r="AC214" s="203" t="s">
        <v>266</v>
      </c>
      <c r="AD214" s="203" t="s">
        <v>266</v>
      </c>
      <c r="AE214" s="203" t="s">
        <v>266</v>
      </c>
      <c r="AG214">
        <v>1</v>
      </c>
      <c r="AH214">
        <v>1</v>
      </c>
    </row>
    <row r="215" spans="1:34" x14ac:dyDescent="0.25">
      <c r="A215" s="203" t="s">
        <v>266</v>
      </c>
      <c r="B215" s="203"/>
      <c r="C215" s="203"/>
      <c r="D215" s="203"/>
      <c r="E215" s="203" t="s">
        <v>266</v>
      </c>
      <c r="F215" s="203" t="s">
        <v>266</v>
      </c>
      <c r="G215" s="203" t="s">
        <v>266</v>
      </c>
      <c r="I215" s="203" t="s">
        <v>266</v>
      </c>
      <c r="J215" s="203" t="s">
        <v>266</v>
      </c>
      <c r="K215" s="203" t="s">
        <v>266</v>
      </c>
      <c r="L215" s="203" t="s">
        <v>266</v>
      </c>
      <c r="M215" s="203" t="s">
        <v>266</v>
      </c>
      <c r="N215" s="203" t="s">
        <v>266</v>
      </c>
      <c r="O215" s="203" t="s">
        <v>266</v>
      </c>
      <c r="Q215" s="203" t="s">
        <v>266</v>
      </c>
      <c r="R215" s="203" t="s">
        <v>266</v>
      </c>
      <c r="S215" s="203" t="s">
        <v>266</v>
      </c>
      <c r="T215" s="203" t="s">
        <v>266</v>
      </c>
      <c r="U215" s="203" t="s">
        <v>266</v>
      </c>
      <c r="V215" s="203" t="s">
        <v>266</v>
      </c>
      <c r="W215" s="203" t="s">
        <v>266</v>
      </c>
      <c r="Y215" s="203" t="s">
        <v>266</v>
      </c>
      <c r="Z215" s="203" t="s">
        <v>266</v>
      </c>
      <c r="AA215" s="203" t="s">
        <v>266</v>
      </c>
      <c r="AB215" s="203" t="s">
        <v>266</v>
      </c>
      <c r="AC215" s="203" t="s">
        <v>266</v>
      </c>
      <c r="AD215" s="203" t="s">
        <v>266</v>
      </c>
      <c r="AE215" s="203" t="s">
        <v>266</v>
      </c>
      <c r="AG215">
        <v>1</v>
      </c>
      <c r="AH215">
        <v>1</v>
      </c>
    </row>
    <row r="216" spans="1:34" x14ac:dyDescent="0.25">
      <c r="A216" s="203" t="s">
        <v>266</v>
      </c>
      <c r="B216" s="203"/>
      <c r="C216" s="203"/>
      <c r="D216" s="203"/>
      <c r="E216" s="203" t="s">
        <v>266</v>
      </c>
      <c r="F216" s="203" t="s">
        <v>266</v>
      </c>
      <c r="G216" s="203" t="s">
        <v>266</v>
      </c>
      <c r="I216" s="203" t="s">
        <v>266</v>
      </c>
      <c r="J216" s="203" t="s">
        <v>266</v>
      </c>
      <c r="K216" s="203" t="s">
        <v>266</v>
      </c>
      <c r="L216" s="203" t="s">
        <v>266</v>
      </c>
      <c r="M216" s="203" t="s">
        <v>266</v>
      </c>
      <c r="N216" s="203" t="s">
        <v>266</v>
      </c>
      <c r="O216" s="203" t="s">
        <v>266</v>
      </c>
      <c r="Q216" s="203" t="s">
        <v>266</v>
      </c>
      <c r="R216" s="203" t="s">
        <v>266</v>
      </c>
      <c r="S216" s="203" t="s">
        <v>266</v>
      </c>
      <c r="T216" s="203" t="s">
        <v>266</v>
      </c>
      <c r="U216" s="203" t="s">
        <v>266</v>
      </c>
      <c r="V216" s="203" t="s">
        <v>266</v>
      </c>
      <c r="W216" s="203" t="s">
        <v>266</v>
      </c>
      <c r="Y216" s="203" t="s">
        <v>266</v>
      </c>
      <c r="Z216" s="203" t="s">
        <v>266</v>
      </c>
      <c r="AA216" s="203" t="s">
        <v>266</v>
      </c>
      <c r="AB216" s="203" t="s">
        <v>266</v>
      </c>
      <c r="AC216" s="203" t="s">
        <v>266</v>
      </c>
      <c r="AD216" s="203" t="s">
        <v>266</v>
      </c>
      <c r="AE216" s="203" t="s">
        <v>266</v>
      </c>
      <c r="AG216">
        <v>1</v>
      </c>
      <c r="AH216">
        <v>1</v>
      </c>
    </row>
    <row r="217" spans="1:34" x14ac:dyDescent="0.25">
      <c r="A217" s="203" t="s">
        <v>266</v>
      </c>
      <c r="B217" s="203"/>
      <c r="C217" s="203"/>
      <c r="D217" s="203"/>
      <c r="E217" s="203" t="s">
        <v>266</v>
      </c>
      <c r="F217" s="203" t="s">
        <v>266</v>
      </c>
      <c r="G217" s="203" t="s">
        <v>266</v>
      </c>
      <c r="I217" s="203" t="s">
        <v>266</v>
      </c>
      <c r="J217" s="203" t="s">
        <v>266</v>
      </c>
      <c r="K217" s="203" t="s">
        <v>266</v>
      </c>
      <c r="L217" s="203" t="s">
        <v>266</v>
      </c>
      <c r="M217" s="203" t="s">
        <v>266</v>
      </c>
      <c r="N217" s="203" t="s">
        <v>266</v>
      </c>
      <c r="O217" s="203" t="s">
        <v>266</v>
      </c>
      <c r="Q217" s="203" t="s">
        <v>266</v>
      </c>
      <c r="R217" s="203" t="s">
        <v>266</v>
      </c>
      <c r="S217" s="203" t="s">
        <v>266</v>
      </c>
      <c r="T217" s="203" t="s">
        <v>266</v>
      </c>
      <c r="U217" s="203" t="s">
        <v>266</v>
      </c>
      <c r="V217" s="203" t="s">
        <v>266</v>
      </c>
      <c r="W217" s="203" t="s">
        <v>266</v>
      </c>
      <c r="Y217" s="203" t="s">
        <v>266</v>
      </c>
      <c r="Z217" s="203" t="s">
        <v>266</v>
      </c>
      <c r="AA217" s="203" t="s">
        <v>266</v>
      </c>
      <c r="AB217" s="203" t="s">
        <v>266</v>
      </c>
      <c r="AC217" s="203" t="s">
        <v>266</v>
      </c>
      <c r="AD217" s="203" t="s">
        <v>266</v>
      </c>
      <c r="AE217" s="203" t="s">
        <v>266</v>
      </c>
      <c r="AG217">
        <v>1</v>
      </c>
      <c r="AH217">
        <v>1</v>
      </c>
    </row>
    <row r="218" spans="1:34" x14ac:dyDescent="0.25">
      <c r="A218" s="203" t="s">
        <v>266</v>
      </c>
      <c r="B218" s="203"/>
      <c r="C218" s="203"/>
      <c r="D218" s="203"/>
      <c r="E218" s="203" t="s">
        <v>266</v>
      </c>
      <c r="F218" s="203" t="s">
        <v>266</v>
      </c>
      <c r="G218" s="203" t="s">
        <v>266</v>
      </c>
      <c r="I218" s="203" t="s">
        <v>266</v>
      </c>
      <c r="J218" s="203" t="s">
        <v>266</v>
      </c>
      <c r="K218" s="203" t="s">
        <v>266</v>
      </c>
      <c r="L218" s="203" t="s">
        <v>266</v>
      </c>
      <c r="M218" s="203" t="s">
        <v>266</v>
      </c>
      <c r="N218" s="203" t="s">
        <v>266</v>
      </c>
      <c r="O218" s="203" t="s">
        <v>266</v>
      </c>
      <c r="Q218" s="203" t="s">
        <v>266</v>
      </c>
      <c r="R218" s="203" t="s">
        <v>266</v>
      </c>
      <c r="S218" s="203" t="s">
        <v>266</v>
      </c>
      <c r="T218" s="203" t="s">
        <v>266</v>
      </c>
      <c r="U218" s="203" t="s">
        <v>266</v>
      </c>
      <c r="V218" s="203" t="s">
        <v>266</v>
      </c>
      <c r="W218" s="203" t="s">
        <v>266</v>
      </c>
      <c r="Y218" s="203" t="s">
        <v>266</v>
      </c>
      <c r="Z218" s="203" t="s">
        <v>266</v>
      </c>
      <c r="AA218" s="203" t="s">
        <v>266</v>
      </c>
      <c r="AB218" s="203" t="s">
        <v>266</v>
      </c>
      <c r="AC218" s="203" t="s">
        <v>266</v>
      </c>
      <c r="AD218" s="203" t="s">
        <v>266</v>
      </c>
      <c r="AE218" s="203" t="s">
        <v>266</v>
      </c>
      <c r="AG218">
        <v>1</v>
      </c>
      <c r="AH218">
        <v>1</v>
      </c>
    </row>
    <row r="219" spans="1:34" x14ac:dyDescent="0.25">
      <c r="A219" s="203" t="s">
        <v>266</v>
      </c>
      <c r="B219" s="203"/>
      <c r="C219" s="203"/>
      <c r="D219" s="203"/>
      <c r="E219" s="203" t="s">
        <v>266</v>
      </c>
      <c r="F219" s="203" t="s">
        <v>266</v>
      </c>
      <c r="G219" s="203" t="s">
        <v>266</v>
      </c>
      <c r="I219" s="203" t="s">
        <v>266</v>
      </c>
      <c r="J219" s="203" t="s">
        <v>266</v>
      </c>
      <c r="K219" s="203" t="s">
        <v>266</v>
      </c>
      <c r="L219" s="203" t="s">
        <v>266</v>
      </c>
      <c r="M219" s="203" t="s">
        <v>266</v>
      </c>
      <c r="N219" s="203" t="s">
        <v>266</v>
      </c>
      <c r="O219" s="203" t="s">
        <v>266</v>
      </c>
      <c r="Q219" s="203" t="s">
        <v>266</v>
      </c>
      <c r="R219" s="203" t="s">
        <v>266</v>
      </c>
      <c r="S219" s="203" t="s">
        <v>266</v>
      </c>
      <c r="T219" s="203" t="s">
        <v>266</v>
      </c>
      <c r="U219" s="203" t="s">
        <v>266</v>
      </c>
      <c r="V219" s="203" t="s">
        <v>266</v>
      </c>
      <c r="W219" s="203" t="s">
        <v>266</v>
      </c>
      <c r="Y219" s="203" t="s">
        <v>266</v>
      </c>
      <c r="Z219" s="203" t="s">
        <v>266</v>
      </c>
      <c r="AA219" s="203" t="s">
        <v>266</v>
      </c>
      <c r="AB219" s="203" t="s">
        <v>266</v>
      </c>
      <c r="AC219" s="203" t="s">
        <v>266</v>
      </c>
      <c r="AD219" s="203" t="s">
        <v>266</v>
      </c>
      <c r="AE219" s="203" t="s">
        <v>266</v>
      </c>
      <c r="AG219">
        <v>1</v>
      </c>
      <c r="AH219">
        <v>1</v>
      </c>
    </row>
    <row r="220" spans="1:34" x14ac:dyDescent="0.25">
      <c r="A220" s="203" t="s">
        <v>266</v>
      </c>
      <c r="B220" s="203"/>
      <c r="C220" s="203"/>
      <c r="D220" s="203"/>
      <c r="E220" s="203" t="s">
        <v>266</v>
      </c>
      <c r="F220" s="203" t="s">
        <v>266</v>
      </c>
      <c r="G220" s="203" t="s">
        <v>266</v>
      </c>
      <c r="I220" s="203" t="s">
        <v>266</v>
      </c>
      <c r="J220" s="203" t="s">
        <v>266</v>
      </c>
      <c r="K220" s="203" t="s">
        <v>266</v>
      </c>
      <c r="L220" s="203" t="s">
        <v>266</v>
      </c>
      <c r="M220" s="203" t="s">
        <v>266</v>
      </c>
      <c r="N220" s="203" t="s">
        <v>266</v>
      </c>
      <c r="O220" s="203" t="s">
        <v>266</v>
      </c>
      <c r="Q220" s="203" t="s">
        <v>266</v>
      </c>
      <c r="R220" s="203" t="s">
        <v>266</v>
      </c>
      <c r="S220" s="203" t="s">
        <v>266</v>
      </c>
      <c r="T220" s="203" t="s">
        <v>266</v>
      </c>
      <c r="U220" s="203" t="s">
        <v>266</v>
      </c>
      <c r="V220" s="203" t="s">
        <v>266</v>
      </c>
      <c r="W220" s="203" t="s">
        <v>266</v>
      </c>
      <c r="Y220" s="203" t="s">
        <v>266</v>
      </c>
      <c r="Z220" s="203" t="s">
        <v>266</v>
      </c>
      <c r="AA220" s="203" t="s">
        <v>266</v>
      </c>
      <c r="AB220" s="203" t="s">
        <v>266</v>
      </c>
      <c r="AC220" s="203" t="s">
        <v>266</v>
      </c>
      <c r="AD220" s="203" t="s">
        <v>266</v>
      </c>
      <c r="AE220" s="203" t="s">
        <v>266</v>
      </c>
      <c r="AG220">
        <v>1</v>
      </c>
      <c r="AH220">
        <v>1</v>
      </c>
    </row>
    <row r="221" spans="1:34" x14ac:dyDescent="0.25">
      <c r="A221" s="203" t="s">
        <v>266</v>
      </c>
      <c r="B221" s="203"/>
      <c r="C221" s="203"/>
      <c r="D221" s="203"/>
      <c r="E221" s="203" t="s">
        <v>266</v>
      </c>
      <c r="F221" s="203" t="s">
        <v>266</v>
      </c>
      <c r="G221" s="203" t="s">
        <v>266</v>
      </c>
      <c r="I221" s="203" t="s">
        <v>266</v>
      </c>
      <c r="J221" s="203" t="s">
        <v>266</v>
      </c>
      <c r="K221" s="203" t="s">
        <v>266</v>
      </c>
      <c r="L221" s="203" t="s">
        <v>266</v>
      </c>
      <c r="M221" s="203" t="s">
        <v>266</v>
      </c>
      <c r="N221" s="203" t="s">
        <v>266</v>
      </c>
      <c r="O221" s="203" t="s">
        <v>266</v>
      </c>
      <c r="Q221" s="203" t="s">
        <v>266</v>
      </c>
      <c r="R221" s="203" t="s">
        <v>266</v>
      </c>
      <c r="S221" s="203" t="s">
        <v>266</v>
      </c>
      <c r="T221" s="203" t="s">
        <v>266</v>
      </c>
      <c r="U221" s="203" t="s">
        <v>266</v>
      </c>
      <c r="V221" s="203" t="s">
        <v>266</v>
      </c>
      <c r="W221" s="203" t="s">
        <v>266</v>
      </c>
      <c r="Y221" s="203" t="s">
        <v>266</v>
      </c>
      <c r="Z221" s="203" t="s">
        <v>266</v>
      </c>
      <c r="AA221" s="203" t="s">
        <v>266</v>
      </c>
      <c r="AB221" s="203" t="s">
        <v>266</v>
      </c>
      <c r="AC221" s="203" t="s">
        <v>266</v>
      </c>
      <c r="AD221" s="203" t="s">
        <v>266</v>
      </c>
      <c r="AE221" s="203" t="s">
        <v>266</v>
      </c>
      <c r="AG221">
        <v>1</v>
      </c>
      <c r="AH221">
        <v>1</v>
      </c>
    </row>
  </sheetData>
  <sheetProtection algorithmName="SHA-512" hashValue="2wLPqbCYJ0GKJp7GeO8yO+8QIxg3WLrSChfvlZ/gowfCtzWF+Hcg3w2nOsLR68FtT9kCGDggujQIx2khVwoy8g==" saltValue="6yTWgTcwcfPLBl0AeLkXLA==" spinCount="100000" sheet="1" objects="1" scenarios="1"/>
  <sortState xmlns:xlrd2="http://schemas.microsoft.com/office/spreadsheetml/2017/richdata2" ref="A3:AH221">
    <sortCondition ref="AG3:AG221"/>
    <sortCondition ref="AH3:AH221"/>
  </sortState>
  <mergeCells count="5">
    <mergeCell ref="A1:G1"/>
    <mergeCell ref="I1:O1"/>
    <mergeCell ref="Q1:W1"/>
    <mergeCell ref="Y1:AE1"/>
    <mergeCell ref="AM9:AO10"/>
  </mergeCells>
  <phoneticPr fontId="6" type="noConversion"/>
  <dataValidations count="3">
    <dataValidation type="textLength" operator="greaterThanOrEqual" allowBlank="1" showInputMessage="1" showErrorMessage="1" sqref="B54:C221" xr:uid="{D0794748-3AE1-4F65-8A43-D3D364F9144E}">
      <formula1>1</formula1>
    </dataValidation>
    <dataValidation type="whole" operator="greaterThanOrEqual" allowBlank="1" showInputMessage="1" showErrorMessage="1" sqref="D56:D221" xr:uid="{7CC87DFE-1E2A-47DE-9AB5-C3CD2CF36B72}">
      <formula1>0</formula1>
    </dataValidation>
    <dataValidation type="list" allowBlank="1" showInputMessage="1" showErrorMessage="1" sqref="E3:G221 A3:A221 Q3:W221 Y3:AE221 I3:O221" xr:uid="{61117B63-CC19-4831-801B-A2F6912DB24E}">
      <formula1>"Si, 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Update_Workers_M">
                <anchor moveWithCells="1" sizeWithCells="1">
                  <from>
                    <xdr:col>35</xdr:col>
                    <xdr:colOff>19050</xdr:colOff>
                    <xdr:row>7</xdr:row>
                    <xdr:rowOff>180975</xdr:rowOff>
                  </from>
                  <to>
                    <xdr:col>38</xdr:col>
                    <xdr:colOff>19050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asceTOT">
    <tabColor rgb="FF00B0F0"/>
  </sheetPr>
  <dimension ref="B2:AP116"/>
  <sheetViews>
    <sheetView zoomScale="70" zoomScaleNormal="70" workbookViewId="0">
      <pane ySplit="3" topLeftCell="A4" activePane="bottomLeft" state="frozen"/>
      <selection pane="bottomLeft" activeCell="AO41" sqref="AO41"/>
    </sheetView>
  </sheetViews>
  <sheetFormatPr defaultRowHeight="15" x14ac:dyDescent="0.25"/>
  <cols>
    <col min="3" max="3" width="12.28515625" bestFit="1" customWidth="1"/>
    <col min="4" max="4" width="9.5703125" bestFit="1" customWidth="1"/>
    <col min="5" max="5" width="10.28515625" customWidth="1"/>
    <col min="6" max="6" width="12.7109375" customWidth="1"/>
    <col min="9" max="9" width="10.7109375" bestFit="1" customWidth="1"/>
    <col min="10" max="10" width="9.5703125" bestFit="1" customWidth="1"/>
    <col min="11" max="11" width="10.28515625" customWidth="1"/>
    <col min="12" max="12" width="13.42578125" customWidth="1"/>
    <col min="15" max="15" width="10.7109375" bestFit="1" customWidth="1"/>
    <col min="16" max="16" width="9.5703125" bestFit="1" customWidth="1"/>
    <col min="17" max="17" width="10.7109375" customWidth="1"/>
    <col min="18" max="18" width="12.5703125" bestFit="1" customWidth="1"/>
    <col min="21" max="22" width="10.7109375" bestFit="1" customWidth="1"/>
    <col min="23" max="23" width="10.28515625" customWidth="1"/>
    <col min="24" max="24" width="13.28515625" customWidth="1"/>
    <col min="27" max="27" width="10.7109375" bestFit="1" customWidth="1"/>
    <col min="28" max="28" width="9.5703125" bestFit="1" customWidth="1"/>
    <col min="29" max="29" width="9.5703125" customWidth="1"/>
    <col min="30" max="30" width="13" customWidth="1"/>
    <col min="33" max="33" width="11.7109375" bestFit="1" customWidth="1"/>
    <col min="34" max="34" width="10.7109375" bestFit="1" customWidth="1"/>
    <col min="35" max="35" width="10.28515625" customWidth="1"/>
    <col min="36" max="36" width="12.5703125" customWidth="1"/>
    <col min="39" max="39" width="10.7109375" bestFit="1" customWidth="1"/>
    <col min="40" max="40" width="9.5703125" bestFit="1" customWidth="1"/>
    <col min="41" max="41" width="10.28515625" customWidth="1"/>
    <col min="42" max="42" width="13.5703125" customWidth="1"/>
  </cols>
  <sheetData>
    <row r="2" spans="2:42" x14ac:dyDescent="0.25">
      <c r="B2" s="623" t="s">
        <v>46</v>
      </c>
      <c r="C2" s="624"/>
      <c r="D2" s="624"/>
      <c r="E2" s="624"/>
      <c r="F2" s="625"/>
      <c r="H2" s="623" t="s">
        <v>47</v>
      </c>
      <c r="I2" s="624"/>
      <c r="J2" s="624"/>
      <c r="K2" s="624"/>
      <c r="L2" s="625"/>
      <c r="N2" s="623" t="s">
        <v>48</v>
      </c>
      <c r="O2" s="624"/>
      <c r="P2" s="624"/>
      <c r="Q2" s="624"/>
      <c r="R2" s="625"/>
      <c r="T2" s="623" t="s">
        <v>49</v>
      </c>
      <c r="U2" s="624"/>
      <c r="V2" s="624"/>
      <c r="W2" s="624"/>
      <c r="X2" s="625"/>
      <c r="Z2" s="623" t="s">
        <v>50</v>
      </c>
      <c r="AA2" s="624"/>
      <c r="AB2" s="624"/>
      <c r="AC2" s="624"/>
      <c r="AD2" s="625"/>
      <c r="AF2" s="623" t="s">
        <v>51</v>
      </c>
      <c r="AG2" s="624"/>
      <c r="AH2" s="624"/>
      <c r="AI2" s="624"/>
      <c r="AJ2" s="625"/>
      <c r="AL2" s="623" t="s">
        <v>52</v>
      </c>
      <c r="AM2" s="624"/>
      <c r="AN2" s="624"/>
      <c r="AO2" s="624"/>
      <c r="AP2" s="625"/>
    </row>
    <row r="3" spans="2:42" x14ac:dyDescent="0.25">
      <c r="B3" s="2" t="s">
        <v>85</v>
      </c>
      <c r="C3" s="2" t="s">
        <v>54</v>
      </c>
      <c r="D3" s="2" t="s">
        <v>299</v>
      </c>
      <c r="E3" s="2" t="s">
        <v>300</v>
      </c>
      <c r="F3" s="2" t="s">
        <v>301</v>
      </c>
      <c r="H3" s="2" t="s">
        <v>85</v>
      </c>
      <c r="I3" s="2" t="s">
        <v>54</v>
      </c>
      <c r="J3" s="2" t="s">
        <v>299</v>
      </c>
      <c r="K3" s="2" t="s">
        <v>300</v>
      </c>
      <c r="L3" s="2" t="s">
        <v>301</v>
      </c>
      <c r="N3" s="2" t="s">
        <v>85</v>
      </c>
      <c r="O3" s="2" t="s">
        <v>54</v>
      </c>
      <c r="P3" s="2" t="s">
        <v>299</v>
      </c>
      <c r="Q3" s="2" t="s">
        <v>300</v>
      </c>
      <c r="R3" s="2" t="s">
        <v>301</v>
      </c>
      <c r="T3" s="2" t="s">
        <v>85</v>
      </c>
      <c r="U3" s="2" t="s">
        <v>54</v>
      </c>
      <c r="V3" s="2" t="s">
        <v>299</v>
      </c>
      <c r="W3" s="2" t="s">
        <v>300</v>
      </c>
      <c r="X3" s="2" t="s">
        <v>301</v>
      </c>
      <c r="Z3" s="2" t="s">
        <v>85</v>
      </c>
      <c r="AA3" s="2" t="s">
        <v>54</v>
      </c>
      <c r="AB3" s="2" t="s">
        <v>299</v>
      </c>
      <c r="AC3" s="2" t="s">
        <v>300</v>
      </c>
      <c r="AD3" s="2" t="s">
        <v>301</v>
      </c>
      <c r="AF3" s="2" t="s">
        <v>85</v>
      </c>
      <c r="AG3" s="2" t="s">
        <v>54</v>
      </c>
      <c r="AH3" s="2" t="s">
        <v>299</v>
      </c>
      <c r="AI3" s="2" t="s">
        <v>300</v>
      </c>
      <c r="AJ3" s="2" t="s">
        <v>301</v>
      </c>
      <c r="AL3" s="2" t="s">
        <v>85</v>
      </c>
      <c r="AM3" s="2" t="s">
        <v>54</v>
      </c>
      <c r="AN3" s="2" t="s">
        <v>299</v>
      </c>
      <c r="AO3" s="2" t="s">
        <v>300</v>
      </c>
      <c r="AP3" s="2" t="s">
        <v>301</v>
      </c>
    </row>
    <row r="4" spans="2:42" x14ac:dyDescent="0.25">
      <c r="B4" s="5" t="s">
        <v>1</v>
      </c>
      <c r="C4" s="5">
        <v>0</v>
      </c>
      <c r="D4" s="5">
        <v>0</v>
      </c>
      <c r="E4" s="5">
        <v>0</v>
      </c>
      <c r="F4" s="5">
        <v>0</v>
      </c>
      <c r="G4" s="34"/>
      <c r="H4" s="5" t="s">
        <v>1</v>
      </c>
      <c r="I4" s="5">
        <v>0</v>
      </c>
      <c r="J4" s="5">
        <v>0</v>
      </c>
      <c r="K4" s="5">
        <v>0</v>
      </c>
      <c r="L4" s="5">
        <v>0</v>
      </c>
      <c r="M4" s="34"/>
      <c r="N4" s="5" t="s">
        <v>1</v>
      </c>
      <c r="O4" s="5">
        <v>0</v>
      </c>
      <c r="P4" s="5">
        <v>0</v>
      </c>
      <c r="Q4" s="5">
        <v>0</v>
      </c>
      <c r="R4" s="5">
        <v>0</v>
      </c>
      <c r="S4" s="34"/>
      <c r="T4" s="5" t="s">
        <v>1</v>
      </c>
      <c r="U4" s="5">
        <v>0</v>
      </c>
      <c r="V4" s="5">
        <v>0</v>
      </c>
      <c r="W4" s="5">
        <v>0</v>
      </c>
      <c r="X4" s="5">
        <v>0</v>
      </c>
      <c r="Y4" s="34"/>
      <c r="Z4" s="5" t="s">
        <v>1</v>
      </c>
      <c r="AA4" s="5">
        <v>0</v>
      </c>
      <c r="AB4" s="5">
        <v>0</v>
      </c>
      <c r="AC4" s="5">
        <v>0</v>
      </c>
      <c r="AD4" s="5">
        <v>0</v>
      </c>
      <c r="AE4" s="34"/>
      <c r="AF4" s="5" t="s">
        <v>1</v>
      </c>
      <c r="AG4" s="5">
        <v>0</v>
      </c>
      <c r="AH4" s="5">
        <v>0</v>
      </c>
      <c r="AI4" s="5">
        <v>0</v>
      </c>
      <c r="AJ4" s="5">
        <v>0</v>
      </c>
      <c r="AK4" s="34"/>
      <c r="AL4" s="5" t="s">
        <v>1</v>
      </c>
      <c r="AM4" s="5">
        <v>0</v>
      </c>
      <c r="AN4" s="5">
        <v>0</v>
      </c>
      <c r="AO4" s="5">
        <v>0</v>
      </c>
      <c r="AP4" s="5">
        <v>0</v>
      </c>
    </row>
    <row r="5" spans="2:42" x14ac:dyDescent="0.25">
      <c r="B5" s="5" t="s">
        <v>62</v>
      </c>
      <c r="C5" s="5">
        <f>IF(Lunedì!$A12 &lt;&gt; "",Lunedì!$F12,0)</f>
        <v>0</v>
      </c>
      <c r="D5" s="5">
        <f>IF(Lunedì!$A12 &lt;&gt; "",Lunedì!$G12,0)</f>
        <v>0</v>
      </c>
      <c r="E5" s="5">
        <f>D5*Percentuali!$C$4</f>
        <v>0</v>
      </c>
      <c r="F5" s="5">
        <f>D5*Percentuali!$C$30</f>
        <v>0</v>
      </c>
      <c r="G5" s="34"/>
      <c r="H5" s="5" t="s">
        <v>62</v>
      </c>
      <c r="I5" s="5">
        <f>IF(Martedì!$A12 &lt;&gt; "",Martedì!$F12,0)</f>
        <v>0</v>
      </c>
      <c r="J5" s="5">
        <f>IF(Martedì!$A12 &lt;&gt; "",Martedì!$G12,0)</f>
        <v>0</v>
      </c>
      <c r="K5" s="5">
        <f>J5*Percentuali!$D$4</f>
        <v>0</v>
      </c>
      <c r="L5" s="5">
        <f>J5*Percentuali!$D$30</f>
        <v>0</v>
      </c>
      <c r="M5" s="34"/>
      <c r="N5" s="5" t="s">
        <v>62</v>
      </c>
      <c r="O5" s="5">
        <f>IF(Mercoledì!$A12 &lt;&gt; "",Mercoledì!$F12,0)</f>
        <v>0</v>
      </c>
      <c r="P5" s="5">
        <f>IF(Mercoledì!$A12 &lt;&gt; "",Mercoledì!$G12,0)</f>
        <v>0</v>
      </c>
      <c r="Q5" s="5">
        <f>P5*Percentuali!$E$4</f>
        <v>0</v>
      </c>
      <c r="R5" s="5">
        <f>P5*Percentuali!$E$30</f>
        <v>0</v>
      </c>
      <c r="S5" s="34"/>
      <c r="T5" s="5" t="s">
        <v>62</v>
      </c>
      <c r="U5" s="5">
        <f>IF(Giovedì!$A12 &lt;&gt; "",Giovedì!$F12,0)</f>
        <v>0</v>
      </c>
      <c r="V5" s="5">
        <f>IF(Giovedì!$A12 &lt;&gt; "",Giovedì!$G12,0)</f>
        <v>0</v>
      </c>
      <c r="W5" s="5">
        <f>V5*Percentuali!$F$4</f>
        <v>0</v>
      </c>
      <c r="X5" s="5">
        <f>V5*Percentuali!$F$30</f>
        <v>0</v>
      </c>
      <c r="Y5" s="34"/>
      <c r="Z5" s="5" t="s">
        <v>62</v>
      </c>
      <c r="AA5" s="5">
        <f>IF(Venerdì!$A12 &lt;&gt; "",Venerdì!$F12,0)</f>
        <v>0</v>
      </c>
      <c r="AB5" s="5">
        <f>IF(Venerdì!$A12 &lt;&gt; "",Venerdì!$G12,0)</f>
        <v>0</v>
      </c>
      <c r="AC5" s="5">
        <f>AB5*Percentuali!$G$4</f>
        <v>0</v>
      </c>
      <c r="AD5" s="5">
        <f>AB5*Percentuali!$G$30</f>
        <v>0</v>
      </c>
      <c r="AE5" s="34"/>
      <c r="AF5" s="5" t="s">
        <v>62</v>
      </c>
      <c r="AG5" s="5">
        <f>IF(Sabato!$A12 &lt;&gt; "",Sabato!$F12,0)</f>
        <v>0</v>
      </c>
      <c r="AH5" s="5">
        <f>IF(Sabato!$A12 &lt;&gt; "",Sabato!$G12,0)</f>
        <v>0</v>
      </c>
      <c r="AI5" s="5">
        <f>AH5*Percentuali!$H$4</f>
        <v>0</v>
      </c>
      <c r="AJ5" s="5">
        <f>AH5*Percentuali!$H$30</f>
        <v>0</v>
      </c>
      <c r="AK5" s="34"/>
      <c r="AL5" s="5" t="s">
        <v>62</v>
      </c>
      <c r="AM5" s="5">
        <f>IF(Domenica!$A12 &lt;&gt; "",Domenica!$F12,0)</f>
        <v>0</v>
      </c>
      <c r="AN5" s="5">
        <f>IF(Domenica!$A12 &lt;&gt; "",Domenica!$G12,0)</f>
        <v>0</v>
      </c>
      <c r="AO5" s="5">
        <f>AN5*Percentuali!$I$4</f>
        <v>0</v>
      </c>
      <c r="AP5" s="5">
        <f>AN5*Percentuali!$I$30</f>
        <v>0</v>
      </c>
    </row>
    <row r="6" spans="2:42" x14ac:dyDescent="0.25">
      <c r="B6" s="5" t="s">
        <v>2</v>
      </c>
      <c r="C6" s="5">
        <f>IF(Lunedì!$A13 &lt;&gt; "",Lunedì!$F13,0)</f>
        <v>0</v>
      </c>
      <c r="D6" s="5">
        <f>IF(Lunedì!$A13 &lt;&gt; "",Lunedì!$G13,0)</f>
        <v>0</v>
      </c>
      <c r="E6" s="5">
        <f>D6*Percentuali!$C$4</f>
        <v>0</v>
      </c>
      <c r="F6" s="5">
        <f>D6*Percentuali!$C$30</f>
        <v>0</v>
      </c>
      <c r="G6" s="34"/>
      <c r="H6" s="5" t="s">
        <v>2</v>
      </c>
      <c r="I6" s="5">
        <f>IF(Martedì!$A13 &lt;&gt; "",Martedì!$F13,0)</f>
        <v>0</v>
      </c>
      <c r="J6" s="5">
        <f>IF(Martedì!$A13 &lt;&gt; "",Martedì!$G13,0)</f>
        <v>0</v>
      </c>
      <c r="K6" s="5">
        <f>J6*Percentuali!$D$4</f>
        <v>0</v>
      </c>
      <c r="L6" s="5">
        <f>J6*Percentuali!$D$30</f>
        <v>0</v>
      </c>
      <c r="M6" s="34"/>
      <c r="N6" s="5" t="s">
        <v>2</v>
      </c>
      <c r="O6" s="5">
        <f>IF(Mercoledì!$A13 &lt;&gt; "",Mercoledì!$F13,0)</f>
        <v>0</v>
      </c>
      <c r="P6" s="5">
        <f>IF(Mercoledì!$A13 &lt;&gt; "",Mercoledì!$G13,0)</f>
        <v>0</v>
      </c>
      <c r="Q6" s="5">
        <f>P6*Percentuali!$E$4</f>
        <v>0</v>
      </c>
      <c r="R6" s="5">
        <f>P6*Percentuali!$E$30</f>
        <v>0</v>
      </c>
      <c r="S6" s="34"/>
      <c r="T6" s="5" t="s">
        <v>2</v>
      </c>
      <c r="U6" s="5">
        <f>IF(Giovedì!$A13 &lt;&gt; "",Giovedì!$F13,0)</f>
        <v>0</v>
      </c>
      <c r="V6" s="5">
        <f>IF(Giovedì!$A13 &lt;&gt; "",Giovedì!$G13,0)</f>
        <v>0</v>
      </c>
      <c r="W6" s="5">
        <f>V6*Percentuali!$F$4</f>
        <v>0</v>
      </c>
      <c r="X6" s="5">
        <f>V6*Percentuali!$F$30</f>
        <v>0</v>
      </c>
      <c r="Y6" s="34"/>
      <c r="Z6" s="5" t="s">
        <v>2</v>
      </c>
      <c r="AA6" s="5">
        <f>IF(Venerdì!$A13 &lt;&gt; "",Venerdì!$F13,0)</f>
        <v>0</v>
      </c>
      <c r="AB6" s="5">
        <f>IF(Venerdì!$A13 &lt;&gt; "",Venerdì!$G13,0)</f>
        <v>0</v>
      </c>
      <c r="AC6" s="5">
        <f>AB6*Percentuali!$G$4</f>
        <v>0</v>
      </c>
      <c r="AD6" s="5">
        <f>AB6*Percentuali!$G$30</f>
        <v>0</v>
      </c>
      <c r="AE6" s="34"/>
      <c r="AF6" s="5" t="s">
        <v>2</v>
      </c>
      <c r="AG6" s="5">
        <f>IF(Sabato!$A13 &lt;&gt; "",Sabato!$F13,0)</f>
        <v>0</v>
      </c>
      <c r="AH6" s="5">
        <f>IF(Sabato!$A13 &lt;&gt; "",Sabato!$G13,0)</f>
        <v>0</v>
      </c>
      <c r="AI6" s="5">
        <f>AH6*Percentuali!$H$4</f>
        <v>0</v>
      </c>
      <c r="AJ6" s="5">
        <f>AH6*Percentuali!$H$30</f>
        <v>0</v>
      </c>
      <c r="AK6" s="34"/>
      <c r="AL6" s="5" t="s">
        <v>2</v>
      </c>
      <c r="AM6" s="5">
        <f>IF(Domenica!$A13 &lt;&gt; "",Domenica!$F13,0)</f>
        <v>0</v>
      </c>
      <c r="AN6" s="5">
        <f>IF(Domenica!$A13 &lt;&gt; "",Domenica!$G13,0)</f>
        <v>0</v>
      </c>
      <c r="AO6" s="5">
        <f>AN6*Percentuali!$I$4</f>
        <v>0</v>
      </c>
      <c r="AP6" s="5">
        <f>AN6*Percentuali!$I$30</f>
        <v>0</v>
      </c>
    </row>
    <row r="7" spans="2:42" x14ac:dyDescent="0.25">
      <c r="B7" s="5" t="s">
        <v>3</v>
      </c>
      <c r="C7" s="5">
        <f>IF(Lunedì!$A14 &lt;&gt; "",Lunedì!$F14,0)</f>
        <v>0</v>
      </c>
      <c r="D7" s="5">
        <f>IF(Lunedì!$A14 &lt;&gt; "",Lunedì!$G14,0)</f>
        <v>0</v>
      </c>
      <c r="E7" s="5">
        <f>D7*Percentuali!$C$4</f>
        <v>0</v>
      </c>
      <c r="F7" s="5">
        <f>D7*Percentuali!$C$30</f>
        <v>0</v>
      </c>
      <c r="G7" s="34"/>
      <c r="H7" s="5" t="s">
        <v>3</v>
      </c>
      <c r="I7" s="5">
        <f>IF(Martedì!$A14 &lt;&gt; "",Martedì!$F14,0)</f>
        <v>0</v>
      </c>
      <c r="J7" s="5">
        <f>IF(Martedì!$A14 &lt;&gt; "",Martedì!$G14,0)</f>
        <v>0</v>
      </c>
      <c r="K7" s="5">
        <f>J7*Percentuali!$D$4</f>
        <v>0</v>
      </c>
      <c r="L7" s="5">
        <f>J7*Percentuali!$D$30</f>
        <v>0</v>
      </c>
      <c r="M7" s="34"/>
      <c r="N7" s="5" t="s">
        <v>3</v>
      </c>
      <c r="O7" s="5">
        <f>IF(Mercoledì!$A14 &lt;&gt; "",Mercoledì!$F14,0)</f>
        <v>0</v>
      </c>
      <c r="P7" s="5">
        <f>IF(Mercoledì!$A14 &lt;&gt; "",Mercoledì!$G14,0)</f>
        <v>0</v>
      </c>
      <c r="Q7" s="5">
        <f>P7*Percentuali!$E$4</f>
        <v>0</v>
      </c>
      <c r="R7" s="5">
        <f>P7*Percentuali!$E$30</f>
        <v>0</v>
      </c>
      <c r="S7" s="34"/>
      <c r="T7" s="5" t="s">
        <v>3</v>
      </c>
      <c r="U7" s="5">
        <f>IF(Giovedì!$A14 &lt;&gt; "",Giovedì!$F14,0)</f>
        <v>0</v>
      </c>
      <c r="V7" s="5">
        <f>IF(Giovedì!$A14 &lt;&gt; "",Giovedì!$G14,0)</f>
        <v>0</v>
      </c>
      <c r="W7" s="5">
        <f>V7*Percentuali!$F$4</f>
        <v>0</v>
      </c>
      <c r="X7" s="5">
        <f>V7*Percentuali!$F$30</f>
        <v>0</v>
      </c>
      <c r="Y7" s="34"/>
      <c r="Z7" s="5" t="s">
        <v>3</v>
      </c>
      <c r="AA7" s="5">
        <f>IF(Venerdì!$A14 &lt;&gt; "",Venerdì!$F14,0)</f>
        <v>0</v>
      </c>
      <c r="AB7" s="5">
        <f>IF(Venerdì!$A14 &lt;&gt; "",Venerdì!$G14,0)</f>
        <v>0</v>
      </c>
      <c r="AC7" s="5">
        <f>AB7*Percentuali!$G$4</f>
        <v>0</v>
      </c>
      <c r="AD7" s="5">
        <f>AB7*Percentuali!$G$30</f>
        <v>0</v>
      </c>
      <c r="AE7" s="34"/>
      <c r="AF7" s="5" t="s">
        <v>3</v>
      </c>
      <c r="AG7" s="5">
        <f>IF(Sabato!$A14 &lt;&gt; "",Sabato!$F14,0)</f>
        <v>0</v>
      </c>
      <c r="AH7" s="5">
        <f>IF(Sabato!$A14 &lt;&gt; "",Sabato!$G14,0)</f>
        <v>0</v>
      </c>
      <c r="AI7" s="5">
        <f>AH7*Percentuali!$H$4</f>
        <v>0</v>
      </c>
      <c r="AJ7" s="5">
        <f>AH7*Percentuali!$H$30</f>
        <v>0</v>
      </c>
      <c r="AK7" s="34"/>
      <c r="AL7" s="5" t="s">
        <v>3</v>
      </c>
      <c r="AM7" s="5">
        <f>IF(Domenica!$A14 &lt;&gt; "",Domenica!$F14,0)</f>
        <v>0</v>
      </c>
      <c r="AN7" s="5">
        <f>IF(Domenica!$A14 &lt;&gt; "",Domenica!$G14,0)</f>
        <v>0</v>
      </c>
      <c r="AO7" s="5">
        <f>AN7*Percentuali!$I$4</f>
        <v>0</v>
      </c>
      <c r="AP7" s="5">
        <f>AN7*Percentuali!$I$30</f>
        <v>0</v>
      </c>
    </row>
    <row r="8" spans="2:42" x14ac:dyDescent="0.25">
      <c r="B8" s="5" t="s">
        <v>4</v>
      </c>
      <c r="C8" s="5">
        <f>IF(Lunedì!$A15 &lt;&gt; "",Lunedì!$F15,0)</f>
        <v>0</v>
      </c>
      <c r="D8" s="5">
        <f>IF(Lunedì!$A15 &lt;&gt; "",Lunedì!$G15,0)</f>
        <v>0</v>
      </c>
      <c r="E8" s="5">
        <f>D8*Percentuali!$C$4</f>
        <v>0</v>
      </c>
      <c r="F8" s="5">
        <f>D8*Percentuali!$C$30</f>
        <v>0</v>
      </c>
      <c r="G8" s="34"/>
      <c r="H8" s="5" t="s">
        <v>4</v>
      </c>
      <c r="I8" s="5">
        <f>IF(Martedì!$A15 &lt;&gt; "",Martedì!$F15,0)</f>
        <v>0</v>
      </c>
      <c r="J8" s="5">
        <f>IF(Martedì!$A15 &lt;&gt; "",Martedì!$G15,0)</f>
        <v>0</v>
      </c>
      <c r="K8" s="5">
        <f>J8*Percentuali!$D$4</f>
        <v>0</v>
      </c>
      <c r="L8" s="5">
        <f>J8*Percentuali!$D$30</f>
        <v>0</v>
      </c>
      <c r="M8" s="34"/>
      <c r="N8" s="5" t="s">
        <v>4</v>
      </c>
      <c r="O8" s="5">
        <f>IF(Mercoledì!$A15 &lt;&gt; "",Mercoledì!$F15,0)</f>
        <v>0</v>
      </c>
      <c r="P8" s="5">
        <f>IF(Mercoledì!$A15 &lt;&gt; "",Mercoledì!$G15,0)</f>
        <v>0</v>
      </c>
      <c r="Q8" s="5">
        <f>P8*Percentuali!$E$4</f>
        <v>0</v>
      </c>
      <c r="R8" s="5">
        <f>P8*Percentuali!$E$30</f>
        <v>0</v>
      </c>
      <c r="S8" s="34"/>
      <c r="T8" s="5" t="s">
        <v>4</v>
      </c>
      <c r="U8" s="5">
        <f>IF(Giovedì!$A15 &lt;&gt; "",Giovedì!$F15,0)</f>
        <v>0</v>
      </c>
      <c r="V8" s="5">
        <f>IF(Giovedì!$A15 &lt;&gt; "",Giovedì!$G15,0)</f>
        <v>0</v>
      </c>
      <c r="W8" s="5">
        <f>V8*Percentuali!$F$4</f>
        <v>0</v>
      </c>
      <c r="X8" s="5">
        <f>V8*Percentuali!$F$30</f>
        <v>0</v>
      </c>
      <c r="Y8" s="34"/>
      <c r="Z8" s="5" t="s">
        <v>4</v>
      </c>
      <c r="AA8" s="5">
        <f>IF(Venerdì!$A15 &lt;&gt; "",Venerdì!$F15,0)</f>
        <v>0</v>
      </c>
      <c r="AB8" s="5">
        <f>IF(Venerdì!$A15 &lt;&gt; "",Venerdì!$G15,0)</f>
        <v>0</v>
      </c>
      <c r="AC8" s="5">
        <f>AB8*Percentuali!$G$4</f>
        <v>0</v>
      </c>
      <c r="AD8" s="5">
        <f>AB8*Percentuali!$G$30</f>
        <v>0</v>
      </c>
      <c r="AE8" s="34"/>
      <c r="AF8" s="5" t="s">
        <v>4</v>
      </c>
      <c r="AG8" s="5">
        <f>IF(Sabato!$A15 &lt;&gt; "",Sabato!$F15,0)</f>
        <v>0</v>
      </c>
      <c r="AH8" s="5">
        <f>IF(Sabato!$A15 &lt;&gt; "",Sabato!$G15,0)</f>
        <v>0</v>
      </c>
      <c r="AI8" s="5">
        <f>AH8*Percentuali!$H$4</f>
        <v>0</v>
      </c>
      <c r="AJ8" s="5">
        <f>AH8*Percentuali!$H$30</f>
        <v>0</v>
      </c>
      <c r="AK8" s="34"/>
      <c r="AL8" s="5" t="s">
        <v>4</v>
      </c>
      <c r="AM8" s="5">
        <f>IF(Domenica!$A15 &lt;&gt; "",Domenica!$F15,0)</f>
        <v>0</v>
      </c>
      <c r="AN8" s="5">
        <f>IF(Domenica!$A15 &lt;&gt; "",Domenica!$G15,0)</f>
        <v>0</v>
      </c>
      <c r="AO8" s="5">
        <f>AN8*Percentuali!$I$4</f>
        <v>0</v>
      </c>
      <c r="AP8" s="5">
        <f>AN8*Percentuali!$I$30</f>
        <v>0</v>
      </c>
    </row>
    <row r="9" spans="2:42" x14ac:dyDescent="0.25">
      <c r="B9" s="5" t="s">
        <v>63</v>
      </c>
      <c r="C9" s="5">
        <f>IF(AND(Lunedì!$A17&lt;&gt;"",Lunedì!$A18&lt;&gt;""),Lunedì!$F17+Lunedì!$F18,0)</f>
        <v>0</v>
      </c>
      <c r="D9" s="5">
        <f>IF(AND(Lunedì!$A17&lt;&gt;"",Lunedì!$A18&lt;&gt;""),Lunedì!$G17+Lunedì!$G18,0)</f>
        <v>0</v>
      </c>
      <c r="E9" s="5">
        <f>D9*Percentuali!$C$5</f>
        <v>0</v>
      </c>
      <c r="F9" s="5">
        <f>D9*Percentuali!$C$31</f>
        <v>0</v>
      </c>
      <c r="G9" s="34"/>
      <c r="H9" s="5" t="s">
        <v>63</v>
      </c>
      <c r="I9" s="5">
        <f>IF(AND(Martedì!$A17&lt;&gt;"",Martedì!$A18&lt;&gt;""),Martedì!$F17+Martedì!$F18,0)</f>
        <v>0</v>
      </c>
      <c r="J9" s="5">
        <f>IF(AND(Martedì!$A17&lt;&gt;"",Martedì!$A18&lt;&gt;""),Martedì!$G17+Martedì!$G18,0)</f>
        <v>0</v>
      </c>
      <c r="K9" s="5">
        <f>J9*Percentuali!$D$5</f>
        <v>0</v>
      </c>
      <c r="L9" s="5">
        <f>J9*Percentuali!$D$31</f>
        <v>0</v>
      </c>
      <c r="M9" s="34"/>
      <c r="N9" s="5" t="s">
        <v>63</v>
      </c>
      <c r="O9" s="5">
        <f>IF(AND(Mercoledì!$A17&lt;&gt;"",Mercoledì!$A18&lt;&gt;""),Mercoledì!$F17+Mercoledì!$F18,0)</f>
        <v>0</v>
      </c>
      <c r="P9" s="5">
        <f>IF(AND(Mercoledì!$A17&lt;&gt;"",Mercoledì!$A18&lt;&gt;""),Mercoledì!$G17+Mercoledì!$G18,0)</f>
        <v>0</v>
      </c>
      <c r="Q9" s="5">
        <f>P9*Percentuali!$E$5</f>
        <v>0</v>
      </c>
      <c r="R9" s="5">
        <f>P9*Percentuali!$E$31</f>
        <v>0</v>
      </c>
      <c r="S9" s="34"/>
      <c r="T9" s="5" t="s">
        <v>63</v>
      </c>
      <c r="U9" s="5">
        <f>IF(AND(Giovedì!$A17&lt;&gt;"",Giovedì!$A18&lt;&gt;""),Giovedì!$F17+Giovedì!$F18,0)</f>
        <v>0</v>
      </c>
      <c r="V9" s="5">
        <f>IF(AND(Giovedì!$A17&lt;&gt;"",Giovedì!$A18&lt;&gt;""),Giovedì!$G17+Giovedì!$G18,0)</f>
        <v>0</v>
      </c>
      <c r="W9" s="5">
        <f>V9*Percentuali!$F$5</f>
        <v>0</v>
      </c>
      <c r="X9" s="5">
        <f>V9*Percentuali!$F$31</f>
        <v>0</v>
      </c>
      <c r="Y9" s="34"/>
      <c r="Z9" s="5" t="s">
        <v>63</v>
      </c>
      <c r="AA9" s="5">
        <f>IF(AND(Venerdì!$A17&lt;&gt;"",Venerdì!$A18&lt;&gt;""),Venerdì!$F17+Venerdì!$F18,0)</f>
        <v>0</v>
      </c>
      <c r="AB9" s="5">
        <f>IF(AND(Venerdì!$A17&lt;&gt;"",Venerdì!$A18&lt;&gt;""),Venerdì!$G17+Venerdì!$G18,0)</f>
        <v>0</v>
      </c>
      <c r="AC9" s="5">
        <f>AB9*Percentuali!$G$5</f>
        <v>0</v>
      </c>
      <c r="AD9" s="5">
        <f>AB9*Percentuali!$G$31</f>
        <v>0</v>
      </c>
      <c r="AE9" s="34"/>
      <c r="AF9" s="5" t="s">
        <v>63</v>
      </c>
      <c r="AG9" s="5">
        <f>IF(AND(Sabato!$A17&lt;&gt;"",Sabato!$A18&lt;&gt;""),Sabato!$F17+Sabato!$F18,0)</f>
        <v>0</v>
      </c>
      <c r="AH9" s="5">
        <f>IF(AND(Sabato!$A17&lt;&gt;"",Sabato!$A18&lt;&gt;""),Sabato!$G17+Sabato!$G18,0)</f>
        <v>0</v>
      </c>
      <c r="AI9" s="5">
        <f>AH9*Percentuali!$H$5</f>
        <v>0</v>
      </c>
      <c r="AJ9" s="5">
        <f>AH9*Percentuali!$H$31</f>
        <v>0</v>
      </c>
      <c r="AK9" s="34"/>
      <c r="AL9" s="5" t="s">
        <v>63</v>
      </c>
      <c r="AM9" s="5">
        <f>IF(AND(Domenica!$A17&lt;&gt;"",Domenica!$A18&lt;&gt;""),Domenica!$F17+Domenica!$F18,0)</f>
        <v>0</v>
      </c>
      <c r="AN9" s="5">
        <f>IF(AND(Domenica!$A17&lt;&gt;"",Domenica!$A18&lt;&gt;""),Domenica!$G17+Domenica!$G18,0)</f>
        <v>0</v>
      </c>
      <c r="AO9" s="5">
        <f>AN9*Percentuali!$I$5</f>
        <v>0</v>
      </c>
      <c r="AP9" s="5">
        <f>AN9*Percentuali!$I$31</f>
        <v>0</v>
      </c>
    </row>
    <row r="10" spans="2:42" x14ac:dyDescent="0.25">
      <c r="B10" s="5" t="s">
        <v>5</v>
      </c>
      <c r="C10" s="5">
        <f>IF(AND(Lunedì!$A19&lt;&gt;"",Lunedì!$A20&lt;&gt;""),Lunedì!$F19+Lunedì!$F20,0)</f>
        <v>0</v>
      </c>
      <c r="D10" s="5">
        <f>IF(AND(Lunedì!$A19&lt;&gt;"",Lunedì!$A20&lt;&gt;""),Lunedì!$G19+Lunedì!$G20,0)</f>
        <v>0</v>
      </c>
      <c r="E10" s="5">
        <f>D10*Percentuali!$C$5</f>
        <v>0</v>
      </c>
      <c r="F10" s="5">
        <f>D10*Percentuali!$C$31</f>
        <v>0</v>
      </c>
      <c r="G10" s="34"/>
      <c r="H10" s="5" t="s">
        <v>5</v>
      </c>
      <c r="I10" s="5">
        <f>IF(AND(Martedì!$A19&lt;&gt;"",Martedì!$A20&lt;&gt;""),Martedì!$F19+Martedì!$F20,0)</f>
        <v>0</v>
      </c>
      <c r="J10" s="5">
        <f>IF(AND(Martedì!$A19&lt;&gt;"",Martedì!$A20&lt;&gt;""),Martedì!$G19+Martedì!$G20,0)</f>
        <v>0</v>
      </c>
      <c r="K10" s="5">
        <f>J10*Percentuali!$D$5</f>
        <v>0</v>
      </c>
      <c r="L10" s="5">
        <f>J10*Percentuali!$D$31</f>
        <v>0</v>
      </c>
      <c r="M10" s="34"/>
      <c r="N10" s="5" t="s">
        <v>5</v>
      </c>
      <c r="O10" s="5">
        <f>IF(AND(Mercoledì!$A19&lt;&gt;"",Mercoledì!$A20&lt;&gt;""),Mercoledì!$F19+Mercoledì!$F20,0)</f>
        <v>0</v>
      </c>
      <c r="P10" s="5">
        <f>IF(AND(Mercoledì!$A19&lt;&gt;"",Mercoledì!$A20&lt;&gt;""),Mercoledì!$G19+Mercoledì!$G20,0)</f>
        <v>0</v>
      </c>
      <c r="Q10" s="5">
        <f>P10*Percentuali!$E$5</f>
        <v>0</v>
      </c>
      <c r="R10" s="5">
        <f>P10*Percentuali!$E$31</f>
        <v>0</v>
      </c>
      <c r="S10" s="34"/>
      <c r="T10" s="5" t="s">
        <v>5</v>
      </c>
      <c r="U10" s="5">
        <f>IF(AND(Giovedì!$A19&lt;&gt;"",Giovedì!$A20&lt;&gt;""),Giovedì!$F19+Giovedì!$F20,0)</f>
        <v>0</v>
      </c>
      <c r="V10" s="5">
        <f>IF(AND(Giovedì!$A19&lt;&gt;"",Giovedì!$A20&lt;&gt;""),Giovedì!$G19+Giovedì!$G20,0)</f>
        <v>0</v>
      </c>
      <c r="W10" s="5">
        <f>V10*Percentuali!$F$5</f>
        <v>0</v>
      </c>
      <c r="X10" s="5">
        <f>V10*Percentuali!$F$31</f>
        <v>0</v>
      </c>
      <c r="Y10" s="34"/>
      <c r="Z10" s="5" t="s">
        <v>5</v>
      </c>
      <c r="AA10" s="5">
        <f>IF(AND(Venerdì!$A19&lt;&gt;"",Venerdì!$A20&lt;&gt;""),Venerdì!$F19+Venerdì!$F20,0)</f>
        <v>0</v>
      </c>
      <c r="AB10" s="5">
        <f>IF(AND(Venerdì!$A19&lt;&gt;"",Venerdì!$A20&lt;&gt;""),Venerdì!$G19+Venerdì!$G20,0)</f>
        <v>0</v>
      </c>
      <c r="AC10" s="5">
        <f>AB10*Percentuali!$G$5</f>
        <v>0</v>
      </c>
      <c r="AD10" s="5">
        <f>AB10*Percentuali!$G$31</f>
        <v>0</v>
      </c>
      <c r="AE10" s="34"/>
      <c r="AF10" s="5" t="s">
        <v>5</v>
      </c>
      <c r="AG10" s="5">
        <f>IF(AND(Sabato!$A19&lt;&gt;"",Sabato!$A20&lt;&gt;""),Sabato!$F19+Sabato!$F20,0)</f>
        <v>0</v>
      </c>
      <c r="AH10" s="5">
        <f>IF(AND(Sabato!$A19&lt;&gt;"",Sabato!$A20&lt;&gt;""),Sabato!$G19+Sabato!$G20,0)</f>
        <v>0</v>
      </c>
      <c r="AI10" s="5">
        <f>AH10*Percentuali!$H$5</f>
        <v>0</v>
      </c>
      <c r="AJ10" s="5">
        <f>AH10*Percentuali!$H$31</f>
        <v>0</v>
      </c>
      <c r="AK10" s="34"/>
      <c r="AL10" s="5" t="s">
        <v>5</v>
      </c>
      <c r="AM10" s="5">
        <f>IF(AND(Domenica!$A19&lt;&gt;"",Domenica!$A20&lt;&gt;""),Domenica!$F19+Domenica!$F20,0)</f>
        <v>0</v>
      </c>
      <c r="AN10" s="5">
        <f>IF(AND(Domenica!$A19&lt;&gt;"",Domenica!$A20&lt;&gt;""),Domenica!$G19+Domenica!$G20,0)</f>
        <v>0</v>
      </c>
      <c r="AO10" s="5">
        <f>AN10*Percentuali!$I$5</f>
        <v>0</v>
      </c>
      <c r="AP10" s="5">
        <f>AN10*Percentuali!$I$31</f>
        <v>0</v>
      </c>
    </row>
    <row r="11" spans="2:42" x14ac:dyDescent="0.25">
      <c r="B11" s="5" t="s">
        <v>64</v>
      </c>
      <c r="C11" s="5">
        <f>IF(AND(Lunedì!$A22&lt;&gt;"",Lunedì!$A23&lt;&gt;""),Lunedì!$F22+Lunedì!$F23,0)</f>
        <v>0</v>
      </c>
      <c r="D11" s="5">
        <f>IF(AND(Lunedì!$A22&lt;&gt;"",Lunedì!$A23&lt;&gt;""),Lunedì!$G22+Lunedì!$G23,0)</f>
        <v>0</v>
      </c>
      <c r="E11" s="5">
        <f>D11*Percentuali!$C$6</f>
        <v>0</v>
      </c>
      <c r="F11" s="5">
        <f>D11*Percentuali!$C$32</f>
        <v>0</v>
      </c>
      <c r="G11" s="34"/>
      <c r="H11" s="5" t="s">
        <v>64</v>
      </c>
      <c r="I11" s="5">
        <f>IF(AND(Martedì!$A22&lt;&gt;"",Martedì!$A23&lt;&gt;""),Martedì!$F22+Martedì!$F23,0)</f>
        <v>0</v>
      </c>
      <c r="J11" s="5">
        <f>IF(AND(Martedì!$A22&lt;&gt;"",Martedì!$A23&lt;&gt;""),Martedì!$G22+Martedì!$G23,0)</f>
        <v>0</v>
      </c>
      <c r="K11" s="5">
        <f>J11*Percentuali!$D$6</f>
        <v>0</v>
      </c>
      <c r="L11" s="5">
        <f>J11*Percentuali!$D$32</f>
        <v>0</v>
      </c>
      <c r="M11" s="34"/>
      <c r="N11" s="5" t="s">
        <v>64</v>
      </c>
      <c r="O11" s="5">
        <f>IF(AND(Mercoledì!$A22&lt;&gt;"",Mercoledì!$A23&lt;&gt;""),Mercoledì!$F22+Mercoledì!$F23,0)</f>
        <v>0</v>
      </c>
      <c r="P11" s="5">
        <f>IF(AND(Mercoledì!$A22&lt;&gt;"",Mercoledì!$A23&lt;&gt;""),Mercoledì!$G22+Mercoledì!$G23,0)</f>
        <v>0</v>
      </c>
      <c r="Q11" s="5">
        <f>P11*Percentuali!$E$6</f>
        <v>0</v>
      </c>
      <c r="R11" s="5">
        <f>P11*Percentuali!$E$32</f>
        <v>0</v>
      </c>
      <c r="S11" s="34"/>
      <c r="T11" s="5" t="s">
        <v>64</v>
      </c>
      <c r="U11" s="5">
        <f>IF(AND(Giovedì!$A22&lt;&gt;"",Giovedì!$A23&lt;&gt;""),Giovedì!$F22+Giovedì!$F23,0)</f>
        <v>0</v>
      </c>
      <c r="V11" s="5">
        <f>IF(AND(Giovedì!$A22&lt;&gt;"",Giovedì!$A23&lt;&gt;""),Giovedì!$G22+Giovedì!$G23,0)</f>
        <v>0</v>
      </c>
      <c r="W11" s="5">
        <f>V11*Percentuali!$F$6</f>
        <v>0</v>
      </c>
      <c r="X11" s="5">
        <f>V11*Percentuali!$F$32</f>
        <v>0</v>
      </c>
      <c r="Y11" s="34"/>
      <c r="Z11" s="5" t="s">
        <v>64</v>
      </c>
      <c r="AA11" s="5">
        <f>IF(AND(Venerdì!$A22&lt;&gt;"",Venerdì!$A23&lt;&gt;""),Venerdì!$F22+Venerdì!$F23,0)</f>
        <v>0</v>
      </c>
      <c r="AB11" s="5">
        <f>IF(AND(Venerdì!$A22&lt;&gt;"",Venerdì!$A23&lt;&gt;""),Venerdì!$G22+Venerdì!$G23,0)</f>
        <v>0</v>
      </c>
      <c r="AC11" s="5">
        <f>AB11*Percentuali!$G$6</f>
        <v>0</v>
      </c>
      <c r="AD11" s="5">
        <f>AB11*Percentuali!$G$32</f>
        <v>0</v>
      </c>
      <c r="AE11" s="34"/>
      <c r="AF11" s="5" t="s">
        <v>64</v>
      </c>
      <c r="AG11" s="5">
        <f>IF(AND(Sabato!$A22&lt;&gt;"",Sabato!$A23&lt;&gt;""),Sabato!$F22+Sabato!$F23,0)</f>
        <v>0</v>
      </c>
      <c r="AH11" s="5">
        <f>IF(AND(Sabato!$A22&lt;&gt;"",Sabato!$A23&lt;&gt;""),Sabato!$G22+Sabato!$G23,0)</f>
        <v>0</v>
      </c>
      <c r="AI11" s="5">
        <f>AH11*Percentuali!$H$6</f>
        <v>0</v>
      </c>
      <c r="AJ11" s="5">
        <f>AH11*Percentuali!$H$32</f>
        <v>0</v>
      </c>
      <c r="AK11" s="34"/>
      <c r="AL11" s="5" t="s">
        <v>64</v>
      </c>
      <c r="AM11" s="5">
        <f>IF(AND(Domenica!$A22&lt;&gt;"",Domenica!$A23&lt;&gt;""),Domenica!$F22+Domenica!$F23,0)</f>
        <v>0</v>
      </c>
      <c r="AN11" s="5">
        <f>IF(AND(Domenica!$A22&lt;&gt;"",Domenica!$A23&lt;&gt;""),Domenica!$G22+Domenica!$G23,0)</f>
        <v>0</v>
      </c>
      <c r="AO11" s="5">
        <f>AN11*Percentuali!$I$6</f>
        <v>0</v>
      </c>
      <c r="AP11" s="5">
        <f>AN11*Percentuali!$I$32</f>
        <v>0</v>
      </c>
    </row>
    <row r="12" spans="2:42" x14ac:dyDescent="0.25">
      <c r="B12" s="5" t="s">
        <v>6</v>
      </c>
      <c r="C12" s="5">
        <f>IF(AND(Lunedì!$A24&lt;&gt;"",Lunedì!$A25&lt;&gt;""),Lunedì!$F24+Lunedì!$F25,0)</f>
        <v>0</v>
      </c>
      <c r="D12" s="5">
        <f>IF(AND(Lunedì!$A24&lt;&gt;"",Lunedì!$A25&lt;&gt;""),Lunedì!$G24+Lunedì!$G25,0)</f>
        <v>0</v>
      </c>
      <c r="E12" s="5">
        <f>D12*Percentuali!$C$6</f>
        <v>0</v>
      </c>
      <c r="F12" s="5">
        <f>D12*Percentuali!$C$32</f>
        <v>0</v>
      </c>
      <c r="G12" s="34"/>
      <c r="H12" s="5" t="s">
        <v>6</v>
      </c>
      <c r="I12" s="5">
        <f>IF(AND(Martedì!$A24&lt;&gt;"",Martedì!$A25&lt;&gt;""),Martedì!$F24+Martedì!$F25,0)</f>
        <v>0</v>
      </c>
      <c r="J12" s="5">
        <f>IF(AND(Martedì!$A24&lt;&gt;"",Martedì!$A25&lt;&gt;""),Martedì!$G24+Martedì!$G25,0)</f>
        <v>0</v>
      </c>
      <c r="K12" s="5">
        <f>J12*Percentuali!$D$6</f>
        <v>0</v>
      </c>
      <c r="L12" s="5">
        <f>J12*Percentuali!$D$32</f>
        <v>0</v>
      </c>
      <c r="M12" s="34"/>
      <c r="N12" s="5" t="s">
        <v>6</v>
      </c>
      <c r="O12" s="5">
        <f>IF(AND(Mercoledì!$A24&lt;&gt;"",Mercoledì!$A25&lt;&gt;""),Mercoledì!$F24+Mercoledì!$F25,0)</f>
        <v>0</v>
      </c>
      <c r="P12" s="5">
        <f>IF(AND(Mercoledì!$A24&lt;&gt;"",Mercoledì!$A25&lt;&gt;""),Mercoledì!$G24+Mercoledì!$G25,0)</f>
        <v>0</v>
      </c>
      <c r="Q12" s="5">
        <f>P12*Percentuali!$E$6</f>
        <v>0</v>
      </c>
      <c r="R12" s="5">
        <f>P12*Percentuali!$E$32</f>
        <v>0</v>
      </c>
      <c r="S12" s="34"/>
      <c r="T12" s="5" t="s">
        <v>6</v>
      </c>
      <c r="U12" s="5">
        <f>IF(AND(Giovedì!$A24&lt;&gt;"",Giovedì!$A25&lt;&gt;""),Giovedì!$F24+Giovedì!$F25,0)</f>
        <v>0</v>
      </c>
      <c r="V12" s="5">
        <f>IF(AND(Giovedì!$A24&lt;&gt;"",Giovedì!$A25&lt;&gt;""),Giovedì!$G24+Giovedì!$G25,0)</f>
        <v>0</v>
      </c>
      <c r="W12" s="5">
        <f>V12*Percentuali!$F$6</f>
        <v>0</v>
      </c>
      <c r="X12" s="5">
        <f>V12*Percentuali!$F$32</f>
        <v>0</v>
      </c>
      <c r="Y12" s="34"/>
      <c r="Z12" s="5" t="s">
        <v>6</v>
      </c>
      <c r="AA12" s="5">
        <f>IF(AND(Venerdì!$A24&lt;&gt;"",Venerdì!$A25&lt;&gt;""),Venerdì!$F24+Venerdì!$F25,0)</f>
        <v>0</v>
      </c>
      <c r="AB12" s="5">
        <f>IF(AND(Venerdì!$A24&lt;&gt;"",Venerdì!$A25&lt;&gt;""),Venerdì!$G24+Venerdì!$G25,0)</f>
        <v>0</v>
      </c>
      <c r="AC12" s="5">
        <f>AB12*Percentuali!$G$6</f>
        <v>0</v>
      </c>
      <c r="AD12" s="5">
        <f>AB12*Percentuali!$G$32</f>
        <v>0</v>
      </c>
      <c r="AE12" s="34"/>
      <c r="AF12" s="5" t="s">
        <v>6</v>
      </c>
      <c r="AG12" s="5">
        <f>IF(AND(Sabato!$A24&lt;&gt;"",Sabato!$A25&lt;&gt;""),Sabato!$F24+Sabato!$F25,0)</f>
        <v>0</v>
      </c>
      <c r="AH12" s="5">
        <f>IF(AND(Sabato!$A24&lt;&gt;"",Sabato!$A25&lt;&gt;""),Sabato!$G24+Sabato!$G25,0)</f>
        <v>0</v>
      </c>
      <c r="AI12" s="5">
        <f>AH12*Percentuali!$H$6</f>
        <v>0</v>
      </c>
      <c r="AJ12" s="5">
        <f>AH12*Percentuali!$H$32</f>
        <v>0</v>
      </c>
      <c r="AK12" s="34"/>
      <c r="AL12" s="5" t="s">
        <v>6</v>
      </c>
      <c r="AM12" s="5">
        <f>IF(AND(Domenica!$A24&lt;&gt;"",Domenica!$A25&lt;&gt;""),Domenica!$F24+Domenica!$F25,0)</f>
        <v>0</v>
      </c>
      <c r="AN12" s="5">
        <f>IF(AND(Domenica!$A24&lt;&gt;"",Domenica!$A25&lt;&gt;""),Domenica!$G24+Domenica!$G25,0)</f>
        <v>0</v>
      </c>
      <c r="AO12" s="5">
        <f>AN12*Percentuali!$I$6</f>
        <v>0</v>
      </c>
      <c r="AP12" s="5">
        <f>AN12*Percentuali!$I$32</f>
        <v>0</v>
      </c>
    </row>
    <row r="13" spans="2:42" x14ac:dyDescent="0.25">
      <c r="B13" s="5" t="s">
        <v>65</v>
      </c>
      <c r="C13" s="5">
        <f>IF(AND(Lunedì!$A27&lt;&gt;"",Lunedì!$A28&lt;&gt;""),Lunedì!$F27+Lunedì!$F28,0)</f>
        <v>0</v>
      </c>
      <c r="D13" s="5">
        <f>IF(AND(Lunedì!$A27&lt;&gt;"",Lunedì!$A28&lt;&gt;""),Lunedì!$G27+Lunedì!$G28,0)</f>
        <v>0</v>
      </c>
      <c r="E13" s="5">
        <f>D13*Percentuali!$C$7</f>
        <v>0</v>
      </c>
      <c r="F13" s="5">
        <f>D13*Percentuali!$C$33</f>
        <v>0</v>
      </c>
      <c r="G13" s="34"/>
      <c r="H13" s="5" t="s">
        <v>65</v>
      </c>
      <c r="I13" s="5">
        <f>IF(AND(Martedì!$A27&lt;&gt;"",Martedì!$A28&lt;&gt;""),Martedì!$F27+Martedì!$F28,0)</f>
        <v>0</v>
      </c>
      <c r="J13" s="5">
        <f>IF(AND(Martedì!$A27&lt;&gt;"",Martedì!$A28&lt;&gt;""),Martedì!$G27+Martedì!$G28,0)</f>
        <v>0</v>
      </c>
      <c r="K13" s="5">
        <f>J13*Percentuali!$D$7</f>
        <v>0</v>
      </c>
      <c r="L13" s="5">
        <f>J13*Percentuali!$D$33</f>
        <v>0</v>
      </c>
      <c r="M13" s="34"/>
      <c r="N13" s="5" t="s">
        <v>65</v>
      </c>
      <c r="O13" s="5">
        <f>IF(AND(Mercoledì!$A27&lt;&gt;"",Mercoledì!$A28&lt;&gt;""),Mercoledì!$F27+Mercoledì!$F28,0)</f>
        <v>0</v>
      </c>
      <c r="P13" s="5">
        <f>IF(AND(Mercoledì!$A27&lt;&gt;"",Mercoledì!$A28&lt;&gt;""),Mercoledì!$G27+Mercoledì!$G28,0)</f>
        <v>0</v>
      </c>
      <c r="Q13" s="5">
        <f>P13*Percentuali!$E$7</f>
        <v>0</v>
      </c>
      <c r="R13" s="5">
        <f>P13*Percentuali!$E$33</f>
        <v>0</v>
      </c>
      <c r="S13" s="34"/>
      <c r="T13" s="5" t="s">
        <v>65</v>
      </c>
      <c r="U13" s="5">
        <f>IF(AND(Giovedì!$A27&lt;&gt;"",Giovedì!$A28&lt;&gt;""),Giovedì!$F27+Giovedì!$F28,0)</f>
        <v>0</v>
      </c>
      <c r="V13" s="5">
        <f>IF(AND(Giovedì!$A27&lt;&gt;"",Giovedì!$A28&lt;&gt;""),Giovedì!$G27+Giovedì!$G28,0)</f>
        <v>0</v>
      </c>
      <c r="W13" s="5">
        <f>V13*Percentuali!$F$7</f>
        <v>0</v>
      </c>
      <c r="X13" s="5">
        <f>V13*Percentuali!$F$33</f>
        <v>0</v>
      </c>
      <c r="Y13" s="34"/>
      <c r="Z13" s="5" t="s">
        <v>65</v>
      </c>
      <c r="AA13" s="5">
        <f>IF(AND(Venerdì!$A27&lt;&gt;"",Venerdì!$A28&lt;&gt;""),Venerdì!$F27+Venerdì!$F28,0)</f>
        <v>0</v>
      </c>
      <c r="AB13" s="5">
        <f>IF(AND(Venerdì!$A27&lt;&gt;"",Venerdì!$A28&lt;&gt;""),Venerdì!$G27+Venerdì!$G28,0)</f>
        <v>0</v>
      </c>
      <c r="AC13" s="5">
        <f>AB13*Percentuali!$G$7</f>
        <v>0</v>
      </c>
      <c r="AD13" s="5">
        <f>AB13*Percentuali!$G$33</f>
        <v>0</v>
      </c>
      <c r="AE13" s="34"/>
      <c r="AF13" s="5" t="s">
        <v>65</v>
      </c>
      <c r="AG13" s="5">
        <f>IF(AND(Sabato!$A27&lt;&gt;"",Sabato!$A28&lt;&gt;""),Sabato!$F27+Sabato!$F28,0)</f>
        <v>0</v>
      </c>
      <c r="AH13" s="5">
        <f>IF(AND(Sabato!$A27&lt;&gt;"",Sabato!$A28&lt;&gt;""),Sabato!$G27+Sabato!$G28,0)</f>
        <v>0</v>
      </c>
      <c r="AI13" s="5">
        <f>AH13*Percentuali!$H$7</f>
        <v>0</v>
      </c>
      <c r="AJ13" s="5">
        <f>AH13*Percentuali!$H$33</f>
        <v>0</v>
      </c>
      <c r="AK13" s="34"/>
      <c r="AL13" s="5" t="s">
        <v>65</v>
      </c>
      <c r="AM13" s="5">
        <f>IF(AND(Domenica!$A27&lt;&gt;"",Domenica!$A28&lt;&gt;""),Domenica!$F27+Domenica!$F28,0)</f>
        <v>0</v>
      </c>
      <c r="AN13" s="5">
        <f>IF(AND(Domenica!$A27&lt;&gt;"",Domenica!$A28&lt;&gt;""),Domenica!$G27+Domenica!$G28,0)</f>
        <v>0</v>
      </c>
      <c r="AO13" s="5">
        <f>AN13*Percentuali!$I$7</f>
        <v>0</v>
      </c>
      <c r="AP13" s="5">
        <f>AN13*Percentuali!$I$33</f>
        <v>0</v>
      </c>
    </row>
    <row r="14" spans="2:42" x14ac:dyDescent="0.25">
      <c r="B14" s="5" t="s">
        <v>7</v>
      </c>
      <c r="C14" s="5">
        <f>IF(AND(Lunedì!$A29&lt;&gt;"",Lunedì!$A30&lt;&gt;""),Lunedì!$F29+Lunedì!$F30,0)</f>
        <v>0</v>
      </c>
      <c r="D14" s="5">
        <f>IF(AND(Lunedì!$A29&lt;&gt;"",Lunedì!$A30&lt;&gt;""),Lunedì!$G29+Lunedì!$G30,0)</f>
        <v>0</v>
      </c>
      <c r="E14" s="5">
        <f>D14*Percentuali!$C$7</f>
        <v>0</v>
      </c>
      <c r="F14" s="5">
        <f>D14*Percentuali!$C$33</f>
        <v>0</v>
      </c>
      <c r="G14" s="34"/>
      <c r="H14" s="5" t="s">
        <v>7</v>
      </c>
      <c r="I14" s="5">
        <f>IF(AND(Martedì!$A29&lt;&gt;"",Martedì!$A30&lt;&gt;""),Martedì!$F29+Martedì!$F30,0)</f>
        <v>0</v>
      </c>
      <c r="J14" s="5">
        <f>IF(AND(Martedì!$A29&lt;&gt;"",Martedì!$A30&lt;&gt;""),Martedì!$G29+Martedì!$G30,0)</f>
        <v>0</v>
      </c>
      <c r="K14" s="5">
        <f>J14*Percentuali!$D$7</f>
        <v>0</v>
      </c>
      <c r="L14" s="5">
        <f>J14*Percentuali!$D$33</f>
        <v>0</v>
      </c>
      <c r="M14" s="34"/>
      <c r="N14" s="5" t="s">
        <v>7</v>
      </c>
      <c r="O14" s="5">
        <f>IF(AND(Mercoledì!$A29&lt;&gt;"",Mercoledì!$A30&lt;&gt;""),Mercoledì!$F29+Mercoledì!$F30,0)</f>
        <v>0</v>
      </c>
      <c r="P14" s="5">
        <f>IF(AND(Mercoledì!$A29&lt;&gt;"",Mercoledì!$A30&lt;&gt;""),Mercoledì!$G29+Mercoledì!$G30,0)</f>
        <v>0</v>
      </c>
      <c r="Q14" s="5">
        <f>P14*Percentuali!$E$7</f>
        <v>0</v>
      </c>
      <c r="R14" s="5">
        <f>P14*Percentuali!$E$33</f>
        <v>0</v>
      </c>
      <c r="S14" s="34"/>
      <c r="T14" s="5" t="s">
        <v>7</v>
      </c>
      <c r="U14" s="5">
        <f>IF(AND(Giovedì!$A29&lt;&gt;"",Giovedì!$A30&lt;&gt;""),Giovedì!$F29+Giovedì!$F30,0)</f>
        <v>0</v>
      </c>
      <c r="V14" s="5">
        <f>IF(AND(Giovedì!$A29&lt;&gt;"",Giovedì!$A30&lt;&gt;""),Giovedì!$G29+Giovedì!$G30,0)</f>
        <v>0</v>
      </c>
      <c r="W14" s="5">
        <f>V14*Percentuali!$F$7</f>
        <v>0</v>
      </c>
      <c r="X14" s="5">
        <f>V14*Percentuali!$F$33</f>
        <v>0</v>
      </c>
      <c r="Y14" s="34"/>
      <c r="Z14" s="5" t="s">
        <v>7</v>
      </c>
      <c r="AA14" s="5">
        <f>IF(AND(Venerdì!$A29&lt;&gt;"",Venerdì!$A30&lt;&gt;""),Venerdì!$F29+Venerdì!$F30,0)</f>
        <v>0</v>
      </c>
      <c r="AB14" s="5">
        <f>IF(AND(Venerdì!$A29&lt;&gt;"",Venerdì!$A30&lt;&gt;""),Venerdì!$G29+Venerdì!$G30,0)</f>
        <v>0</v>
      </c>
      <c r="AC14" s="5">
        <f>AB14*Percentuali!$G$7</f>
        <v>0</v>
      </c>
      <c r="AD14" s="5">
        <f>AB14*Percentuali!$G$33</f>
        <v>0</v>
      </c>
      <c r="AE14" s="34"/>
      <c r="AF14" s="5" t="s">
        <v>7</v>
      </c>
      <c r="AG14" s="5">
        <f>IF(AND(Sabato!$A29&lt;&gt;"",Sabato!$A30&lt;&gt;""),Sabato!$F29+Sabato!$F30,0)</f>
        <v>0</v>
      </c>
      <c r="AH14" s="5">
        <f>IF(AND(Sabato!$A29&lt;&gt;"",Sabato!$A30&lt;&gt;""),Sabato!$G29+Sabato!$G30,0)</f>
        <v>0</v>
      </c>
      <c r="AI14" s="5">
        <f>AH14*Percentuali!$H$7</f>
        <v>0</v>
      </c>
      <c r="AJ14" s="5">
        <f>AH14*Percentuali!$H$33</f>
        <v>0</v>
      </c>
      <c r="AK14" s="34"/>
      <c r="AL14" s="5" t="s">
        <v>7</v>
      </c>
      <c r="AM14" s="5">
        <f>IF(AND(Domenica!$A29&lt;&gt;"",Domenica!$A30&lt;&gt;""),Domenica!$F29+Domenica!$F30,0)</f>
        <v>0</v>
      </c>
      <c r="AN14" s="5">
        <f>IF(AND(Domenica!$A29&lt;&gt;"",Domenica!$A30&lt;&gt;""),Domenica!$G29+Domenica!$G30,0)</f>
        <v>0</v>
      </c>
      <c r="AO14" s="5">
        <f>AN14*Percentuali!$I$7</f>
        <v>0</v>
      </c>
      <c r="AP14" s="5">
        <f>AN14*Percentuali!$I$33</f>
        <v>0</v>
      </c>
    </row>
    <row r="15" spans="2:42" x14ac:dyDescent="0.25">
      <c r="B15" s="5" t="s">
        <v>66</v>
      </c>
      <c r="C15" s="5">
        <f>IF(AND(Lunedì!$A32&lt;&gt;"",Lunedì!$A33&lt;&gt;""),Lunedì!$F32+Lunedì!$F33,0)</f>
        <v>0</v>
      </c>
      <c r="D15" s="5">
        <f>IF(AND(Lunedì!$A32&lt;&gt;"",Lunedì!$A33&lt;&gt;""),Lunedì!$G32+Lunedì!$G33,0)</f>
        <v>0</v>
      </c>
      <c r="E15" s="5">
        <f>D15*Percentuali!$C$8</f>
        <v>0</v>
      </c>
      <c r="F15" s="5">
        <f>D15*Percentuali!$C$34</f>
        <v>0</v>
      </c>
      <c r="G15" s="34"/>
      <c r="H15" s="5" t="s">
        <v>66</v>
      </c>
      <c r="I15" s="5">
        <f>IF(AND(Martedì!$A32&lt;&gt;"",Martedì!$A33&lt;&gt;""),Martedì!$F32+Martedì!$F33,0)</f>
        <v>0</v>
      </c>
      <c r="J15" s="5">
        <f>IF(AND(Martedì!$A32&lt;&gt;"",Martedì!$A33&lt;&gt;""),Martedì!$G32+Martedì!$G33,0)</f>
        <v>0</v>
      </c>
      <c r="K15" s="5">
        <f>J15*Percentuali!$D$8</f>
        <v>0</v>
      </c>
      <c r="L15" s="5">
        <f>J15*Percentuali!$D$34</f>
        <v>0</v>
      </c>
      <c r="M15" s="34"/>
      <c r="N15" s="5" t="s">
        <v>66</v>
      </c>
      <c r="O15" s="5">
        <f>IF(AND(Mercoledì!$A32&lt;&gt;"",Mercoledì!$A33&lt;&gt;""),Mercoledì!$F32+Mercoledì!$F33,0)</f>
        <v>0</v>
      </c>
      <c r="P15" s="5">
        <f>IF(AND(Mercoledì!$A32&lt;&gt;"",Mercoledì!$A33&lt;&gt;""),Mercoledì!$G32+Mercoledì!$G33,0)</f>
        <v>0</v>
      </c>
      <c r="Q15" s="5">
        <f>P15*Percentuali!$E$8</f>
        <v>0</v>
      </c>
      <c r="R15" s="5">
        <f>P15*Percentuali!$E$34</f>
        <v>0</v>
      </c>
      <c r="S15" s="34"/>
      <c r="T15" s="5" t="s">
        <v>66</v>
      </c>
      <c r="U15" s="5">
        <f>IF(AND(Giovedì!$A32&lt;&gt;"",Giovedì!$A33&lt;&gt;""),Giovedì!$F32+Giovedì!$F33,0)</f>
        <v>0</v>
      </c>
      <c r="V15" s="5">
        <f>IF(AND(Giovedì!$A32&lt;&gt;"",Giovedì!$A33&lt;&gt;""),Giovedì!$G32+Giovedì!$G33,0)</f>
        <v>0</v>
      </c>
      <c r="W15" s="5">
        <f>V15*Percentuali!$F$8</f>
        <v>0</v>
      </c>
      <c r="X15" s="5">
        <f>V15*Percentuali!$F$34</f>
        <v>0</v>
      </c>
      <c r="Y15" s="34"/>
      <c r="Z15" s="5" t="s">
        <v>66</v>
      </c>
      <c r="AA15" s="5">
        <f>IF(AND(Venerdì!$A32&lt;&gt;"",Venerdì!$A33&lt;&gt;""),Venerdì!$F32+Venerdì!$F33,0)</f>
        <v>0</v>
      </c>
      <c r="AB15" s="5">
        <f>IF(AND(Venerdì!$A32&lt;&gt;"",Venerdì!$A33&lt;&gt;""),Venerdì!$G32+Venerdì!$G33,0)</f>
        <v>0</v>
      </c>
      <c r="AC15" s="5">
        <f>AB15*Percentuali!$G$8</f>
        <v>0</v>
      </c>
      <c r="AD15" s="5">
        <f>AB15*Percentuali!$G$34</f>
        <v>0</v>
      </c>
      <c r="AE15" s="34"/>
      <c r="AF15" s="5" t="s">
        <v>66</v>
      </c>
      <c r="AG15" s="5">
        <f>IF(AND(Sabato!$A32&lt;&gt;"",Sabato!$A33&lt;&gt;""),Sabato!$F32+Sabato!$F33,0)</f>
        <v>0</v>
      </c>
      <c r="AH15" s="5">
        <f>IF(AND(Sabato!$A32&lt;&gt;"",Sabato!$A33&lt;&gt;""),Sabato!$G32+Sabato!$G33,0)</f>
        <v>0</v>
      </c>
      <c r="AI15" s="5">
        <f>AH15*Percentuali!$H$8</f>
        <v>0</v>
      </c>
      <c r="AJ15" s="5">
        <f>AH15*Percentuali!$H$34</f>
        <v>0</v>
      </c>
      <c r="AK15" s="34"/>
      <c r="AL15" s="5" t="s">
        <v>66</v>
      </c>
      <c r="AM15" s="5">
        <f>IF(AND(Domenica!$A32&lt;&gt;"",Domenica!$A33&lt;&gt;""),Domenica!$F32+Domenica!$F33,0)</f>
        <v>0</v>
      </c>
      <c r="AN15" s="5">
        <f>IF(AND(Domenica!$A32&lt;&gt;"",Domenica!$A33&lt;&gt;""),Domenica!$G32+Domenica!$G33,0)</f>
        <v>0</v>
      </c>
      <c r="AO15" s="5">
        <f>AN15*Percentuali!$I$8</f>
        <v>0</v>
      </c>
      <c r="AP15" s="5">
        <f>AN15*Percentuali!$I$34</f>
        <v>0</v>
      </c>
    </row>
    <row r="16" spans="2:42" x14ac:dyDescent="0.25">
      <c r="B16" s="5" t="s">
        <v>8</v>
      </c>
      <c r="C16" s="5">
        <f>IF(AND(Lunedì!$A34&lt;&gt;"",Lunedì!$A35&lt;&gt;""),Lunedì!$F34+Lunedì!$F35,0)</f>
        <v>0</v>
      </c>
      <c r="D16" s="5">
        <f>IF(AND(Lunedì!$A34&lt;&gt;"",Lunedì!$A35&lt;&gt;""),Lunedì!$G34+Lunedì!$G35,0)</f>
        <v>0</v>
      </c>
      <c r="E16" s="5">
        <f>D16*Percentuali!$C$8</f>
        <v>0</v>
      </c>
      <c r="F16" s="5">
        <f>D16*Percentuali!$C$34</f>
        <v>0</v>
      </c>
      <c r="G16" s="34"/>
      <c r="H16" s="5" t="s">
        <v>8</v>
      </c>
      <c r="I16" s="5">
        <f>IF(AND(Martedì!$A34&lt;&gt;"",Martedì!$A35&lt;&gt;""),Martedì!$F34+Martedì!$F35,0)</f>
        <v>0</v>
      </c>
      <c r="J16" s="5">
        <f>IF(AND(Martedì!$A34&lt;&gt;"",Martedì!$A35&lt;&gt;""),Martedì!$G34+Martedì!$G35,0)</f>
        <v>0</v>
      </c>
      <c r="K16" s="5">
        <f>J16*Percentuali!$D$8</f>
        <v>0</v>
      </c>
      <c r="L16" s="5">
        <f>J16*Percentuali!$D$34</f>
        <v>0</v>
      </c>
      <c r="M16" s="34"/>
      <c r="N16" s="5" t="s">
        <v>8</v>
      </c>
      <c r="O16" s="5">
        <f>IF(AND(Mercoledì!$A34&lt;&gt;"",Mercoledì!$A35&lt;&gt;""),Mercoledì!$F34+Mercoledì!$F35,0)</f>
        <v>0</v>
      </c>
      <c r="P16" s="5">
        <f>IF(AND(Mercoledì!$A34&lt;&gt;"",Mercoledì!$A35&lt;&gt;""),Mercoledì!$G34+Mercoledì!$G35,0)</f>
        <v>0</v>
      </c>
      <c r="Q16" s="5">
        <f>P16*Percentuali!$E$8</f>
        <v>0</v>
      </c>
      <c r="R16" s="5">
        <f>P16*Percentuali!$E$34</f>
        <v>0</v>
      </c>
      <c r="S16" s="34"/>
      <c r="T16" s="5" t="s">
        <v>8</v>
      </c>
      <c r="U16" s="5">
        <f>IF(AND(Giovedì!$A34&lt;&gt;"",Giovedì!$A35&lt;&gt;""),Giovedì!$F34+Giovedì!$F35,0)</f>
        <v>0</v>
      </c>
      <c r="V16" s="5">
        <f>IF(AND(Giovedì!$A34&lt;&gt;"",Giovedì!$A35&lt;&gt;""),Giovedì!$G34+Giovedì!$G35,0)</f>
        <v>0</v>
      </c>
      <c r="W16" s="5">
        <f>V16*Percentuali!$F$8</f>
        <v>0</v>
      </c>
      <c r="X16" s="5">
        <f>V16*Percentuali!$F$34</f>
        <v>0</v>
      </c>
      <c r="Y16" s="34"/>
      <c r="Z16" s="5" t="s">
        <v>8</v>
      </c>
      <c r="AA16" s="5">
        <f>IF(AND(Venerdì!$A34&lt;&gt;"",Venerdì!$A35&lt;&gt;""),Venerdì!$F34+Venerdì!$F35,0)</f>
        <v>0</v>
      </c>
      <c r="AB16" s="5">
        <f>IF(AND(Venerdì!$A34&lt;&gt;"",Venerdì!$A35&lt;&gt;""),Venerdì!$G34+Venerdì!$G35,0)</f>
        <v>0</v>
      </c>
      <c r="AC16" s="5">
        <f>AB16*Percentuali!$G$8</f>
        <v>0</v>
      </c>
      <c r="AD16" s="5">
        <f>AB16*Percentuali!$G$34</f>
        <v>0</v>
      </c>
      <c r="AE16" s="34"/>
      <c r="AF16" s="5" t="s">
        <v>8</v>
      </c>
      <c r="AG16" s="5">
        <f>IF(AND(Sabato!$A34&lt;&gt;"",Sabato!$A35&lt;&gt;""),Sabato!$F34+Sabato!$F35,0)</f>
        <v>0</v>
      </c>
      <c r="AH16" s="5">
        <f>IF(AND(Sabato!$A34&lt;&gt;"",Sabato!$A35&lt;&gt;""),Sabato!$G34+Sabato!$G35,0)</f>
        <v>0</v>
      </c>
      <c r="AI16" s="5">
        <f>AH16*Percentuali!$H$8</f>
        <v>0</v>
      </c>
      <c r="AJ16" s="5">
        <f>AH16*Percentuali!$H$34</f>
        <v>0</v>
      </c>
      <c r="AK16" s="34"/>
      <c r="AL16" s="5" t="s">
        <v>8</v>
      </c>
      <c r="AM16" s="5">
        <f>IF(AND(Domenica!$A34&lt;&gt;"",Domenica!$A35&lt;&gt;""),Domenica!$F34+Domenica!$F35,0)</f>
        <v>0</v>
      </c>
      <c r="AN16" s="5">
        <f>IF(AND(Domenica!$A34&lt;&gt;"",Domenica!$A35&lt;&gt;""),Domenica!$G34+Domenica!$G35,0)</f>
        <v>0</v>
      </c>
      <c r="AO16" s="5">
        <f>AN16*Percentuali!$I$8</f>
        <v>0</v>
      </c>
      <c r="AP16" s="5">
        <f>AN16*Percentuali!$I$34</f>
        <v>0</v>
      </c>
    </row>
    <row r="17" spans="2:42" x14ac:dyDescent="0.25">
      <c r="B17" s="5" t="s">
        <v>9</v>
      </c>
      <c r="C17" s="5">
        <f>IF(AND(Lunedì!$A37&lt;&gt;"",Lunedì!$A38&lt;&gt;""),Lunedì!$F37+Lunedì!$F38,0)</f>
        <v>0</v>
      </c>
      <c r="D17" s="5">
        <f>IF(AND(Lunedì!$A37&lt;&gt;"",Lunedì!$A38&lt;&gt;""),Lunedì!$G37+Lunedì!$G38,0)</f>
        <v>0</v>
      </c>
      <c r="E17" s="5">
        <f>D17*Percentuali!$C$9</f>
        <v>0</v>
      </c>
      <c r="F17" s="5">
        <f>D17*Percentuali!$C$35</f>
        <v>0</v>
      </c>
      <c r="G17" s="34"/>
      <c r="H17" s="5" t="s">
        <v>9</v>
      </c>
      <c r="I17" s="5">
        <f>IF(AND(Martedì!$A37&lt;&gt;"",Martedì!$A38&lt;&gt;""),Martedì!$F37+Martedì!$F38,0)</f>
        <v>0</v>
      </c>
      <c r="J17" s="5">
        <f>IF(AND(Martedì!$A37&lt;&gt;"",Martedì!$A38&lt;&gt;""),Martedì!$G37+Martedì!$G38,0)</f>
        <v>0</v>
      </c>
      <c r="K17" s="5">
        <f>J17*Percentuali!$D$9</f>
        <v>0</v>
      </c>
      <c r="L17" s="5">
        <f>J17*Percentuali!$D$35</f>
        <v>0</v>
      </c>
      <c r="M17" s="34"/>
      <c r="N17" s="5" t="s">
        <v>9</v>
      </c>
      <c r="O17" s="5">
        <f>IF(AND(Mercoledì!$A37&lt;&gt;"",Mercoledì!$A38&lt;&gt;""),Mercoledì!$F37+Mercoledì!$F38,0)</f>
        <v>0</v>
      </c>
      <c r="P17" s="5">
        <f>IF(AND(Mercoledì!$A37&lt;&gt;"",Mercoledì!$A38&lt;&gt;""),Mercoledì!$G37+Mercoledì!$G38,0)</f>
        <v>0</v>
      </c>
      <c r="Q17" s="5">
        <f>P17*Percentuali!$E$9</f>
        <v>0</v>
      </c>
      <c r="R17" s="5">
        <f>P17*Percentuali!$E$35</f>
        <v>0</v>
      </c>
      <c r="S17" s="34"/>
      <c r="T17" s="5" t="s">
        <v>9</v>
      </c>
      <c r="U17" s="5">
        <f>IF(AND(Giovedì!$A37&lt;&gt;"",Giovedì!$A38&lt;&gt;""),Giovedì!$F37+Giovedì!$F38,0)</f>
        <v>0</v>
      </c>
      <c r="V17" s="5">
        <f>IF(AND(Giovedì!$A37&lt;&gt;"",Giovedì!$A38&lt;&gt;""),Giovedì!$G37+Giovedì!$G38,0)</f>
        <v>0</v>
      </c>
      <c r="W17" s="5">
        <f>V17*Percentuali!$F$9</f>
        <v>0</v>
      </c>
      <c r="X17" s="5">
        <f>V17*Percentuali!$F$35</f>
        <v>0</v>
      </c>
      <c r="Y17" s="34"/>
      <c r="Z17" s="5" t="s">
        <v>9</v>
      </c>
      <c r="AA17" s="5">
        <f>IF(AND(Venerdì!$A37&lt;&gt;"",Venerdì!$A38&lt;&gt;""),Venerdì!$F37+Venerdì!$F38,0)</f>
        <v>0</v>
      </c>
      <c r="AB17" s="5">
        <f>IF(AND(Venerdì!$A37&lt;&gt;"",Venerdì!$A38&lt;&gt;""),Venerdì!$G37+Venerdì!$G38,0)</f>
        <v>0</v>
      </c>
      <c r="AC17" s="5">
        <f>AB17*Percentuali!$G$9</f>
        <v>0</v>
      </c>
      <c r="AD17" s="5">
        <f>AB17*Percentuali!$G$35</f>
        <v>0</v>
      </c>
      <c r="AE17" s="34"/>
      <c r="AF17" s="5" t="s">
        <v>9</v>
      </c>
      <c r="AG17" s="5">
        <f>IF(AND(Sabato!$A37&lt;&gt;"",Sabato!$A38&lt;&gt;""),Sabato!$F37+Sabato!$F38,0)</f>
        <v>0</v>
      </c>
      <c r="AH17" s="5">
        <f>IF(AND(Sabato!$A37&lt;&gt;"",Sabato!$A38&lt;&gt;""),Sabato!$G37+Sabato!$G38,0)</f>
        <v>0</v>
      </c>
      <c r="AI17" s="5">
        <f>AH17*Percentuali!$H$9</f>
        <v>0</v>
      </c>
      <c r="AJ17" s="5">
        <f>AH17*Percentuali!$H$35</f>
        <v>0</v>
      </c>
      <c r="AK17" s="34"/>
      <c r="AL17" s="5" t="s">
        <v>9</v>
      </c>
      <c r="AM17" s="5">
        <f>IF(AND(Domenica!$A37&lt;&gt;"",Domenica!$A38&lt;&gt;""),Domenica!$F37+Domenica!$F38,0)</f>
        <v>0</v>
      </c>
      <c r="AN17" s="5">
        <f>IF(AND(Domenica!$A37&lt;&gt;"",Domenica!$A38&lt;&gt;""),Domenica!$G37+Domenica!$G38,0)</f>
        <v>0</v>
      </c>
      <c r="AO17" s="5">
        <f>AN17*Percentuali!$I$9</f>
        <v>0</v>
      </c>
      <c r="AP17" s="5">
        <f>AN17*Percentuali!$I$35</f>
        <v>0</v>
      </c>
    </row>
    <row r="18" spans="2:42" x14ac:dyDescent="0.25">
      <c r="B18" s="5" t="s">
        <v>10</v>
      </c>
      <c r="C18" s="5">
        <f>IF(Lunedì!$A39 &lt;&gt; "",Lunedì!$F39,0)</f>
        <v>0</v>
      </c>
      <c r="D18" s="5">
        <f>IF(Lunedì!$A39 &lt;&gt; "",Lunedì!$G39,0)</f>
        <v>0</v>
      </c>
      <c r="E18" s="5">
        <f>D18*Percentuali!$C$9</f>
        <v>0</v>
      </c>
      <c r="F18" s="5">
        <f>D18*Percentuali!$C$35</f>
        <v>0</v>
      </c>
      <c r="G18" s="34"/>
      <c r="H18" s="5" t="s">
        <v>10</v>
      </c>
      <c r="I18" s="5">
        <f>IF(Martedì!$A39 &lt;&gt; "",Martedì!$F39,0)</f>
        <v>0</v>
      </c>
      <c r="J18" s="5">
        <f>IF(Martedì!$A39 &lt;&gt; "",Martedì!$G39,0)</f>
        <v>0</v>
      </c>
      <c r="K18" s="5">
        <f>J18*Percentuali!$D$9</f>
        <v>0</v>
      </c>
      <c r="L18" s="5">
        <f>J18*Percentuali!$D$35</f>
        <v>0</v>
      </c>
      <c r="M18" s="34"/>
      <c r="N18" s="5" t="s">
        <v>10</v>
      </c>
      <c r="O18" s="5">
        <f>IF(Mercoledì!$A39 &lt;&gt; "",Mercoledì!$F39,0)</f>
        <v>0</v>
      </c>
      <c r="P18" s="5">
        <f>IF(Mercoledì!$A39 &lt;&gt; "",Mercoledì!$G39,0)</f>
        <v>0</v>
      </c>
      <c r="Q18" s="5">
        <f>P18*Percentuali!$E$9</f>
        <v>0</v>
      </c>
      <c r="R18" s="5">
        <f>P18*Percentuali!$E$35</f>
        <v>0</v>
      </c>
      <c r="S18" s="34"/>
      <c r="T18" s="5" t="s">
        <v>10</v>
      </c>
      <c r="U18" s="5">
        <f>IF(Giovedì!$A39 &lt;&gt; "",Giovedì!$F39,0)</f>
        <v>0</v>
      </c>
      <c r="V18" s="5">
        <f>IF(Giovedì!$A39 &lt;&gt; "",Giovedì!$G39,0)</f>
        <v>0</v>
      </c>
      <c r="W18" s="5">
        <f>V18*Percentuali!$F$9</f>
        <v>0</v>
      </c>
      <c r="X18" s="5">
        <f>V18*Percentuali!$F$35</f>
        <v>0</v>
      </c>
      <c r="Y18" s="34"/>
      <c r="Z18" s="5" t="s">
        <v>10</v>
      </c>
      <c r="AA18" s="5">
        <f>IF(Venerdì!$A39 &lt;&gt; "",Venerdì!$F39,0)</f>
        <v>0</v>
      </c>
      <c r="AB18" s="5">
        <f>IF(Venerdì!$A39 &lt;&gt; "",Venerdì!$G39,0)</f>
        <v>0</v>
      </c>
      <c r="AC18" s="5">
        <f>AB18*Percentuali!$G$9</f>
        <v>0</v>
      </c>
      <c r="AD18" s="5">
        <f>AB18*Percentuali!$G$35</f>
        <v>0</v>
      </c>
      <c r="AE18" s="34"/>
      <c r="AF18" s="5" t="s">
        <v>10</v>
      </c>
      <c r="AG18" s="5">
        <f>IF(Sabato!$A39 &lt;&gt; "",Sabato!$F39,0)</f>
        <v>0</v>
      </c>
      <c r="AH18" s="5">
        <f>IF(Sabato!$A39 &lt;&gt; "",Sabato!$G39,0)</f>
        <v>0</v>
      </c>
      <c r="AI18" s="5">
        <f>AH18*Percentuali!$H$9</f>
        <v>0</v>
      </c>
      <c r="AJ18" s="5">
        <f>AH18*Percentuali!$H$35</f>
        <v>0</v>
      </c>
      <c r="AK18" s="34"/>
      <c r="AL18" s="5" t="s">
        <v>10</v>
      </c>
      <c r="AM18" s="5">
        <f>IF(Domenica!$A39 &lt;&gt; "",Domenica!$F39,0)</f>
        <v>0</v>
      </c>
      <c r="AN18" s="5">
        <f>IF(Domenica!$A39 &lt;&gt; "",Domenica!$G39,0)</f>
        <v>0</v>
      </c>
      <c r="AO18" s="5">
        <f>AN18*Percentuali!$I$9</f>
        <v>0</v>
      </c>
      <c r="AP18" s="5">
        <f>AN18*Percentuali!$I$35</f>
        <v>0</v>
      </c>
    </row>
    <row r="19" spans="2:42" x14ac:dyDescent="0.25">
      <c r="B19" s="5" t="s">
        <v>11</v>
      </c>
      <c r="C19" s="5">
        <f>IF(Lunedì!$A40 &lt;&gt; "",Lunedì!$F40,0)</f>
        <v>0</v>
      </c>
      <c r="D19" s="5">
        <f>IF(Lunedì!$A40 &lt;&gt; "",Lunedì!$G40,0)</f>
        <v>0</v>
      </c>
      <c r="E19" s="5">
        <f>D19*Percentuali!$C$9</f>
        <v>0</v>
      </c>
      <c r="F19" s="5">
        <f>D19*Percentuali!$C$35</f>
        <v>0</v>
      </c>
      <c r="G19" s="34"/>
      <c r="H19" s="5" t="s">
        <v>11</v>
      </c>
      <c r="I19" s="5">
        <f>IF(Martedì!$A40 &lt;&gt; "",Martedì!$F40,0)</f>
        <v>0</v>
      </c>
      <c r="J19" s="5">
        <f>IF(Martedì!$A40 &lt;&gt; "",Martedì!$G40,0)</f>
        <v>0</v>
      </c>
      <c r="K19" s="5">
        <f>J19*Percentuali!$D$9</f>
        <v>0</v>
      </c>
      <c r="L19" s="5">
        <f>J19*Percentuali!$D$35</f>
        <v>0</v>
      </c>
      <c r="M19" s="34"/>
      <c r="N19" s="5" t="s">
        <v>11</v>
      </c>
      <c r="O19" s="5">
        <f>IF(Mercoledì!$A40 &lt;&gt; "",Mercoledì!$F40,0)</f>
        <v>0</v>
      </c>
      <c r="P19" s="5">
        <f>IF(Mercoledì!$A40 &lt;&gt; "",Mercoledì!$G40,0)</f>
        <v>0</v>
      </c>
      <c r="Q19" s="5">
        <f>P19*Percentuali!$E$9</f>
        <v>0</v>
      </c>
      <c r="R19" s="5">
        <f>P19*Percentuali!$E$35</f>
        <v>0</v>
      </c>
      <c r="S19" s="34"/>
      <c r="T19" s="5" t="s">
        <v>11</v>
      </c>
      <c r="U19" s="5">
        <f>IF(Giovedì!$A40 &lt;&gt; "",Giovedì!$F40,0)</f>
        <v>0</v>
      </c>
      <c r="V19" s="5">
        <f>IF(Giovedì!$A40 &lt;&gt; "",Giovedì!$G40,0)</f>
        <v>0</v>
      </c>
      <c r="W19" s="5">
        <f>V19*Percentuali!$F$9</f>
        <v>0</v>
      </c>
      <c r="X19" s="5">
        <f>V19*Percentuali!$F$35</f>
        <v>0</v>
      </c>
      <c r="Y19" s="34"/>
      <c r="Z19" s="5" t="s">
        <v>11</v>
      </c>
      <c r="AA19" s="5">
        <f>IF(Venerdì!$A40 &lt;&gt; "",Venerdì!$F40,0)</f>
        <v>0</v>
      </c>
      <c r="AB19" s="5">
        <f>IF(Venerdì!$A40 &lt;&gt; "",Venerdì!$G40,0)</f>
        <v>0</v>
      </c>
      <c r="AC19" s="5">
        <f>AB19*Percentuali!$G$9</f>
        <v>0</v>
      </c>
      <c r="AD19" s="5">
        <f>AB19*Percentuali!$G$35</f>
        <v>0</v>
      </c>
      <c r="AE19" s="34"/>
      <c r="AF19" s="5" t="s">
        <v>11</v>
      </c>
      <c r="AG19" s="5">
        <f>IF(Sabato!$A40 &lt;&gt; "",Sabato!$F40,0)</f>
        <v>0</v>
      </c>
      <c r="AH19" s="5">
        <f>IF(Sabato!$A40 &lt;&gt; "",Sabato!$G40,0)</f>
        <v>0</v>
      </c>
      <c r="AI19" s="5">
        <f>AH19*Percentuali!$H$9</f>
        <v>0</v>
      </c>
      <c r="AJ19" s="5">
        <f>AH19*Percentuali!$H$35</f>
        <v>0</v>
      </c>
      <c r="AK19" s="34"/>
      <c r="AL19" s="5" t="s">
        <v>11</v>
      </c>
      <c r="AM19" s="5">
        <f>IF(Domenica!$A40 &lt;&gt; "",Domenica!$F40,0)</f>
        <v>0</v>
      </c>
      <c r="AN19" s="5">
        <f>IF(Domenica!$A40 &lt;&gt; "",Domenica!$G40,0)</f>
        <v>0</v>
      </c>
      <c r="AO19" s="5">
        <f>AN19*Percentuali!$I$9</f>
        <v>0</v>
      </c>
      <c r="AP19" s="5">
        <f>AN19*Percentuali!$I$35</f>
        <v>0</v>
      </c>
    </row>
    <row r="20" spans="2:42" x14ac:dyDescent="0.25">
      <c r="B20" s="5" t="s">
        <v>67</v>
      </c>
      <c r="C20" s="5">
        <f>IF(Lunedì!$A42 &lt;&gt; "",Lunedì!$F42,0)</f>
        <v>0</v>
      </c>
      <c r="D20" s="5">
        <f>IF(Lunedì!$A42 &lt;&gt; "",Lunedì!$G42,0)</f>
        <v>0</v>
      </c>
      <c r="E20" s="5">
        <f>D20*Percentuali!$C$10</f>
        <v>0</v>
      </c>
      <c r="F20" s="5">
        <f>D20*Percentuali!$C$36</f>
        <v>0</v>
      </c>
      <c r="G20" s="34"/>
      <c r="H20" s="5" t="s">
        <v>67</v>
      </c>
      <c r="I20" s="5">
        <f>IF(Martedì!$A42 &lt;&gt; "",Martedì!$F42,0)</f>
        <v>0</v>
      </c>
      <c r="J20" s="5">
        <f>IF(Martedì!$A42 &lt;&gt; "",Martedì!$G42,0)</f>
        <v>0</v>
      </c>
      <c r="K20" s="5">
        <f>J20*Percentuali!$D$10</f>
        <v>0</v>
      </c>
      <c r="L20" s="5">
        <f>J20*Percentuali!$D$36</f>
        <v>0</v>
      </c>
      <c r="M20" s="34"/>
      <c r="N20" s="5" t="s">
        <v>67</v>
      </c>
      <c r="O20" s="5">
        <f>IF(Mercoledì!$A42 &lt;&gt; "",Mercoledì!$F42,0)</f>
        <v>0</v>
      </c>
      <c r="P20" s="5">
        <f>IF(Mercoledì!$A42 &lt;&gt; "",Mercoledì!$G42,0)</f>
        <v>0</v>
      </c>
      <c r="Q20" s="5">
        <f>P20*Percentuali!$E$10</f>
        <v>0</v>
      </c>
      <c r="R20" s="5">
        <f>P20*Percentuali!$E$36</f>
        <v>0</v>
      </c>
      <c r="S20" s="34"/>
      <c r="T20" s="5" t="s">
        <v>67</v>
      </c>
      <c r="U20" s="5">
        <f>IF(Giovedì!$A42 &lt;&gt; "",Giovedì!$F42,0)</f>
        <v>0</v>
      </c>
      <c r="V20" s="5">
        <f>IF(Giovedì!$A42 &lt;&gt; "",Giovedì!$G42,0)</f>
        <v>0</v>
      </c>
      <c r="W20" s="5">
        <f>V20*Percentuali!$F$10</f>
        <v>0</v>
      </c>
      <c r="X20" s="5">
        <f>V20*Percentuali!$F$36</f>
        <v>0</v>
      </c>
      <c r="Y20" s="34"/>
      <c r="Z20" s="5" t="s">
        <v>67</v>
      </c>
      <c r="AA20" s="5">
        <f>IF(Venerdì!$A42 &lt;&gt; "",Venerdì!$F42,0)</f>
        <v>0</v>
      </c>
      <c r="AB20" s="5">
        <f>IF(Venerdì!$A42 &lt;&gt; "",Venerdì!$G42,0)</f>
        <v>0</v>
      </c>
      <c r="AC20" s="5">
        <f>AB20*Percentuali!$G$10</f>
        <v>0</v>
      </c>
      <c r="AD20" s="5">
        <f>AB20*Percentuali!$G$36</f>
        <v>0</v>
      </c>
      <c r="AE20" s="34"/>
      <c r="AF20" s="5" t="s">
        <v>67</v>
      </c>
      <c r="AG20" s="5">
        <f>IF(Sabato!$A42 &lt;&gt; "",Sabato!$F42,0)</f>
        <v>0</v>
      </c>
      <c r="AH20" s="5">
        <f>IF(Sabato!$A42 &lt;&gt; "",Sabato!$G42,0)</f>
        <v>0</v>
      </c>
      <c r="AI20" s="5">
        <f>AH20*Percentuali!$H$10</f>
        <v>0</v>
      </c>
      <c r="AJ20" s="5">
        <f>AH20*Percentuali!$H$36</f>
        <v>0</v>
      </c>
      <c r="AK20" s="34"/>
      <c r="AL20" s="5" t="s">
        <v>67</v>
      </c>
      <c r="AM20" s="5">
        <f>IF(Domenica!$A42 &lt;&gt; "",Domenica!$F42,0)</f>
        <v>0</v>
      </c>
      <c r="AN20" s="5">
        <f>IF(Domenica!$A42 &lt;&gt; "",Domenica!$G42,0)</f>
        <v>0</v>
      </c>
      <c r="AO20" s="5">
        <f>AN20*Percentuali!$I$10</f>
        <v>0</v>
      </c>
      <c r="AP20" s="5">
        <f>AN20*Percentuali!$I$36</f>
        <v>0</v>
      </c>
    </row>
    <row r="21" spans="2:42" x14ac:dyDescent="0.25">
      <c r="B21" s="5" t="s">
        <v>12</v>
      </c>
      <c r="C21" s="5">
        <f>IF(Lunedì!$A43 &lt;&gt; "",Lunedì!$F43,0)</f>
        <v>0</v>
      </c>
      <c r="D21" s="5">
        <f>IF(Lunedì!$A43 &lt;&gt; "",Lunedì!$G43,0)</f>
        <v>0</v>
      </c>
      <c r="E21" s="5">
        <f>D21*Percentuali!$C$10</f>
        <v>0</v>
      </c>
      <c r="F21" s="5">
        <f>D21*Percentuali!$C$36</f>
        <v>0</v>
      </c>
      <c r="G21" s="34"/>
      <c r="H21" s="5" t="s">
        <v>12</v>
      </c>
      <c r="I21" s="5">
        <f>IF(Martedì!$A43 &lt;&gt; "",Martedì!$F43,0)</f>
        <v>0</v>
      </c>
      <c r="J21" s="5">
        <f>IF(Martedì!$A43 &lt;&gt; "",Martedì!$G43,0)</f>
        <v>0</v>
      </c>
      <c r="K21" s="5">
        <f>J21*Percentuali!$D$10</f>
        <v>0</v>
      </c>
      <c r="L21" s="5">
        <f>J21*Percentuali!$D$36</f>
        <v>0</v>
      </c>
      <c r="M21" s="34"/>
      <c r="N21" s="5" t="s">
        <v>12</v>
      </c>
      <c r="O21" s="5">
        <f>IF(Mercoledì!$A43 &lt;&gt; "",Mercoledì!$F43,0)</f>
        <v>0</v>
      </c>
      <c r="P21" s="5">
        <f>IF(Mercoledì!$A43 &lt;&gt; "",Mercoledì!$G43,0)</f>
        <v>0</v>
      </c>
      <c r="Q21" s="5">
        <f>P21*Percentuali!$E$10</f>
        <v>0</v>
      </c>
      <c r="R21" s="5">
        <f>P21*Percentuali!$E$36</f>
        <v>0</v>
      </c>
      <c r="S21" s="34"/>
      <c r="T21" s="5" t="s">
        <v>12</v>
      </c>
      <c r="U21" s="5">
        <f>IF(Giovedì!$A43 &lt;&gt; "",Giovedì!$F43,0)</f>
        <v>0</v>
      </c>
      <c r="V21" s="5">
        <f>IF(Giovedì!$A43 &lt;&gt; "",Giovedì!$G43,0)</f>
        <v>0</v>
      </c>
      <c r="W21" s="5">
        <f>V21*Percentuali!$F$10</f>
        <v>0</v>
      </c>
      <c r="X21" s="5">
        <f>V21*Percentuali!$F$36</f>
        <v>0</v>
      </c>
      <c r="Y21" s="34"/>
      <c r="Z21" s="5" t="s">
        <v>12</v>
      </c>
      <c r="AA21" s="5">
        <f>IF(Venerdì!$A43 &lt;&gt; "",Venerdì!$F43,0)</f>
        <v>0</v>
      </c>
      <c r="AB21" s="5">
        <f>IF(Venerdì!$A43 &lt;&gt; "",Venerdì!$G43,0)</f>
        <v>0</v>
      </c>
      <c r="AC21" s="5">
        <f>AB21*Percentuali!$G$10</f>
        <v>0</v>
      </c>
      <c r="AD21" s="5">
        <f>AB21*Percentuali!$G$36</f>
        <v>0</v>
      </c>
      <c r="AE21" s="34"/>
      <c r="AF21" s="5" t="s">
        <v>12</v>
      </c>
      <c r="AG21" s="5">
        <f>IF(Sabato!$A43 &lt;&gt; "",Sabato!$F43,0)</f>
        <v>0</v>
      </c>
      <c r="AH21" s="5">
        <f>IF(Sabato!$A43 &lt;&gt; "",Sabato!$G43,0)</f>
        <v>0</v>
      </c>
      <c r="AI21" s="5">
        <f>AH21*Percentuali!$H$10</f>
        <v>0</v>
      </c>
      <c r="AJ21" s="5">
        <f>AH21*Percentuali!$H$36</f>
        <v>0</v>
      </c>
      <c r="AK21" s="34"/>
      <c r="AL21" s="5" t="s">
        <v>12</v>
      </c>
      <c r="AM21" s="5">
        <f>IF(Domenica!$A43 &lt;&gt; "",Domenica!$F43,0)</f>
        <v>0</v>
      </c>
      <c r="AN21" s="5">
        <f>IF(Domenica!$A43 &lt;&gt; "",Domenica!$G43,0)</f>
        <v>0</v>
      </c>
      <c r="AO21" s="5">
        <f>AN21*Percentuali!$I$10</f>
        <v>0</v>
      </c>
      <c r="AP21" s="5">
        <f>AN21*Percentuali!$I$36</f>
        <v>0</v>
      </c>
    </row>
    <row r="22" spans="2:42" x14ac:dyDescent="0.25">
      <c r="B22" s="5" t="s">
        <v>13</v>
      </c>
      <c r="C22" s="5">
        <f>IF(Lunedì!$A44 &lt;&gt; "",Lunedì!$F44,0)</f>
        <v>0</v>
      </c>
      <c r="D22" s="5">
        <f>IF(Lunedì!$A44 &lt;&gt; "",Lunedì!$G44,0)</f>
        <v>0</v>
      </c>
      <c r="E22" s="5">
        <f>D22*Percentuali!$C$10</f>
        <v>0</v>
      </c>
      <c r="F22" s="5">
        <f>D22*Percentuali!$C$36</f>
        <v>0</v>
      </c>
      <c r="G22" s="34"/>
      <c r="H22" s="5" t="s">
        <v>13</v>
      </c>
      <c r="I22" s="5">
        <f>IF(Martedì!$A44 &lt;&gt; "",Martedì!$F44,0)</f>
        <v>0</v>
      </c>
      <c r="J22" s="5">
        <f>IF(Martedì!$A44 &lt;&gt; "",Martedì!$G44,0)</f>
        <v>0</v>
      </c>
      <c r="K22" s="5">
        <f>J22*Percentuali!$D$10</f>
        <v>0</v>
      </c>
      <c r="L22" s="5">
        <f>J22*Percentuali!$D$36</f>
        <v>0</v>
      </c>
      <c r="M22" s="34"/>
      <c r="N22" s="5" t="s">
        <v>13</v>
      </c>
      <c r="O22" s="5">
        <f>IF(Mercoledì!$A44 &lt;&gt; "",Mercoledì!$F44,0)</f>
        <v>0</v>
      </c>
      <c r="P22" s="5">
        <f>IF(Mercoledì!$A44 &lt;&gt; "",Mercoledì!$G44,0)</f>
        <v>0</v>
      </c>
      <c r="Q22" s="5">
        <f>P22*Percentuali!$E$10</f>
        <v>0</v>
      </c>
      <c r="R22" s="5">
        <f>P22*Percentuali!$E$36</f>
        <v>0</v>
      </c>
      <c r="S22" s="34"/>
      <c r="T22" s="5" t="s">
        <v>13</v>
      </c>
      <c r="U22" s="5">
        <f>IF(Giovedì!$A44 &lt;&gt; "",Giovedì!$F44,0)</f>
        <v>0</v>
      </c>
      <c r="V22" s="5">
        <f>IF(Giovedì!$A44 &lt;&gt; "",Giovedì!$G44,0)</f>
        <v>0</v>
      </c>
      <c r="W22" s="5">
        <f>V22*Percentuali!$F$10</f>
        <v>0</v>
      </c>
      <c r="X22" s="5">
        <f>V22*Percentuali!$F$36</f>
        <v>0</v>
      </c>
      <c r="Y22" s="34"/>
      <c r="Z22" s="5" t="s">
        <v>13</v>
      </c>
      <c r="AA22" s="5">
        <f>IF(Venerdì!$A44 &lt;&gt; "",Venerdì!$F44,0)</f>
        <v>0</v>
      </c>
      <c r="AB22" s="5">
        <f>IF(Venerdì!$A44 &lt;&gt; "",Venerdì!$G44,0)</f>
        <v>0</v>
      </c>
      <c r="AC22" s="5">
        <f>AB22*Percentuali!$G$10</f>
        <v>0</v>
      </c>
      <c r="AD22" s="5">
        <f>AB22*Percentuali!$G$36</f>
        <v>0</v>
      </c>
      <c r="AE22" s="34"/>
      <c r="AF22" s="5" t="s">
        <v>13</v>
      </c>
      <c r="AG22" s="5">
        <f>IF(Sabato!$A44 &lt;&gt; "",Sabato!$F44,0)</f>
        <v>0</v>
      </c>
      <c r="AH22" s="5">
        <f>IF(Sabato!$A44 &lt;&gt; "",Sabato!$G44,0)</f>
        <v>0</v>
      </c>
      <c r="AI22" s="5">
        <f>AH22*Percentuali!$H$10</f>
        <v>0</v>
      </c>
      <c r="AJ22" s="5">
        <f>AH22*Percentuali!$H$36</f>
        <v>0</v>
      </c>
      <c r="AK22" s="34"/>
      <c r="AL22" s="5" t="s">
        <v>13</v>
      </c>
      <c r="AM22" s="5">
        <f>IF(Domenica!$A44 &lt;&gt; "",Domenica!$F44,0)</f>
        <v>0</v>
      </c>
      <c r="AN22" s="5">
        <f>IF(Domenica!$A44 &lt;&gt; "",Domenica!$G44,0)</f>
        <v>0</v>
      </c>
      <c r="AO22" s="5">
        <f>AN22*Percentuali!$I$10</f>
        <v>0</v>
      </c>
      <c r="AP22" s="5">
        <f>AN22*Percentuali!$I$36</f>
        <v>0</v>
      </c>
    </row>
    <row r="23" spans="2:42" x14ac:dyDescent="0.25">
      <c r="B23" s="5" t="s">
        <v>14</v>
      </c>
      <c r="C23" s="5">
        <f>IF(Lunedì!$A45 &lt;&gt; "",Lunedì!$F45,0)</f>
        <v>0</v>
      </c>
      <c r="D23" s="5">
        <f>IF(Lunedì!$A45 &lt;&gt; "",Lunedì!$G45,0)</f>
        <v>0</v>
      </c>
      <c r="E23" s="5">
        <f>D23*Percentuali!$C$10</f>
        <v>0</v>
      </c>
      <c r="F23" s="5">
        <f>D23*Percentuali!$C$36</f>
        <v>0</v>
      </c>
      <c r="G23" s="34"/>
      <c r="H23" s="5" t="s">
        <v>14</v>
      </c>
      <c r="I23" s="5">
        <f>IF(Martedì!$A45 &lt;&gt; "",Martedì!$F45,0)</f>
        <v>0</v>
      </c>
      <c r="J23" s="5">
        <f>IF(Martedì!$A45 &lt;&gt; "",Martedì!$G45,0)</f>
        <v>0</v>
      </c>
      <c r="K23" s="5">
        <f>J23*Percentuali!$D$10</f>
        <v>0</v>
      </c>
      <c r="L23" s="5">
        <f>J23*Percentuali!$D$36</f>
        <v>0</v>
      </c>
      <c r="M23" s="34"/>
      <c r="N23" s="5" t="s">
        <v>14</v>
      </c>
      <c r="O23" s="5">
        <f>IF(Mercoledì!$A45 &lt;&gt; "",Mercoledì!$F45,0)</f>
        <v>0</v>
      </c>
      <c r="P23" s="5">
        <f>IF(Mercoledì!$A45 &lt;&gt; "",Mercoledì!$G45,0)</f>
        <v>0</v>
      </c>
      <c r="Q23" s="5">
        <f>P23*Percentuali!$E$10</f>
        <v>0</v>
      </c>
      <c r="R23" s="5">
        <f>P23*Percentuali!$E$36</f>
        <v>0</v>
      </c>
      <c r="S23" s="34"/>
      <c r="T23" s="5" t="s">
        <v>14</v>
      </c>
      <c r="U23" s="5">
        <f>IF(Giovedì!$A45 &lt;&gt; "",Giovedì!$F45,0)</f>
        <v>0</v>
      </c>
      <c r="V23" s="5">
        <f>IF(Giovedì!$A45 &lt;&gt; "",Giovedì!$G45,0)</f>
        <v>0</v>
      </c>
      <c r="W23" s="5">
        <f>V23*Percentuali!$F$10</f>
        <v>0</v>
      </c>
      <c r="X23" s="5">
        <f>V23*Percentuali!$F$36</f>
        <v>0</v>
      </c>
      <c r="Y23" s="34"/>
      <c r="Z23" s="5" t="s">
        <v>14</v>
      </c>
      <c r="AA23" s="5">
        <f>IF(Venerdì!$A45 &lt;&gt; "",Venerdì!$F45,0)</f>
        <v>0</v>
      </c>
      <c r="AB23" s="5">
        <f>IF(Venerdì!$A45 &lt;&gt; "",Venerdì!$G45,0)</f>
        <v>0</v>
      </c>
      <c r="AC23" s="5">
        <f>AB23*Percentuali!$G$10</f>
        <v>0</v>
      </c>
      <c r="AD23" s="5">
        <f>AB23*Percentuali!$G$36</f>
        <v>0</v>
      </c>
      <c r="AE23" s="34"/>
      <c r="AF23" s="5" t="s">
        <v>14</v>
      </c>
      <c r="AG23" s="5">
        <f>IF(Sabato!$A45 &lt;&gt; "",Sabato!$F45,0)</f>
        <v>0</v>
      </c>
      <c r="AH23" s="5">
        <f>IF(Sabato!$A45 &lt;&gt; "",Sabato!$G45,0)</f>
        <v>0</v>
      </c>
      <c r="AI23" s="5">
        <f>AH23*Percentuali!$H$10</f>
        <v>0</v>
      </c>
      <c r="AJ23" s="5">
        <f>AH23*Percentuali!$H$36</f>
        <v>0</v>
      </c>
      <c r="AK23" s="34"/>
      <c r="AL23" s="5" t="s">
        <v>14</v>
      </c>
      <c r="AM23" s="5">
        <f>IF(Domenica!$A45 &lt;&gt; "",Domenica!$F45,0)</f>
        <v>0</v>
      </c>
      <c r="AN23" s="5">
        <f>IF(Domenica!$A45 &lt;&gt; "",Domenica!$G45,0)</f>
        <v>0</v>
      </c>
      <c r="AO23" s="5">
        <f>AN23*Percentuali!$I$10</f>
        <v>0</v>
      </c>
      <c r="AP23" s="5">
        <f>AN23*Percentuali!$I$36</f>
        <v>0</v>
      </c>
    </row>
    <row r="24" spans="2:42" x14ac:dyDescent="0.25">
      <c r="B24" s="5" t="s">
        <v>68</v>
      </c>
      <c r="C24" s="5">
        <f>IF(Lunedì!$A47 &lt;&gt; "",Lunedì!$F47,0)</f>
        <v>0</v>
      </c>
      <c r="D24" s="5">
        <f>IF(Lunedì!$A47 &lt;&gt; "",Lunedì!$G47,0)</f>
        <v>0</v>
      </c>
      <c r="E24" s="5">
        <f>D24*Percentuali!$C$11</f>
        <v>0</v>
      </c>
      <c r="F24" s="5">
        <f>D24*Percentuali!$C$37</f>
        <v>0</v>
      </c>
      <c r="G24" s="34"/>
      <c r="H24" s="5" t="s">
        <v>68</v>
      </c>
      <c r="I24" s="5">
        <f>IF(Martedì!$A47 &lt;&gt; "",Martedì!$F47,0)</f>
        <v>0</v>
      </c>
      <c r="J24" s="5">
        <f>IF(Martedì!$A47 &lt;&gt; "",Martedì!$G47,0)</f>
        <v>0</v>
      </c>
      <c r="K24" s="5">
        <f>J24*Percentuali!$D$11</f>
        <v>0</v>
      </c>
      <c r="L24" s="5">
        <f>J24*Percentuali!$D$37</f>
        <v>0</v>
      </c>
      <c r="M24" s="34"/>
      <c r="N24" s="5" t="s">
        <v>68</v>
      </c>
      <c r="O24" s="5">
        <f>IF(Mercoledì!$A47 &lt;&gt; "",Mercoledì!$F47,0)</f>
        <v>0</v>
      </c>
      <c r="P24" s="5">
        <f>IF(Mercoledì!$A47 &lt;&gt; "",Mercoledì!$G47,0)</f>
        <v>0</v>
      </c>
      <c r="Q24" s="5">
        <f>P24*Percentuali!$E$11</f>
        <v>0</v>
      </c>
      <c r="R24" s="5">
        <f>P24*Percentuali!$E$37</f>
        <v>0</v>
      </c>
      <c r="S24" s="34"/>
      <c r="T24" s="5" t="s">
        <v>68</v>
      </c>
      <c r="U24" s="5">
        <f>IF(Giovedì!$A47 &lt;&gt; "",Giovedì!$F47,0)</f>
        <v>0</v>
      </c>
      <c r="V24" s="5">
        <f>IF(Giovedì!$A47 &lt;&gt; "",Giovedì!$G47,0)</f>
        <v>0</v>
      </c>
      <c r="W24" s="5">
        <f>V24*Percentuali!$F$11</f>
        <v>0</v>
      </c>
      <c r="X24" s="5">
        <f>V24*Percentuali!$F$37</f>
        <v>0</v>
      </c>
      <c r="Y24" s="34"/>
      <c r="Z24" s="5" t="s">
        <v>68</v>
      </c>
      <c r="AA24" s="5">
        <f>IF(Venerdì!$A47 &lt;&gt; "",Venerdì!$F47,0)</f>
        <v>0</v>
      </c>
      <c r="AB24" s="5">
        <f>IF(Venerdì!$A47 &lt;&gt; "",Venerdì!$G47,0)</f>
        <v>0</v>
      </c>
      <c r="AC24" s="5">
        <f>AB24*Percentuali!$G$11</f>
        <v>0</v>
      </c>
      <c r="AD24" s="5">
        <f>AB24*Percentuali!$G$37</f>
        <v>0</v>
      </c>
      <c r="AE24" s="34"/>
      <c r="AF24" s="5" t="s">
        <v>68</v>
      </c>
      <c r="AG24" s="5">
        <f>IF(Sabato!$A47 &lt;&gt; "",Sabato!$F47,0)</f>
        <v>0</v>
      </c>
      <c r="AH24" s="5">
        <f>IF(Sabato!$A47 &lt;&gt; "",Sabato!$G47,0)</f>
        <v>0</v>
      </c>
      <c r="AI24" s="5">
        <f>AH24*Percentuali!$H$11</f>
        <v>0</v>
      </c>
      <c r="AJ24" s="5">
        <f>AH24*Percentuali!$H$37</f>
        <v>0</v>
      </c>
      <c r="AK24" s="34"/>
      <c r="AL24" s="5" t="s">
        <v>68</v>
      </c>
      <c r="AM24" s="5">
        <f>IF(Domenica!$A47 &lt;&gt; "",Domenica!$F47,0)</f>
        <v>0</v>
      </c>
      <c r="AN24" s="5">
        <f>IF(Domenica!$A47 &lt;&gt; "",Domenica!$G47,0)</f>
        <v>0</v>
      </c>
      <c r="AO24" s="5">
        <f>AN24*Percentuali!$I$11</f>
        <v>0</v>
      </c>
      <c r="AP24" s="5">
        <f>AN24*Percentuali!$I$37</f>
        <v>0</v>
      </c>
    </row>
    <row r="25" spans="2:42" x14ac:dyDescent="0.25">
      <c r="B25" s="5" t="s">
        <v>15</v>
      </c>
      <c r="C25" s="5">
        <f>IF(Lunedì!$A48 &lt;&gt; "",Lunedì!$F48,0)</f>
        <v>0</v>
      </c>
      <c r="D25" s="5">
        <f>IF(Lunedì!$A48 &lt;&gt; "",Lunedì!$G48,0)</f>
        <v>0</v>
      </c>
      <c r="E25" s="5">
        <f>D25*Percentuali!$C$11</f>
        <v>0</v>
      </c>
      <c r="F25" s="5">
        <f>D25*Percentuali!$C$37</f>
        <v>0</v>
      </c>
      <c r="G25" s="34"/>
      <c r="H25" s="5" t="s">
        <v>15</v>
      </c>
      <c r="I25" s="5">
        <f>IF(Martedì!$A48 &lt;&gt; "",Martedì!$F48,0)</f>
        <v>0</v>
      </c>
      <c r="J25" s="5">
        <f>IF(Martedì!$A48 &lt;&gt; "",Martedì!$G48,0)</f>
        <v>0</v>
      </c>
      <c r="K25" s="5">
        <f>J25*Percentuali!$D$11</f>
        <v>0</v>
      </c>
      <c r="L25" s="5">
        <f>J25*Percentuali!$D$37</f>
        <v>0</v>
      </c>
      <c r="M25" s="34"/>
      <c r="N25" s="5" t="s">
        <v>15</v>
      </c>
      <c r="O25" s="5">
        <f>IF(Mercoledì!$A48 &lt;&gt; "",Mercoledì!$F48,0)</f>
        <v>0</v>
      </c>
      <c r="P25" s="5">
        <f>IF(Mercoledì!$A48 &lt;&gt; "",Mercoledì!$G48,0)</f>
        <v>0</v>
      </c>
      <c r="Q25" s="5">
        <f>P25*Percentuali!$E$11</f>
        <v>0</v>
      </c>
      <c r="R25" s="5">
        <f>P25*Percentuali!$E$37</f>
        <v>0</v>
      </c>
      <c r="S25" s="34"/>
      <c r="T25" s="5" t="s">
        <v>15</v>
      </c>
      <c r="U25" s="5">
        <f>IF(Giovedì!$A48 &lt;&gt; "",Giovedì!$F48,0)</f>
        <v>0</v>
      </c>
      <c r="V25" s="5">
        <f>IF(Giovedì!$A48 &lt;&gt; "",Giovedì!$G48,0)</f>
        <v>0</v>
      </c>
      <c r="W25" s="5">
        <f>V25*Percentuali!$F$11</f>
        <v>0</v>
      </c>
      <c r="X25" s="5">
        <f>V25*Percentuali!$F$37</f>
        <v>0</v>
      </c>
      <c r="Y25" s="34"/>
      <c r="Z25" s="5" t="s">
        <v>15</v>
      </c>
      <c r="AA25" s="5">
        <f>IF(Venerdì!$A48 &lt;&gt; "",Venerdì!$F48,0)</f>
        <v>0</v>
      </c>
      <c r="AB25" s="5">
        <f>IF(Venerdì!$A48 &lt;&gt; "",Venerdì!$G48,0)</f>
        <v>0</v>
      </c>
      <c r="AC25" s="5">
        <f>AB25*Percentuali!$G$11</f>
        <v>0</v>
      </c>
      <c r="AD25" s="5">
        <f>AB25*Percentuali!$G$37</f>
        <v>0</v>
      </c>
      <c r="AE25" s="34"/>
      <c r="AF25" s="5" t="s">
        <v>15</v>
      </c>
      <c r="AG25" s="5">
        <f>IF(Sabato!$A48 &lt;&gt; "",Sabato!$F48,0)</f>
        <v>0</v>
      </c>
      <c r="AH25" s="5">
        <f>IF(Sabato!$A48 &lt;&gt; "",Sabato!$G48,0)</f>
        <v>0</v>
      </c>
      <c r="AI25" s="5">
        <f>AH25*Percentuali!$H$11</f>
        <v>0</v>
      </c>
      <c r="AJ25" s="5">
        <f>AH25*Percentuali!$H$37</f>
        <v>0</v>
      </c>
      <c r="AK25" s="34"/>
      <c r="AL25" s="5" t="s">
        <v>15</v>
      </c>
      <c r="AM25" s="5">
        <f>IF(Domenica!$A48 &lt;&gt; "",Domenica!$F48,0)</f>
        <v>0</v>
      </c>
      <c r="AN25" s="5">
        <f>IF(Domenica!$A48 &lt;&gt; "",Domenica!$G48,0)</f>
        <v>0</v>
      </c>
      <c r="AO25" s="5">
        <f>AN25*Percentuali!$I$11</f>
        <v>0</v>
      </c>
      <c r="AP25" s="5">
        <f>AN25*Percentuali!$I$37</f>
        <v>0</v>
      </c>
    </row>
    <row r="26" spans="2:42" x14ac:dyDescent="0.25">
      <c r="B26" s="5" t="s">
        <v>16</v>
      </c>
      <c r="C26" s="5">
        <f>IF(Lunedì!$A49 &lt;&gt; "",Lunedì!$F49,0)</f>
        <v>0</v>
      </c>
      <c r="D26" s="5">
        <f>IF(Lunedì!$A49 &lt;&gt; "",Lunedì!$G49,0)</f>
        <v>0</v>
      </c>
      <c r="E26" s="5">
        <f>D26*Percentuali!$C$11</f>
        <v>0</v>
      </c>
      <c r="F26" s="5">
        <f>D26*Percentuali!$C$37</f>
        <v>0</v>
      </c>
      <c r="G26" s="34"/>
      <c r="H26" s="5" t="s">
        <v>16</v>
      </c>
      <c r="I26" s="5">
        <f>IF(Martedì!$A49 &lt;&gt; "",Martedì!$F49,0)</f>
        <v>0</v>
      </c>
      <c r="J26" s="5">
        <f>IF(Martedì!$A49 &lt;&gt; "",Martedì!$G49,0)</f>
        <v>0</v>
      </c>
      <c r="K26" s="5">
        <f>J26*Percentuali!$D$11</f>
        <v>0</v>
      </c>
      <c r="L26" s="5">
        <f>J26*Percentuali!$D$37</f>
        <v>0</v>
      </c>
      <c r="M26" s="34"/>
      <c r="N26" s="5" t="s">
        <v>16</v>
      </c>
      <c r="O26" s="5">
        <f>IF(Mercoledì!$A49 &lt;&gt; "",Mercoledì!$F49,0)</f>
        <v>0</v>
      </c>
      <c r="P26" s="5">
        <f>IF(Mercoledì!$A49 &lt;&gt; "",Mercoledì!$G49,0)</f>
        <v>0</v>
      </c>
      <c r="Q26" s="5">
        <f>P26*Percentuali!$E$11</f>
        <v>0</v>
      </c>
      <c r="R26" s="5">
        <f>P26*Percentuali!$E$37</f>
        <v>0</v>
      </c>
      <c r="S26" s="34"/>
      <c r="T26" s="5" t="s">
        <v>16</v>
      </c>
      <c r="U26" s="5">
        <f>IF(Giovedì!$A49 &lt;&gt; "",Giovedì!$F49,0)</f>
        <v>0</v>
      </c>
      <c r="V26" s="5">
        <f>IF(Giovedì!$A49 &lt;&gt; "",Giovedì!$G49,0)</f>
        <v>0</v>
      </c>
      <c r="W26" s="5">
        <f>V26*Percentuali!$F$11</f>
        <v>0</v>
      </c>
      <c r="X26" s="5">
        <f>V26*Percentuali!$F$37</f>
        <v>0</v>
      </c>
      <c r="Y26" s="34"/>
      <c r="Z26" s="5" t="s">
        <v>16</v>
      </c>
      <c r="AA26" s="5">
        <f>IF(Venerdì!$A49 &lt;&gt; "",Venerdì!$F49,0)</f>
        <v>0</v>
      </c>
      <c r="AB26" s="5">
        <f>IF(Venerdì!$A49 &lt;&gt; "",Venerdì!$G49,0)</f>
        <v>0</v>
      </c>
      <c r="AC26" s="5">
        <f>AB26*Percentuali!$G$11</f>
        <v>0</v>
      </c>
      <c r="AD26" s="5">
        <f>AB26*Percentuali!$G$37</f>
        <v>0</v>
      </c>
      <c r="AE26" s="34"/>
      <c r="AF26" s="5" t="s">
        <v>16</v>
      </c>
      <c r="AG26" s="5">
        <f>IF(Sabato!$A49 &lt;&gt; "",Sabato!$F49,0)</f>
        <v>0</v>
      </c>
      <c r="AH26" s="5">
        <f>IF(Sabato!$A49 &lt;&gt; "",Sabato!$G49,0)</f>
        <v>0</v>
      </c>
      <c r="AI26" s="5">
        <f>AH26*Percentuali!$H$11</f>
        <v>0</v>
      </c>
      <c r="AJ26" s="5">
        <f>AH26*Percentuali!$H$37</f>
        <v>0</v>
      </c>
      <c r="AK26" s="34"/>
      <c r="AL26" s="5" t="s">
        <v>16</v>
      </c>
      <c r="AM26" s="5">
        <f>IF(Domenica!$A49 &lt;&gt; "",Domenica!$F49,0)</f>
        <v>0</v>
      </c>
      <c r="AN26" s="5">
        <f>IF(Domenica!$A49 &lt;&gt; "",Domenica!$G49,0)</f>
        <v>0</v>
      </c>
      <c r="AO26" s="5">
        <f>AN26*Percentuali!$I$11</f>
        <v>0</v>
      </c>
      <c r="AP26" s="5">
        <f>AN26*Percentuali!$I$37</f>
        <v>0</v>
      </c>
    </row>
    <row r="27" spans="2:42" x14ac:dyDescent="0.25">
      <c r="B27" s="5" t="s">
        <v>17</v>
      </c>
      <c r="C27" s="5">
        <f>IF(Lunedì!$A50 &lt;&gt; "",Lunedì!$F50,0)</f>
        <v>0</v>
      </c>
      <c r="D27" s="5">
        <f>IF(Lunedì!$A50 &lt;&gt; "",Lunedì!$G50,0)</f>
        <v>0</v>
      </c>
      <c r="E27" s="5">
        <f>D27*Percentuali!$C$11</f>
        <v>0</v>
      </c>
      <c r="F27" s="5">
        <f>D27*Percentuali!$C$37</f>
        <v>0</v>
      </c>
      <c r="G27" s="34"/>
      <c r="H27" s="5" t="s">
        <v>17</v>
      </c>
      <c r="I27" s="5">
        <f>IF(Martedì!$A50 &lt;&gt; "",Martedì!$F50,0)</f>
        <v>0</v>
      </c>
      <c r="J27" s="5">
        <f>IF(Martedì!$A50 &lt;&gt; "",Martedì!$G50,0)</f>
        <v>0</v>
      </c>
      <c r="K27" s="5">
        <f>J27*Percentuali!$D$11</f>
        <v>0</v>
      </c>
      <c r="L27" s="5">
        <f>J27*Percentuali!$D$37</f>
        <v>0</v>
      </c>
      <c r="M27" s="34"/>
      <c r="N27" s="5" t="s">
        <v>17</v>
      </c>
      <c r="O27" s="5">
        <f>IF(Mercoledì!$A50 &lt;&gt; "",Mercoledì!$F50,0)</f>
        <v>0</v>
      </c>
      <c r="P27" s="5">
        <f>IF(Mercoledì!$A50 &lt;&gt; "",Mercoledì!$G50,0)</f>
        <v>0</v>
      </c>
      <c r="Q27" s="5">
        <f>P27*Percentuali!$E$11</f>
        <v>0</v>
      </c>
      <c r="R27" s="5">
        <f>P27*Percentuali!$E$37</f>
        <v>0</v>
      </c>
      <c r="S27" s="34"/>
      <c r="T27" s="5" t="s">
        <v>17</v>
      </c>
      <c r="U27" s="5">
        <f>IF(Giovedì!$A50 &lt;&gt; "",Giovedì!$F50,0)</f>
        <v>0</v>
      </c>
      <c r="V27" s="5">
        <f>IF(Giovedì!$A50 &lt;&gt; "",Giovedì!$G50,0)</f>
        <v>0</v>
      </c>
      <c r="W27" s="5">
        <f>V27*Percentuali!$F$11</f>
        <v>0</v>
      </c>
      <c r="X27" s="5">
        <f>V27*Percentuali!$F$37</f>
        <v>0</v>
      </c>
      <c r="Y27" s="34"/>
      <c r="Z27" s="5" t="s">
        <v>17</v>
      </c>
      <c r="AA27" s="5">
        <f>IF(Venerdì!$A50 &lt;&gt; "",Venerdì!$F50,0)</f>
        <v>0</v>
      </c>
      <c r="AB27" s="5">
        <f>IF(Venerdì!$A50 &lt;&gt; "",Venerdì!$G50,0)</f>
        <v>0</v>
      </c>
      <c r="AC27" s="5">
        <f>AB27*Percentuali!$G$11</f>
        <v>0</v>
      </c>
      <c r="AD27" s="5">
        <f>AB27*Percentuali!$G$37</f>
        <v>0</v>
      </c>
      <c r="AE27" s="34"/>
      <c r="AF27" s="5" t="s">
        <v>17</v>
      </c>
      <c r="AG27" s="5">
        <f>IF(Sabato!$A50 &lt;&gt; "",Sabato!$F50,0)</f>
        <v>0</v>
      </c>
      <c r="AH27" s="5">
        <f>IF(Sabato!$A50 &lt;&gt; "",Sabato!$G50,0)</f>
        <v>0</v>
      </c>
      <c r="AI27" s="5">
        <f>AH27*Percentuali!$H$11</f>
        <v>0</v>
      </c>
      <c r="AJ27" s="5">
        <f>AH27*Percentuali!$H$37</f>
        <v>0</v>
      </c>
      <c r="AK27" s="34"/>
      <c r="AL27" s="5" t="s">
        <v>17</v>
      </c>
      <c r="AM27" s="5">
        <f>IF(Domenica!$A50 &lt;&gt; "",Domenica!$F50,0)</f>
        <v>0</v>
      </c>
      <c r="AN27" s="5">
        <f>IF(Domenica!$A50 &lt;&gt; "",Domenica!$G50,0)</f>
        <v>0</v>
      </c>
      <c r="AO27" s="5">
        <f>AN27*Percentuali!$I$11</f>
        <v>0</v>
      </c>
      <c r="AP27" s="5">
        <f>AN27*Percentuali!$I$37</f>
        <v>0</v>
      </c>
    </row>
    <row r="28" spans="2:42" x14ac:dyDescent="0.25">
      <c r="B28" s="5" t="s">
        <v>69</v>
      </c>
      <c r="C28" s="5">
        <f>IF(AND(Lunedì!$A52&lt;&gt;"",Lunedì!$A53&lt;&gt;""),Lunedì!$F52+Lunedì!$F53,0)</f>
        <v>0</v>
      </c>
      <c r="D28" s="5">
        <f>IF(AND(Lunedì!$A52&lt;&gt;"",Lunedì!$A53&lt;&gt;""),Lunedì!$G52+Lunedì!$G53,0)</f>
        <v>0</v>
      </c>
      <c r="E28" s="5">
        <f>D28*Percentuali!$C$12</f>
        <v>0</v>
      </c>
      <c r="F28" s="5">
        <f>D28*Percentuali!$C$38</f>
        <v>0</v>
      </c>
      <c r="G28" s="34"/>
      <c r="H28" s="5" t="s">
        <v>69</v>
      </c>
      <c r="I28" s="5">
        <f>IF(AND(Martedì!$A52&lt;&gt;"",Martedì!$A53&lt;&gt;""),Martedì!$F52+Martedì!$F53,0)</f>
        <v>0</v>
      </c>
      <c r="J28" s="5">
        <f>IF(AND(Martedì!$A52&lt;&gt;"",Martedì!$A53&lt;&gt;""),Martedì!$G52+Martedì!$G53,0)</f>
        <v>0</v>
      </c>
      <c r="K28" s="5">
        <f>J28*Percentuali!$D$12</f>
        <v>0</v>
      </c>
      <c r="L28" s="5">
        <f>J28*Percentuali!$D$38</f>
        <v>0</v>
      </c>
      <c r="M28" s="34"/>
      <c r="N28" s="5" t="s">
        <v>69</v>
      </c>
      <c r="O28" s="5">
        <f>IF(AND(Mercoledì!$A52&lt;&gt;"",Mercoledì!$A53&lt;&gt;""),Mercoledì!$F52+Mercoledì!$F53,0)</f>
        <v>0</v>
      </c>
      <c r="P28" s="5">
        <f>IF(AND(Mercoledì!$A52&lt;&gt;"",Mercoledì!$A53&lt;&gt;""),Mercoledì!$G52+Mercoledì!$G53,0)</f>
        <v>0</v>
      </c>
      <c r="Q28" s="5">
        <f>P28*Percentuali!$E$12</f>
        <v>0</v>
      </c>
      <c r="R28" s="5">
        <f>P28*Percentuali!$E$38</f>
        <v>0</v>
      </c>
      <c r="S28" s="34"/>
      <c r="T28" s="5" t="s">
        <v>69</v>
      </c>
      <c r="U28" s="5">
        <f>IF(AND(Giovedì!$A52&lt;&gt;"",Giovedì!$A53&lt;&gt;""),Giovedì!$F52+Giovedì!$F53,0)</f>
        <v>0</v>
      </c>
      <c r="V28" s="5">
        <f>IF(AND(Giovedì!$A52&lt;&gt;"",Giovedì!$A53&lt;&gt;""),Giovedì!$G52+Giovedì!$G53,0)</f>
        <v>0</v>
      </c>
      <c r="W28" s="5">
        <f>V28*Percentuali!$F$12</f>
        <v>0</v>
      </c>
      <c r="X28" s="5">
        <f>V28*Percentuali!$F$38</f>
        <v>0</v>
      </c>
      <c r="Y28" s="34"/>
      <c r="Z28" s="5" t="s">
        <v>69</v>
      </c>
      <c r="AA28" s="5">
        <f>IF(AND(Venerdì!$A52&lt;&gt;"",Venerdì!$A53&lt;&gt;""),Venerdì!$F52+Venerdì!$F53,0)</f>
        <v>0</v>
      </c>
      <c r="AB28" s="5">
        <f>IF(AND(Venerdì!$A52&lt;&gt;"",Venerdì!$A53&lt;&gt;""),Venerdì!$G52+Venerdì!$G53,0)</f>
        <v>0</v>
      </c>
      <c r="AC28" s="5">
        <f>AB28*Percentuali!$G$12</f>
        <v>0</v>
      </c>
      <c r="AD28" s="5">
        <f>AB28*Percentuali!$G$38</f>
        <v>0</v>
      </c>
      <c r="AE28" s="34"/>
      <c r="AF28" s="5" t="s">
        <v>69</v>
      </c>
      <c r="AG28" s="5">
        <f>IF(AND(Sabato!$A52&lt;&gt;"",Sabato!$A53&lt;&gt;""),Sabato!$F52+Sabato!$F53,0)</f>
        <v>0</v>
      </c>
      <c r="AH28" s="5">
        <f>IF(AND(Sabato!$A52&lt;&gt;"",Sabato!$A53&lt;&gt;""),Sabato!$G52+Sabato!$G53,0)</f>
        <v>0</v>
      </c>
      <c r="AI28" s="5">
        <f>AH28*Percentuali!$H$12</f>
        <v>0</v>
      </c>
      <c r="AJ28" s="5">
        <f>AH28*Percentuali!$H$38</f>
        <v>0</v>
      </c>
      <c r="AK28" s="34"/>
      <c r="AL28" s="5" t="s">
        <v>69</v>
      </c>
      <c r="AM28" s="5">
        <f>IF(AND(Domenica!$A52&lt;&gt;"",Domenica!$A53&lt;&gt;""),Domenica!$F52+Domenica!$F53,0)</f>
        <v>0</v>
      </c>
      <c r="AN28" s="5">
        <f>IF(AND(Domenica!$A52&lt;&gt;"",Domenica!$A53&lt;&gt;""),Domenica!$G52+Domenica!$G53,0)</f>
        <v>0</v>
      </c>
      <c r="AO28" s="5">
        <f>AN28*Percentuali!$I$12</f>
        <v>0</v>
      </c>
      <c r="AP28" s="5">
        <f>AN28*Percentuali!$I$38</f>
        <v>0</v>
      </c>
    </row>
    <row r="29" spans="2:42" x14ac:dyDescent="0.25">
      <c r="B29" s="5" t="s">
        <v>18</v>
      </c>
      <c r="C29" s="5">
        <f>IF(AND(Lunedì!$A54&lt;&gt;"",Lunedì!$A55&lt;&gt;""),Lunedì!$F54+Lunedì!$F55,0)</f>
        <v>0</v>
      </c>
      <c r="D29" s="5">
        <f>IF(AND(Lunedì!$A54&lt;&gt;"",Lunedì!$A55&lt;&gt;""),Lunedì!$G54+Lunedì!$G55,0)</f>
        <v>0</v>
      </c>
      <c r="E29" s="5">
        <f>D29*Percentuali!$C$12</f>
        <v>0</v>
      </c>
      <c r="F29" s="5">
        <f>D29*Percentuali!$C$38</f>
        <v>0</v>
      </c>
      <c r="G29" s="34"/>
      <c r="H29" s="5" t="s">
        <v>18</v>
      </c>
      <c r="I29" s="5">
        <f>IF(AND(Martedì!$A54&lt;&gt;"",Martedì!$A55&lt;&gt;""),Martedì!$F54+Martedì!$F55,0)</f>
        <v>0</v>
      </c>
      <c r="J29" s="5">
        <f>IF(AND(Martedì!$A54&lt;&gt;"",Martedì!$A55&lt;&gt;""),Martedì!$G54+Martedì!$G55,0)</f>
        <v>0</v>
      </c>
      <c r="K29" s="5">
        <f>J29*Percentuali!$D$12</f>
        <v>0</v>
      </c>
      <c r="L29" s="5">
        <f>J29*Percentuali!$D$38</f>
        <v>0</v>
      </c>
      <c r="M29" s="34"/>
      <c r="N29" s="5" t="s">
        <v>18</v>
      </c>
      <c r="O29" s="5">
        <f>IF(AND(Mercoledì!$A54&lt;&gt;"",Mercoledì!$A55&lt;&gt;""),Mercoledì!$F54+Mercoledì!$F55,0)</f>
        <v>0</v>
      </c>
      <c r="P29" s="5">
        <f>IF(AND(Mercoledì!$A54&lt;&gt;"",Mercoledì!$A55&lt;&gt;""),Mercoledì!$G54+Mercoledì!$G55,0)</f>
        <v>0</v>
      </c>
      <c r="Q29" s="5">
        <f>P29*Percentuali!$E$12</f>
        <v>0</v>
      </c>
      <c r="R29" s="5">
        <f>P29*Percentuali!$E$38</f>
        <v>0</v>
      </c>
      <c r="S29" s="34"/>
      <c r="T29" s="5" t="s">
        <v>18</v>
      </c>
      <c r="U29" s="5">
        <f>IF(AND(Giovedì!$A54&lt;&gt;"",Giovedì!$A55&lt;&gt;""),Giovedì!$F54+Giovedì!$F55,0)</f>
        <v>0</v>
      </c>
      <c r="V29" s="5">
        <f>IF(AND(Giovedì!$A54&lt;&gt;"",Giovedì!$A55&lt;&gt;""),Giovedì!$G54+Giovedì!$G55,0)</f>
        <v>0</v>
      </c>
      <c r="W29" s="5">
        <f>V29*Percentuali!$F$12</f>
        <v>0</v>
      </c>
      <c r="X29" s="5">
        <f>V29*Percentuali!$F$38</f>
        <v>0</v>
      </c>
      <c r="Y29" s="34"/>
      <c r="Z29" s="5" t="s">
        <v>18</v>
      </c>
      <c r="AA29" s="5">
        <f>IF(AND(Venerdì!$A54&lt;&gt;"",Venerdì!$A55&lt;&gt;""),Venerdì!$F54+Venerdì!$F55,0)</f>
        <v>0</v>
      </c>
      <c r="AB29" s="5">
        <f>IF(AND(Venerdì!$A54&lt;&gt;"",Venerdì!$A55&lt;&gt;""),Venerdì!$G54+Venerdì!$G55,0)</f>
        <v>0</v>
      </c>
      <c r="AC29" s="5">
        <f>AB29*Percentuali!$G$12</f>
        <v>0</v>
      </c>
      <c r="AD29" s="5">
        <f>AB29*Percentuali!$G$38</f>
        <v>0</v>
      </c>
      <c r="AE29" s="34"/>
      <c r="AF29" s="5" t="s">
        <v>18</v>
      </c>
      <c r="AG29" s="5">
        <f>IF(AND(Sabato!$A54&lt;&gt;"",Sabato!$A55&lt;&gt;""),Sabato!$F54+Sabato!$F55,0)</f>
        <v>0</v>
      </c>
      <c r="AH29" s="5">
        <f>IF(AND(Sabato!$A54&lt;&gt;"",Sabato!$A55&lt;&gt;""),Sabato!$G54+Sabato!$G55,0)</f>
        <v>0</v>
      </c>
      <c r="AI29" s="5">
        <f>AH29*Percentuali!$H$12</f>
        <v>0</v>
      </c>
      <c r="AJ29" s="5">
        <f>AH29*Percentuali!$H$38</f>
        <v>0</v>
      </c>
      <c r="AK29" s="34"/>
      <c r="AL29" s="5" t="s">
        <v>18</v>
      </c>
      <c r="AM29" s="5">
        <f>IF(AND(Domenica!$A54&lt;&gt;"",Domenica!$A55&lt;&gt;""),Domenica!$F54+Domenica!$F55,0)</f>
        <v>0</v>
      </c>
      <c r="AN29" s="5">
        <f>IF(AND(Domenica!$A54&lt;&gt;"",Domenica!$A55&lt;&gt;""),Domenica!$G54+Domenica!$G55,0)</f>
        <v>0</v>
      </c>
      <c r="AO29" s="5">
        <f>AN29*Percentuali!$I$12</f>
        <v>0</v>
      </c>
      <c r="AP29" s="5">
        <f>AN29*Percentuali!$I$38</f>
        <v>0</v>
      </c>
    </row>
    <row r="30" spans="2:42" x14ac:dyDescent="0.25">
      <c r="B30" s="5" t="s">
        <v>70</v>
      </c>
      <c r="C30" s="5">
        <f>IF(AND(Lunedì!$A57&lt;&gt;"",Lunedì!$A58&lt;&gt;""),Lunedì!$F57+Lunedì!$F58,0)</f>
        <v>0</v>
      </c>
      <c r="D30" s="5">
        <f>IF(AND(Lunedì!$A57&lt;&gt;"",Lunedì!$A58&lt;&gt;""),Lunedì!$G57+Lunedì!$G58,0)</f>
        <v>0</v>
      </c>
      <c r="E30" s="5">
        <f>D30*Percentuali!$C$13</f>
        <v>0</v>
      </c>
      <c r="F30" s="5">
        <f>D30*Percentuali!$C$39</f>
        <v>0</v>
      </c>
      <c r="G30" s="34"/>
      <c r="H30" s="5" t="s">
        <v>70</v>
      </c>
      <c r="I30" s="5">
        <f>IF(AND(Martedì!$A57&lt;&gt;"",Martedì!$A58&lt;&gt;""),Martedì!$F57+Martedì!$F58,0)</f>
        <v>0</v>
      </c>
      <c r="J30" s="5">
        <f>IF(AND(Martedì!$A57&lt;&gt;"",Martedì!$A58&lt;&gt;""),Martedì!$G57+Martedì!$G58,0)</f>
        <v>0</v>
      </c>
      <c r="K30" s="5">
        <f>J30*Percentuali!$D$13</f>
        <v>0</v>
      </c>
      <c r="L30" s="5">
        <f>J30*Percentuali!$D$39</f>
        <v>0</v>
      </c>
      <c r="M30" s="34"/>
      <c r="N30" s="5" t="s">
        <v>70</v>
      </c>
      <c r="O30" s="5">
        <f>IF(AND(Mercoledì!$A57&lt;&gt;"",Mercoledì!$A58&lt;&gt;""),Mercoledì!$F57+Mercoledì!$F58,0)</f>
        <v>0</v>
      </c>
      <c r="P30" s="5">
        <f>IF(AND(Mercoledì!$A57&lt;&gt;"",Mercoledì!$A58&lt;&gt;""),Mercoledì!$G57+Mercoledì!$G58,0)</f>
        <v>0</v>
      </c>
      <c r="Q30" s="5">
        <f>P30*Percentuali!$E$13</f>
        <v>0</v>
      </c>
      <c r="R30" s="5">
        <f>P30*Percentuali!$E$39</f>
        <v>0</v>
      </c>
      <c r="S30" s="34"/>
      <c r="T30" s="5" t="s">
        <v>70</v>
      </c>
      <c r="U30" s="5">
        <f>IF(AND(Giovedì!$A57&lt;&gt;"",Giovedì!$A58&lt;&gt;""),Giovedì!$F57+Giovedì!$F58,0)</f>
        <v>0</v>
      </c>
      <c r="V30" s="5">
        <f>IF(AND(Giovedì!$A57&lt;&gt;"",Giovedì!$A58&lt;&gt;""),Giovedì!$G57+Giovedì!$G58,0)</f>
        <v>0</v>
      </c>
      <c r="W30" s="5">
        <f>V30*Percentuali!$F$13</f>
        <v>0</v>
      </c>
      <c r="X30" s="5">
        <f>V30*Percentuali!$F$39</f>
        <v>0</v>
      </c>
      <c r="Y30" s="34"/>
      <c r="Z30" s="5" t="s">
        <v>70</v>
      </c>
      <c r="AA30" s="5">
        <f>IF(AND(Venerdì!$A57&lt;&gt;"",Venerdì!$A58&lt;&gt;""),Venerdì!$F57+Venerdì!$F58,0)</f>
        <v>0</v>
      </c>
      <c r="AB30" s="5">
        <f>IF(AND(Venerdì!$A57&lt;&gt;"",Venerdì!$A58&lt;&gt;""),Venerdì!$G57+Venerdì!$G58,0)</f>
        <v>0</v>
      </c>
      <c r="AC30" s="5">
        <f>AB30*Percentuali!$G$13</f>
        <v>0</v>
      </c>
      <c r="AD30" s="5">
        <f>AB30*Percentuali!$G$39</f>
        <v>0</v>
      </c>
      <c r="AE30" s="34"/>
      <c r="AF30" s="5" t="s">
        <v>70</v>
      </c>
      <c r="AG30" s="5">
        <f>IF(AND(Sabato!$A57&lt;&gt;"",Sabato!$A58&lt;&gt;""),Sabato!$F57+Sabato!$F58,0)</f>
        <v>0</v>
      </c>
      <c r="AH30" s="5">
        <f>IF(AND(Sabato!$A57&lt;&gt;"",Sabato!$A58&lt;&gt;""),Sabato!$G57+Sabato!$G58,0)</f>
        <v>0</v>
      </c>
      <c r="AI30" s="5">
        <f>AH30*Percentuali!$H$13</f>
        <v>0</v>
      </c>
      <c r="AJ30" s="5">
        <f>AH30*Percentuali!$H$39</f>
        <v>0</v>
      </c>
      <c r="AK30" s="34"/>
      <c r="AL30" s="5" t="s">
        <v>70</v>
      </c>
      <c r="AM30" s="5">
        <f>IF(AND(Domenica!$A57&lt;&gt;"",Domenica!$A58&lt;&gt;""),Domenica!$F57+Domenica!$F58,0)</f>
        <v>0</v>
      </c>
      <c r="AN30" s="5">
        <f>IF(AND(Domenica!$A57&lt;&gt;"",Domenica!$A58&lt;&gt;""),Domenica!$G57+Domenica!$G58,0)</f>
        <v>0</v>
      </c>
      <c r="AO30" s="5">
        <f>AN30*Percentuali!$I$13</f>
        <v>0</v>
      </c>
      <c r="AP30" s="5">
        <f>AN30*Percentuali!$I$39</f>
        <v>0</v>
      </c>
    </row>
    <row r="31" spans="2:42" x14ac:dyDescent="0.25">
      <c r="B31" s="5" t="s">
        <v>19</v>
      </c>
      <c r="C31" s="5">
        <f>IF(AND(Lunedì!$A59&lt;&gt;"",Lunedì!$A60&lt;&gt;""),Lunedì!$F59+Lunedì!$F60,0)</f>
        <v>0</v>
      </c>
      <c r="D31" s="5">
        <f>IF(AND(Lunedì!$A59&lt;&gt;"",Lunedì!$A60&lt;&gt;""),Lunedì!$G59+Lunedì!$G60,0)</f>
        <v>0</v>
      </c>
      <c r="E31" s="5">
        <f>D31*Percentuali!$C$13</f>
        <v>0</v>
      </c>
      <c r="F31" s="5">
        <f>D31*Percentuali!$C$39</f>
        <v>0</v>
      </c>
      <c r="G31" s="34"/>
      <c r="H31" s="5" t="s">
        <v>19</v>
      </c>
      <c r="I31" s="5">
        <f>IF(AND(Martedì!$A59&lt;&gt;"",Martedì!$A60&lt;&gt;""),Martedì!$F59+Martedì!$F60,0)</f>
        <v>0</v>
      </c>
      <c r="J31" s="5">
        <f>IF(AND(Martedì!$A59&lt;&gt;"",Martedì!$A60&lt;&gt;""),Martedì!$G59+Martedì!$G60,0)</f>
        <v>0</v>
      </c>
      <c r="K31" s="5">
        <f>J31*Percentuali!$D$13</f>
        <v>0</v>
      </c>
      <c r="L31" s="5">
        <f>J31*Percentuali!$D$39</f>
        <v>0</v>
      </c>
      <c r="M31" s="34"/>
      <c r="N31" s="5" t="s">
        <v>19</v>
      </c>
      <c r="O31" s="5">
        <f>IF(AND(Mercoledì!$A59&lt;&gt;"",Mercoledì!$A60&lt;&gt;""),Mercoledì!$F59+Mercoledì!$F60,0)</f>
        <v>0</v>
      </c>
      <c r="P31" s="5">
        <f>IF(AND(Mercoledì!$A59&lt;&gt;"",Mercoledì!$A60&lt;&gt;""),Mercoledì!$G59+Mercoledì!$G60,0)</f>
        <v>0</v>
      </c>
      <c r="Q31" s="5">
        <f>P31*Percentuali!$E$13</f>
        <v>0</v>
      </c>
      <c r="R31" s="5">
        <f>P31*Percentuali!$E$39</f>
        <v>0</v>
      </c>
      <c r="S31" s="34"/>
      <c r="T31" s="5" t="s">
        <v>19</v>
      </c>
      <c r="U31" s="5">
        <f>IF(AND(Giovedì!$A59&lt;&gt;"",Giovedì!$A60&lt;&gt;""),Giovedì!$F59+Giovedì!$F60,0)</f>
        <v>0</v>
      </c>
      <c r="V31" s="5">
        <f>IF(AND(Giovedì!$A59&lt;&gt;"",Giovedì!$A60&lt;&gt;""),Giovedì!$G59+Giovedì!$G60,0)</f>
        <v>0</v>
      </c>
      <c r="W31" s="5">
        <f>V31*Percentuali!$F$13</f>
        <v>0</v>
      </c>
      <c r="X31" s="5">
        <f>V31*Percentuali!$F$39</f>
        <v>0</v>
      </c>
      <c r="Y31" s="34"/>
      <c r="Z31" s="5" t="s">
        <v>19</v>
      </c>
      <c r="AA31" s="5">
        <f>IF(AND(Venerdì!$A59&lt;&gt;"",Venerdì!$A60&lt;&gt;""),Venerdì!$F59+Venerdì!$F60,0)</f>
        <v>0</v>
      </c>
      <c r="AB31" s="5">
        <f>IF(AND(Venerdì!$A59&lt;&gt;"",Venerdì!$A60&lt;&gt;""),Venerdì!$G59+Venerdì!$G60,0)</f>
        <v>0</v>
      </c>
      <c r="AC31" s="5">
        <f>AB31*Percentuali!$G$13</f>
        <v>0</v>
      </c>
      <c r="AD31" s="5">
        <f>AB31*Percentuali!$G$39</f>
        <v>0</v>
      </c>
      <c r="AE31" s="34"/>
      <c r="AF31" s="5" t="s">
        <v>19</v>
      </c>
      <c r="AG31" s="5">
        <f>IF(AND(Sabato!$A59&lt;&gt;"",Sabato!$A60&lt;&gt;""),Sabato!$F59+Sabato!$F60,0)</f>
        <v>0</v>
      </c>
      <c r="AH31" s="5">
        <f>IF(AND(Sabato!$A59&lt;&gt;"",Sabato!$A60&lt;&gt;""),Sabato!$G59+Sabato!$G60,0)</f>
        <v>0</v>
      </c>
      <c r="AI31" s="5">
        <f>AH31*Percentuali!$H$13</f>
        <v>0</v>
      </c>
      <c r="AJ31" s="5">
        <f>AH31*Percentuali!$H$39</f>
        <v>0</v>
      </c>
      <c r="AK31" s="34"/>
      <c r="AL31" s="5" t="s">
        <v>19</v>
      </c>
      <c r="AM31" s="5">
        <f>IF(AND(Domenica!$A59&lt;&gt;"",Domenica!$A60&lt;&gt;""),Domenica!$F59+Domenica!$F60,0)</f>
        <v>0</v>
      </c>
      <c r="AN31" s="5">
        <f>IF(AND(Domenica!$A59&lt;&gt;"",Domenica!$A60&lt;&gt;""),Domenica!$G59+Domenica!$G60,0)</f>
        <v>0</v>
      </c>
      <c r="AO31" s="5">
        <f>AN31*Percentuali!$I$13</f>
        <v>0</v>
      </c>
      <c r="AP31" s="5">
        <f>AN31*Percentuali!$I$39</f>
        <v>0</v>
      </c>
    </row>
    <row r="32" spans="2:42" x14ac:dyDescent="0.25">
      <c r="B32" s="5" t="s">
        <v>71</v>
      </c>
      <c r="C32" s="5">
        <f>IF(AND(Lunedì!$A62&lt;&gt;"",Lunedì!$A63&lt;&gt;""),Lunedì!$F62+Lunedì!$F63,0)</f>
        <v>0</v>
      </c>
      <c r="D32" s="5">
        <f>IF(AND(Lunedì!$A62&lt;&gt;"",Lunedì!$A63&lt;&gt;""),Lunedì!$G62+Lunedì!$G63,0)</f>
        <v>0</v>
      </c>
      <c r="E32" s="5">
        <f>D32*Percentuali!$C$14</f>
        <v>0</v>
      </c>
      <c r="F32" s="5">
        <f>D32*Percentuali!$C$40</f>
        <v>0</v>
      </c>
      <c r="G32" s="34"/>
      <c r="H32" s="5" t="s">
        <v>71</v>
      </c>
      <c r="I32" s="5">
        <f>IF(AND(Martedì!$A62&lt;&gt;"",Martedì!$A63&lt;&gt;""),Martedì!$F62+Martedì!$F63,0)</f>
        <v>0</v>
      </c>
      <c r="J32" s="5">
        <f>IF(AND(Martedì!$A62&lt;&gt;"",Martedì!$A63&lt;&gt;""),Martedì!$G62+Martedì!$G63,0)</f>
        <v>0</v>
      </c>
      <c r="K32" s="5">
        <f>J32*Percentuali!$D$14</f>
        <v>0</v>
      </c>
      <c r="L32" s="5">
        <f>J32*Percentuali!$D$40</f>
        <v>0</v>
      </c>
      <c r="M32" s="34"/>
      <c r="N32" s="5" t="s">
        <v>71</v>
      </c>
      <c r="O32" s="5">
        <f>IF(AND(Mercoledì!$A62&lt;&gt;"",Mercoledì!$A63&lt;&gt;""),Mercoledì!$F62+Mercoledì!$F63,0)</f>
        <v>0</v>
      </c>
      <c r="P32" s="5">
        <f>IF(AND(Mercoledì!$A62&lt;&gt;"",Mercoledì!$A63&lt;&gt;""),Mercoledì!$G62+Mercoledì!$G63,0)</f>
        <v>0</v>
      </c>
      <c r="Q32" s="5">
        <f>P32*Percentuali!$E$14</f>
        <v>0</v>
      </c>
      <c r="R32" s="5">
        <f>P32*Percentuali!$E$40</f>
        <v>0</v>
      </c>
      <c r="S32" s="34"/>
      <c r="T32" s="5" t="s">
        <v>71</v>
      </c>
      <c r="U32" s="5">
        <f>IF(AND(Giovedì!$A62&lt;&gt;"",Giovedì!$A63&lt;&gt;""),Giovedì!$F62+Giovedì!$F63,0)</f>
        <v>0</v>
      </c>
      <c r="V32" s="5">
        <f>IF(AND(Giovedì!$A62&lt;&gt;"",Giovedì!$A63&lt;&gt;""),Giovedì!$G62+Giovedì!$G63,0)</f>
        <v>0</v>
      </c>
      <c r="W32" s="5">
        <f>V32*Percentuali!$F$14</f>
        <v>0</v>
      </c>
      <c r="X32" s="5">
        <f>V32*Percentuali!$F$40</f>
        <v>0</v>
      </c>
      <c r="Y32" s="34"/>
      <c r="Z32" s="5" t="s">
        <v>71</v>
      </c>
      <c r="AA32" s="5">
        <f>IF(AND(Venerdì!$A62&lt;&gt;"",Venerdì!$A63&lt;&gt;""),Venerdì!$F62+Venerdì!$F63,0)</f>
        <v>0</v>
      </c>
      <c r="AB32" s="5">
        <f>IF(AND(Venerdì!$A62&lt;&gt;"",Venerdì!$A63&lt;&gt;""),Venerdì!$G62+Venerdì!$G63,0)</f>
        <v>0</v>
      </c>
      <c r="AC32" s="5">
        <f>AB32*Percentuali!$G$14</f>
        <v>0</v>
      </c>
      <c r="AD32" s="5">
        <f>AB32*Percentuali!$G$40</f>
        <v>0</v>
      </c>
      <c r="AE32" s="34"/>
      <c r="AF32" s="5" t="s">
        <v>71</v>
      </c>
      <c r="AG32" s="5">
        <f>IF(AND(Sabato!$A62&lt;&gt;"",Sabato!$A63&lt;&gt;""),Sabato!$F62+Sabato!$F63,0)</f>
        <v>0</v>
      </c>
      <c r="AH32" s="5">
        <f>IF(AND(Sabato!$A62&lt;&gt;"",Sabato!$A63&lt;&gt;""),Sabato!$G62+Sabato!$G63,0)</f>
        <v>0</v>
      </c>
      <c r="AI32" s="5">
        <f>AH32*Percentuali!$H$14</f>
        <v>0</v>
      </c>
      <c r="AJ32" s="5">
        <f>AH32*Percentuali!$H$40</f>
        <v>0</v>
      </c>
      <c r="AK32" s="34"/>
      <c r="AL32" s="5" t="s">
        <v>71</v>
      </c>
      <c r="AM32" s="5">
        <f>IF(AND(Domenica!$A62&lt;&gt;"",Domenica!$A63&lt;&gt;""),Domenica!$F62+Domenica!$F63,0)</f>
        <v>0</v>
      </c>
      <c r="AN32" s="5">
        <f>IF(AND(Domenica!$A62&lt;&gt;"",Domenica!$A63&lt;&gt;""),Domenica!$G62+Domenica!$G63,0)</f>
        <v>0</v>
      </c>
      <c r="AO32" s="5">
        <f>AN32*Percentuali!$I$14</f>
        <v>0</v>
      </c>
      <c r="AP32" s="5">
        <f>AN32*Percentuali!$I$40</f>
        <v>0</v>
      </c>
    </row>
    <row r="33" spans="2:42" x14ac:dyDescent="0.25">
      <c r="B33" s="5" t="s">
        <v>20</v>
      </c>
      <c r="C33" s="5">
        <f>IF(AND(Lunedì!$A64&lt;&gt;"",Lunedì!$A65&lt;&gt;""),Lunedì!$F64+Lunedì!$F65,0)</f>
        <v>0</v>
      </c>
      <c r="D33" s="5">
        <f>IF(AND(Lunedì!$A64&lt;&gt;"",Lunedì!$A65&lt;&gt;""),Lunedì!$G64+Lunedì!$G65,0)</f>
        <v>0</v>
      </c>
      <c r="E33" s="5">
        <f>D33*Percentuali!$C$14</f>
        <v>0</v>
      </c>
      <c r="F33" s="5">
        <f>D33*Percentuali!$C$40</f>
        <v>0</v>
      </c>
      <c r="G33" s="34"/>
      <c r="H33" s="5" t="s">
        <v>20</v>
      </c>
      <c r="I33" s="5">
        <f>IF(AND(Martedì!$A64&lt;&gt;"",Martedì!$A65&lt;&gt;""),Martedì!$F64+Martedì!$F65,0)</f>
        <v>0</v>
      </c>
      <c r="J33" s="5">
        <f>IF(AND(Martedì!$A64&lt;&gt;"",Martedì!$A65&lt;&gt;""),Martedì!$G64+Martedì!$G65,0)</f>
        <v>0</v>
      </c>
      <c r="K33" s="5">
        <f>J33*Percentuali!$D$14</f>
        <v>0</v>
      </c>
      <c r="L33" s="5">
        <f>J33*Percentuali!$D$40</f>
        <v>0</v>
      </c>
      <c r="M33" s="34"/>
      <c r="N33" s="5" t="s">
        <v>20</v>
      </c>
      <c r="O33" s="5">
        <f>IF(AND(Mercoledì!$A64&lt;&gt;"",Mercoledì!$A65&lt;&gt;""),Mercoledì!$F64+Mercoledì!$F65,0)</f>
        <v>0</v>
      </c>
      <c r="P33" s="5">
        <f>IF(AND(Mercoledì!$A64&lt;&gt;"",Mercoledì!$A65&lt;&gt;""),Mercoledì!$G64+Mercoledì!$G65,0)</f>
        <v>0</v>
      </c>
      <c r="Q33" s="5">
        <f>P33*Percentuali!$E$14</f>
        <v>0</v>
      </c>
      <c r="R33" s="5">
        <f>P33*Percentuali!$E$40</f>
        <v>0</v>
      </c>
      <c r="S33" s="34"/>
      <c r="T33" s="5" t="s">
        <v>20</v>
      </c>
      <c r="U33" s="5">
        <f>IF(AND(Giovedì!$A64&lt;&gt;"",Giovedì!$A65&lt;&gt;""),Giovedì!$F64+Giovedì!$F65,0)</f>
        <v>0</v>
      </c>
      <c r="V33" s="5">
        <f>IF(AND(Giovedì!$A64&lt;&gt;"",Giovedì!$A65&lt;&gt;""),Giovedì!$G64+Giovedì!$G65,0)</f>
        <v>0</v>
      </c>
      <c r="W33" s="5">
        <f>V33*Percentuali!$F$14</f>
        <v>0</v>
      </c>
      <c r="X33" s="5">
        <f>V33*Percentuali!$F$40</f>
        <v>0</v>
      </c>
      <c r="Y33" s="34"/>
      <c r="Z33" s="5" t="s">
        <v>20</v>
      </c>
      <c r="AA33" s="5">
        <f>IF(AND(Venerdì!$A64&lt;&gt;"",Venerdì!$A65&lt;&gt;""),Venerdì!$F64+Venerdì!$F65,0)</f>
        <v>0</v>
      </c>
      <c r="AB33" s="5">
        <f>IF(AND(Venerdì!$A64&lt;&gt;"",Venerdì!$A65&lt;&gt;""),Venerdì!$G64+Venerdì!$G65,0)</f>
        <v>0</v>
      </c>
      <c r="AC33" s="5">
        <f>AB33*Percentuali!$G$14</f>
        <v>0</v>
      </c>
      <c r="AD33" s="5">
        <f>AB33*Percentuali!$G$40</f>
        <v>0</v>
      </c>
      <c r="AE33" s="34"/>
      <c r="AF33" s="5" t="s">
        <v>20</v>
      </c>
      <c r="AG33" s="5">
        <f>IF(AND(Sabato!$A64&lt;&gt;"",Sabato!$A65&lt;&gt;""),Sabato!$F64+Sabato!$F65,0)</f>
        <v>0</v>
      </c>
      <c r="AH33" s="5">
        <f>IF(AND(Sabato!$A64&lt;&gt;"",Sabato!$A65&lt;&gt;""),Sabato!$G64+Sabato!$G65,0)</f>
        <v>0</v>
      </c>
      <c r="AI33" s="5">
        <f>AH33*Percentuali!$H$14</f>
        <v>0</v>
      </c>
      <c r="AJ33" s="5">
        <f>AH33*Percentuali!$H$40</f>
        <v>0</v>
      </c>
      <c r="AK33" s="34"/>
      <c r="AL33" s="5" t="s">
        <v>20</v>
      </c>
      <c r="AM33" s="5">
        <f>IF(AND(Domenica!$A64&lt;&gt;"",Domenica!$A65&lt;&gt;""),Domenica!$F64+Domenica!$F65,0)</f>
        <v>0</v>
      </c>
      <c r="AN33" s="5">
        <f>IF(AND(Domenica!$A64&lt;&gt;"",Domenica!$A65&lt;&gt;""),Domenica!$G64+Domenica!$G65,0)</f>
        <v>0</v>
      </c>
      <c r="AO33" s="5">
        <f>AN33*Percentuali!$I$14</f>
        <v>0</v>
      </c>
      <c r="AP33" s="5">
        <f>AN33*Percentuali!$I$40</f>
        <v>0</v>
      </c>
    </row>
    <row r="34" spans="2:42" x14ac:dyDescent="0.25">
      <c r="B34" s="5" t="s">
        <v>72</v>
      </c>
      <c r="C34" s="5">
        <f>IF(AND(Lunedì!$A67&lt;&gt;"",Lunedì!$A68&lt;&gt;""),Lunedì!$F67+Lunedì!$F68,0)</f>
        <v>0</v>
      </c>
      <c r="D34" s="5">
        <f>IF(AND(Lunedì!$A67&lt;&gt;"",Lunedì!$A68&lt;&gt;""),Lunedì!$G67+Lunedì!$G68,0)</f>
        <v>0</v>
      </c>
      <c r="E34" s="5">
        <f>D34*Percentuali!$C$15</f>
        <v>0</v>
      </c>
      <c r="F34" s="5">
        <f>D34*Percentuali!$C$41</f>
        <v>0</v>
      </c>
      <c r="G34" s="34"/>
      <c r="H34" s="5" t="s">
        <v>72</v>
      </c>
      <c r="I34" s="5">
        <f>IF(AND(Martedì!$A67&lt;&gt;"",Martedì!$A68&lt;&gt;""),Martedì!$F67+Martedì!$F68,0)</f>
        <v>0</v>
      </c>
      <c r="J34" s="5">
        <f>IF(AND(Martedì!$A67&lt;&gt;"",Martedì!$A68&lt;&gt;""),Martedì!$G67+Martedì!$G68,0)</f>
        <v>0</v>
      </c>
      <c r="K34" s="5">
        <f>J34*Percentuali!$D$15</f>
        <v>0</v>
      </c>
      <c r="L34" s="5">
        <f>J34*Percentuali!$D$41</f>
        <v>0</v>
      </c>
      <c r="M34" s="34"/>
      <c r="N34" s="5" t="s">
        <v>72</v>
      </c>
      <c r="O34" s="5">
        <f>IF(AND(Mercoledì!$A67&lt;&gt;"",Mercoledì!$A68&lt;&gt;""),Mercoledì!$F67+Mercoledì!$F68,0)</f>
        <v>0</v>
      </c>
      <c r="P34" s="5">
        <f>IF(AND(Mercoledì!$A67&lt;&gt;"",Mercoledì!$A68&lt;&gt;""),Mercoledì!$G67+Mercoledì!$G68,0)</f>
        <v>0</v>
      </c>
      <c r="Q34" s="5">
        <f>P34*Percentuali!$E$15</f>
        <v>0</v>
      </c>
      <c r="R34" s="5">
        <f>P34*Percentuali!$E$41</f>
        <v>0</v>
      </c>
      <c r="S34" s="34"/>
      <c r="T34" s="5" t="s">
        <v>72</v>
      </c>
      <c r="U34" s="5">
        <f>IF(AND(Giovedì!$A67&lt;&gt;"",Giovedì!$A68&lt;&gt;""),Giovedì!$F67+Giovedì!$F68,0)</f>
        <v>0</v>
      </c>
      <c r="V34" s="5">
        <f>IF(AND(Giovedì!$A67&lt;&gt;"",Giovedì!$A68&lt;&gt;""),Giovedì!$G67+Giovedì!$G68,0)</f>
        <v>0</v>
      </c>
      <c r="W34" s="5">
        <f>V34*Percentuali!$F$15</f>
        <v>0</v>
      </c>
      <c r="X34" s="5">
        <f>V34*Percentuali!$F$41</f>
        <v>0</v>
      </c>
      <c r="Y34" s="34"/>
      <c r="Z34" s="5" t="s">
        <v>72</v>
      </c>
      <c r="AA34" s="5">
        <f>IF(AND(Venerdì!$A67&lt;&gt;"",Venerdì!$A68&lt;&gt;""),Venerdì!$F67+Venerdì!$F68,0)</f>
        <v>0</v>
      </c>
      <c r="AB34" s="5">
        <f>IF(AND(Venerdì!$A67&lt;&gt;"",Venerdì!$A68&lt;&gt;""),Venerdì!$G67+Venerdì!$G68,0)</f>
        <v>0</v>
      </c>
      <c r="AC34" s="5">
        <f>AB34*Percentuali!$G$15</f>
        <v>0</v>
      </c>
      <c r="AD34" s="5">
        <f>AB34*Percentuali!$G$41</f>
        <v>0</v>
      </c>
      <c r="AE34" s="34"/>
      <c r="AF34" s="5" t="s">
        <v>72</v>
      </c>
      <c r="AG34" s="5">
        <f>IF(AND(Sabato!$A67&lt;&gt;"",Sabato!$A68&lt;&gt;""),Sabato!$F67+Sabato!$F68,0)</f>
        <v>0</v>
      </c>
      <c r="AH34" s="5">
        <f>IF(AND(Sabato!$A67&lt;&gt;"",Sabato!$A68&lt;&gt;""),Sabato!$G67+Sabato!$G68,0)</f>
        <v>0</v>
      </c>
      <c r="AI34" s="5">
        <f>AH34*Percentuali!$H$15</f>
        <v>0</v>
      </c>
      <c r="AJ34" s="5">
        <f>AH34*Percentuali!$H$41</f>
        <v>0</v>
      </c>
      <c r="AK34" s="34"/>
      <c r="AL34" s="5" t="s">
        <v>72</v>
      </c>
      <c r="AM34" s="5">
        <f>IF(AND(Domenica!$A67&lt;&gt;"",Domenica!$A68&lt;&gt;""),Domenica!$F67+Domenica!$F68,0)</f>
        <v>0</v>
      </c>
      <c r="AN34" s="5">
        <f>IF(AND(Domenica!$A67&lt;&gt;"",Domenica!$A68&lt;&gt;""),Domenica!$G67+Domenica!$G68,0)</f>
        <v>0</v>
      </c>
      <c r="AO34" s="5">
        <f>AN34*Percentuali!$I$15</f>
        <v>0</v>
      </c>
      <c r="AP34" s="5">
        <f>AN34*Percentuali!$I$41</f>
        <v>0</v>
      </c>
    </row>
    <row r="35" spans="2:42" x14ac:dyDescent="0.25">
      <c r="B35" s="5" t="s">
        <v>21</v>
      </c>
      <c r="C35" s="5">
        <f>IF(AND(Lunedì!$A69&lt;&gt;"",Lunedì!$A70&lt;&gt;""),Lunedì!$F69+Lunedì!$F70,0)</f>
        <v>0</v>
      </c>
      <c r="D35" s="5">
        <f>IF(AND(Lunedì!$A69&lt;&gt;"",Lunedì!$A70&lt;&gt;""),Lunedì!$G69+Lunedì!$G70,0)</f>
        <v>0</v>
      </c>
      <c r="E35" s="5">
        <f>D35*Percentuali!$C$15</f>
        <v>0</v>
      </c>
      <c r="F35" s="5">
        <f>D35*Percentuali!$C$41</f>
        <v>0</v>
      </c>
      <c r="G35" s="34"/>
      <c r="H35" s="5" t="s">
        <v>21</v>
      </c>
      <c r="I35" s="5">
        <f>IF(AND(Martedì!$A69&lt;&gt;"",Martedì!$A70&lt;&gt;""),Martedì!$F69+Martedì!$F70,0)</f>
        <v>0</v>
      </c>
      <c r="J35" s="5">
        <f>IF(AND(Martedì!$A69&lt;&gt;"",Martedì!$A70&lt;&gt;""),Martedì!$G69+Martedì!$G70,0)</f>
        <v>0</v>
      </c>
      <c r="K35" s="5">
        <f>J35*Percentuali!$D$15</f>
        <v>0</v>
      </c>
      <c r="L35" s="5">
        <f>J35*Percentuali!$D$41</f>
        <v>0</v>
      </c>
      <c r="M35" s="34"/>
      <c r="N35" s="5" t="s">
        <v>21</v>
      </c>
      <c r="O35" s="5">
        <f>IF(AND(Mercoledì!$A69&lt;&gt;"",Mercoledì!$A70&lt;&gt;""),Mercoledì!$F69+Mercoledì!$F70,0)</f>
        <v>0</v>
      </c>
      <c r="P35" s="5">
        <f>IF(AND(Mercoledì!$A69&lt;&gt;"",Mercoledì!$A70&lt;&gt;""),Mercoledì!$G69+Mercoledì!$G70,0)</f>
        <v>0</v>
      </c>
      <c r="Q35" s="5">
        <f>P35*Percentuali!$E$15</f>
        <v>0</v>
      </c>
      <c r="R35" s="5">
        <f>P35*Percentuali!$E$41</f>
        <v>0</v>
      </c>
      <c r="S35" s="34"/>
      <c r="T35" s="5" t="s">
        <v>21</v>
      </c>
      <c r="U35" s="5">
        <f>IF(AND(Giovedì!$A69&lt;&gt;"",Giovedì!$A70&lt;&gt;""),Giovedì!$F69+Giovedì!$F70,0)</f>
        <v>0</v>
      </c>
      <c r="V35" s="5">
        <f>IF(AND(Giovedì!$A69&lt;&gt;"",Giovedì!$A70&lt;&gt;""),Giovedì!$G69+Giovedì!$G70,0)</f>
        <v>0</v>
      </c>
      <c r="W35" s="5">
        <f>V35*Percentuali!$F$15</f>
        <v>0</v>
      </c>
      <c r="X35" s="5">
        <f>V35*Percentuali!$F$41</f>
        <v>0</v>
      </c>
      <c r="Y35" s="34"/>
      <c r="Z35" s="5" t="s">
        <v>21</v>
      </c>
      <c r="AA35" s="5">
        <f>IF(AND(Venerdì!$A69&lt;&gt;"",Venerdì!$A70&lt;&gt;""),Venerdì!$F69+Venerdì!$F70,0)</f>
        <v>0</v>
      </c>
      <c r="AB35" s="5">
        <f>IF(AND(Venerdì!$A69&lt;&gt;"",Venerdì!$A70&lt;&gt;""),Venerdì!$G69+Venerdì!$G70,0)</f>
        <v>0</v>
      </c>
      <c r="AC35" s="5">
        <f>AB35*Percentuali!$G$15</f>
        <v>0</v>
      </c>
      <c r="AD35" s="5">
        <f>AB35*Percentuali!$G$41</f>
        <v>0</v>
      </c>
      <c r="AE35" s="34"/>
      <c r="AF35" s="5" t="s">
        <v>21</v>
      </c>
      <c r="AG35" s="5">
        <f>IF(AND(Sabato!$A69&lt;&gt;"",Sabato!$A70&lt;&gt;""),Sabato!$F69+Sabato!$F70,0)</f>
        <v>0</v>
      </c>
      <c r="AH35" s="5">
        <f>IF(AND(Sabato!$A69&lt;&gt;"",Sabato!$A70&lt;&gt;""),Sabato!$G69+Sabato!$G70,0)</f>
        <v>0</v>
      </c>
      <c r="AI35" s="5">
        <f>AH35*Percentuali!$H$15</f>
        <v>0</v>
      </c>
      <c r="AJ35" s="5">
        <f>AH35*Percentuali!$H$41</f>
        <v>0</v>
      </c>
      <c r="AK35" s="34"/>
      <c r="AL35" s="5" t="s">
        <v>21</v>
      </c>
      <c r="AM35" s="5">
        <f>IF(AND(Domenica!$A69&lt;&gt;"",Domenica!$A70&lt;&gt;""),Domenica!$F69+Domenica!$F70,0)</f>
        <v>0</v>
      </c>
      <c r="AN35" s="5">
        <f>IF(AND(Domenica!$A69&lt;&gt;"",Domenica!$A70&lt;&gt;""),Domenica!$G69+Domenica!$G70,0)</f>
        <v>0</v>
      </c>
      <c r="AO35" s="5">
        <f>AN35*Percentuali!$I$15</f>
        <v>0</v>
      </c>
      <c r="AP35" s="5">
        <f>AN35*Percentuali!$I$41</f>
        <v>0</v>
      </c>
    </row>
    <row r="36" spans="2:42" x14ac:dyDescent="0.25">
      <c r="B36" s="5" t="s">
        <v>61</v>
      </c>
      <c r="C36" s="5">
        <f>IF(AND(Lunedì!$A72&lt;&gt;"",Lunedì!$A73&lt;&gt;""),Lunedì!$F72+Lunedì!$F73,0)</f>
        <v>0</v>
      </c>
      <c r="D36" s="5">
        <f>IF(AND(Lunedì!$A72&lt;&gt;"",Lunedì!$A73&lt;&gt;""),Lunedì!$G72+Lunedì!$G73,0)</f>
        <v>0</v>
      </c>
      <c r="E36" s="5">
        <f>D36*Percentuali!$C$16</f>
        <v>0</v>
      </c>
      <c r="F36" s="5">
        <f>D36*Percentuali!$C$42</f>
        <v>0</v>
      </c>
      <c r="G36" s="34"/>
      <c r="H36" s="5" t="s">
        <v>61</v>
      </c>
      <c r="I36" s="5">
        <f>IF(AND(Martedì!$A72&lt;&gt;"",Martedì!$A73&lt;&gt;""),Martedì!$F72+Martedì!$F73,0)</f>
        <v>0</v>
      </c>
      <c r="J36" s="5">
        <f>IF(AND(Martedì!$A72&lt;&gt;"",Martedì!$A73&lt;&gt;""),Martedì!$G72+Martedì!$G73,0)</f>
        <v>0</v>
      </c>
      <c r="K36" s="5">
        <f>J36*Percentuali!$D$16</f>
        <v>0</v>
      </c>
      <c r="L36" s="5">
        <f>J36*Percentuali!$D$42</f>
        <v>0</v>
      </c>
      <c r="M36" s="34"/>
      <c r="N36" s="5" t="s">
        <v>61</v>
      </c>
      <c r="O36" s="5">
        <f>IF(AND(Mercoledì!$A72&lt;&gt;"",Mercoledì!$A73&lt;&gt;""),Mercoledì!$F72+Mercoledì!$F73,0)</f>
        <v>0</v>
      </c>
      <c r="P36" s="5">
        <f>IF(AND(Mercoledì!$A72&lt;&gt;"",Mercoledì!$A73&lt;&gt;""),Mercoledì!$G72+Mercoledì!$G73,0)</f>
        <v>0</v>
      </c>
      <c r="Q36" s="5">
        <f>P36*Percentuali!$E$16</f>
        <v>0</v>
      </c>
      <c r="R36" s="5">
        <f>P36*Percentuali!$E$42</f>
        <v>0</v>
      </c>
      <c r="S36" s="34"/>
      <c r="T36" s="5" t="s">
        <v>61</v>
      </c>
      <c r="U36" s="5">
        <f>IF(AND(Giovedì!$A72&lt;&gt;"",Giovedì!$A73&lt;&gt;""),Giovedì!$F72+Giovedì!$F73,0)</f>
        <v>0</v>
      </c>
      <c r="V36" s="5">
        <f>IF(AND(Giovedì!$A72&lt;&gt;"",Giovedì!$A73&lt;&gt;""),Giovedì!$G72+Giovedì!$G73,0)</f>
        <v>0</v>
      </c>
      <c r="W36" s="5">
        <f>V36*Percentuali!$F$16</f>
        <v>0</v>
      </c>
      <c r="X36" s="5">
        <f>V36*Percentuali!$F$42</f>
        <v>0</v>
      </c>
      <c r="Y36" s="34"/>
      <c r="Z36" s="5" t="s">
        <v>61</v>
      </c>
      <c r="AA36" s="5">
        <f>IF(AND(Venerdì!$A72&lt;&gt;"",Venerdì!$A73&lt;&gt;""),Venerdì!$F72+Venerdì!$F73,0)</f>
        <v>0</v>
      </c>
      <c r="AB36" s="5">
        <f>IF(AND(Venerdì!$A72&lt;&gt;"",Venerdì!$A73&lt;&gt;""),Venerdì!$G72+Venerdì!$G73,0)</f>
        <v>0</v>
      </c>
      <c r="AC36" s="5">
        <f>AB36*Percentuali!$G$16</f>
        <v>0</v>
      </c>
      <c r="AD36" s="5">
        <f>AB36*Percentuali!$G$42</f>
        <v>0</v>
      </c>
      <c r="AE36" s="34"/>
      <c r="AF36" s="5" t="s">
        <v>61</v>
      </c>
      <c r="AG36" s="5">
        <f>IF(AND(Sabato!$A72&lt;&gt;"",Sabato!$A73&lt;&gt;""),Sabato!$F72+Sabato!$F73,0)</f>
        <v>0</v>
      </c>
      <c r="AH36" s="5">
        <f>IF(AND(Sabato!$A72&lt;&gt;"",Sabato!$A73&lt;&gt;""),Sabato!$G72+Sabato!$G73,0)</f>
        <v>0</v>
      </c>
      <c r="AI36" s="5">
        <f>AH36*Percentuali!$H$16</f>
        <v>0</v>
      </c>
      <c r="AJ36" s="5">
        <f>AH36*Percentuali!$H$42</f>
        <v>0</v>
      </c>
      <c r="AK36" s="34"/>
      <c r="AL36" s="5" t="s">
        <v>61</v>
      </c>
      <c r="AM36" s="5">
        <f>IF(AND(Domenica!$A72&lt;&gt;"",Domenica!$A73&lt;&gt;""),Domenica!$F72+Domenica!$F73,0)</f>
        <v>0</v>
      </c>
      <c r="AN36" s="5">
        <f>IF(AND(Domenica!$A72&lt;&gt;"",Domenica!$A73&lt;&gt;""),Domenica!$G72+Domenica!$G73,0)</f>
        <v>0</v>
      </c>
      <c r="AO36" s="5">
        <f>AN36*Percentuali!$I$16</f>
        <v>0</v>
      </c>
      <c r="AP36" s="5">
        <f>AN36*Percentuali!$I$42</f>
        <v>0</v>
      </c>
    </row>
    <row r="37" spans="2:42" x14ac:dyDescent="0.25">
      <c r="B37" s="5" t="s">
        <v>22</v>
      </c>
      <c r="C37" s="5">
        <f>IF(Lunedì!$A74 &lt;&gt; "",Lunedì!$F74,0)</f>
        <v>0</v>
      </c>
      <c r="D37" s="5">
        <f>IF(Lunedì!$A74 &lt;&gt; "",Lunedì!$G74,0)</f>
        <v>0</v>
      </c>
      <c r="E37" s="5">
        <f>D37*Percentuali!$C$16</f>
        <v>0</v>
      </c>
      <c r="F37" s="5">
        <f>D37*Percentuali!$C$42</f>
        <v>0</v>
      </c>
      <c r="G37" s="34"/>
      <c r="H37" s="5" t="s">
        <v>22</v>
      </c>
      <c r="I37" s="5">
        <f>IF(Martedì!$A74 &lt;&gt; "",Martedì!$F74,0)</f>
        <v>0</v>
      </c>
      <c r="J37" s="5">
        <f>IF(Martedì!$A74 &lt;&gt; "",Martedì!$G74,0)</f>
        <v>0</v>
      </c>
      <c r="K37" s="5">
        <f>J37*Percentuali!$D$16</f>
        <v>0</v>
      </c>
      <c r="L37" s="5">
        <f>J37*Percentuali!$D$42</f>
        <v>0</v>
      </c>
      <c r="M37" s="34"/>
      <c r="N37" s="5" t="s">
        <v>22</v>
      </c>
      <c r="O37" s="5">
        <f>IF(Mercoledì!$A74 &lt;&gt; "",Mercoledì!$F74,0)</f>
        <v>0</v>
      </c>
      <c r="P37" s="5">
        <f>IF(Mercoledì!$A74 &lt;&gt; "",Mercoledì!$G74,0)</f>
        <v>0</v>
      </c>
      <c r="Q37" s="5">
        <f>P37*Percentuali!$E$16</f>
        <v>0</v>
      </c>
      <c r="R37" s="5">
        <f>P37*Percentuali!$E$42</f>
        <v>0</v>
      </c>
      <c r="S37" s="34"/>
      <c r="T37" s="5" t="s">
        <v>22</v>
      </c>
      <c r="U37" s="5">
        <f>IF(Giovedì!$A74 &lt;&gt; "",Giovedì!$F74,0)</f>
        <v>0</v>
      </c>
      <c r="V37" s="5">
        <f>IF(Giovedì!$A74 &lt;&gt; "",Giovedì!$G74,0)</f>
        <v>0</v>
      </c>
      <c r="W37" s="5">
        <f>V37*Percentuali!$F$16</f>
        <v>0</v>
      </c>
      <c r="X37" s="5">
        <f>V37*Percentuali!$F$42</f>
        <v>0</v>
      </c>
      <c r="Y37" s="34"/>
      <c r="Z37" s="5" t="s">
        <v>22</v>
      </c>
      <c r="AA37" s="5">
        <f>IF(Venerdì!$A74 &lt;&gt; "",Venerdì!$F74,0)</f>
        <v>0</v>
      </c>
      <c r="AB37" s="5">
        <f>IF(Venerdì!$A74 &lt;&gt; "",Venerdì!$G74,0)</f>
        <v>0</v>
      </c>
      <c r="AC37" s="5">
        <f>AB37*Percentuali!$G$16</f>
        <v>0</v>
      </c>
      <c r="AD37" s="5">
        <f>AB37*Percentuali!$G$42</f>
        <v>0</v>
      </c>
      <c r="AE37" s="34"/>
      <c r="AF37" s="5" t="s">
        <v>22</v>
      </c>
      <c r="AG37" s="5">
        <f>IF(Sabato!$A74 &lt;&gt; "",Sabato!$F74,0)</f>
        <v>0</v>
      </c>
      <c r="AH37" s="5">
        <f>IF(Sabato!$A74 &lt;&gt; "",Sabato!$G74,0)</f>
        <v>0</v>
      </c>
      <c r="AI37" s="5">
        <f>AH37*Percentuali!$H$16</f>
        <v>0</v>
      </c>
      <c r="AJ37" s="5">
        <f>AH37*Percentuali!$H$42</f>
        <v>0</v>
      </c>
      <c r="AK37" s="34"/>
      <c r="AL37" s="5" t="s">
        <v>22</v>
      </c>
      <c r="AM37" s="5">
        <f>IF(Domenica!$A74 &lt;&gt; "",Domenica!$F74,0)</f>
        <v>0</v>
      </c>
      <c r="AN37" s="5">
        <f>IF(Domenica!$A74 &lt;&gt; "",Domenica!$G74,0)</f>
        <v>0</v>
      </c>
      <c r="AO37" s="5">
        <f>AN37*Percentuali!$I$16</f>
        <v>0</v>
      </c>
      <c r="AP37" s="5">
        <f>AN37*Percentuali!$I$42</f>
        <v>0</v>
      </c>
    </row>
    <row r="38" spans="2:42" x14ac:dyDescent="0.25">
      <c r="B38" s="5" t="s">
        <v>23</v>
      </c>
      <c r="C38" s="5">
        <f>IF(Lunedì!$A75 &lt;&gt; "",Lunedì!$F75,0)</f>
        <v>0</v>
      </c>
      <c r="D38" s="5">
        <f>IF(Lunedì!$A75 &lt;&gt; "",Lunedì!$G75,0)</f>
        <v>0</v>
      </c>
      <c r="E38" s="5">
        <f>D38*Percentuali!$C$16</f>
        <v>0</v>
      </c>
      <c r="F38" s="5">
        <f>D38*Percentuali!$C$42</f>
        <v>0</v>
      </c>
      <c r="G38" s="34"/>
      <c r="H38" s="5" t="s">
        <v>23</v>
      </c>
      <c r="I38" s="5">
        <f>IF(Martedì!$A75 &lt;&gt; "",Martedì!$F75,0)</f>
        <v>0</v>
      </c>
      <c r="J38" s="5">
        <f>IF(Martedì!$A75 &lt;&gt; "",Martedì!$G75,0)</f>
        <v>0</v>
      </c>
      <c r="K38" s="5">
        <f>J38*Percentuali!$D$16</f>
        <v>0</v>
      </c>
      <c r="L38" s="5">
        <f>J38*Percentuali!$D$42</f>
        <v>0</v>
      </c>
      <c r="M38" s="34"/>
      <c r="N38" s="5" t="s">
        <v>23</v>
      </c>
      <c r="O38" s="5">
        <f>IF(Mercoledì!$A75 &lt;&gt; "",Mercoledì!$F75,0)</f>
        <v>0</v>
      </c>
      <c r="P38" s="5">
        <f>IF(Mercoledì!$A75 &lt;&gt; "",Mercoledì!$G75,0)</f>
        <v>0</v>
      </c>
      <c r="Q38" s="5">
        <f>P38*Percentuali!$E$16</f>
        <v>0</v>
      </c>
      <c r="R38" s="5">
        <f>P38*Percentuali!$E$42</f>
        <v>0</v>
      </c>
      <c r="S38" s="34"/>
      <c r="T38" s="5" t="s">
        <v>23</v>
      </c>
      <c r="U38" s="5">
        <f>IF(Giovedì!$A75 &lt;&gt; "",Giovedì!$F75,0)</f>
        <v>0</v>
      </c>
      <c r="V38" s="5">
        <f>IF(Giovedì!$A75 &lt;&gt; "",Giovedì!$G75,0)</f>
        <v>0</v>
      </c>
      <c r="W38" s="5">
        <f>V38*Percentuali!$F$16</f>
        <v>0</v>
      </c>
      <c r="X38" s="5">
        <f>V38*Percentuali!$F$42</f>
        <v>0</v>
      </c>
      <c r="Y38" s="34"/>
      <c r="Z38" s="5" t="s">
        <v>23</v>
      </c>
      <c r="AA38" s="5">
        <f>IF(Venerdì!$A75 &lt;&gt; "",Venerdì!$F75,0)</f>
        <v>0</v>
      </c>
      <c r="AB38" s="5">
        <f>IF(Venerdì!$A75 &lt;&gt; "",Venerdì!$G75,0)</f>
        <v>0</v>
      </c>
      <c r="AC38" s="5">
        <f>AB38*Percentuali!$G$16</f>
        <v>0</v>
      </c>
      <c r="AD38" s="5">
        <f>AB38*Percentuali!$G$42</f>
        <v>0</v>
      </c>
      <c r="AE38" s="34"/>
      <c r="AF38" s="5" t="s">
        <v>23</v>
      </c>
      <c r="AG38" s="5">
        <f>IF(Sabato!$A75 &lt;&gt; "",Sabato!$F75,0)</f>
        <v>0</v>
      </c>
      <c r="AH38" s="5">
        <f>IF(Sabato!$A75 &lt;&gt; "",Sabato!$G75,0)</f>
        <v>0</v>
      </c>
      <c r="AI38" s="5">
        <f>AH38*Percentuali!$H$16</f>
        <v>0</v>
      </c>
      <c r="AJ38" s="5">
        <f>AH38*Percentuali!$H$42</f>
        <v>0</v>
      </c>
      <c r="AK38" s="34"/>
      <c r="AL38" s="5" t="s">
        <v>23</v>
      </c>
      <c r="AM38" s="5">
        <f>IF(Domenica!$A75 &lt;&gt; "",Domenica!$F75,0)</f>
        <v>0</v>
      </c>
      <c r="AN38" s="5">
        <f>IF(Domenica!$A75 &lt;&gt; "",Domenica!$G75,0)</f>
        <v>0</v>
      </c>
      <c r="AO38" s="5">
        <f>AN38*Percentuali!$I$16</f>
        <v>0</v>
      </c>
      <c r="AP38" s="5">
        <f>AN38*Percentuali!$I$42</f>
        <v>0</v>
      </c>
    </row>
    <row r="39" spans="2:42" x14ac:dyDescent="0.25">
      <c r="B39" s="5" t="s">
        <v>59</v>
      </c>
      <c r="C39" s="5">
        <f>IF(Lunedì!$A77 &lt;&gt; "",Lunedì!$F77,0)</f>
        <v>0</v>
      </c>
      <c r="D39" s="5">
        <f>IF(Lunedì!$A77 &lt;&gt; "",Lunedì!$G77,0)</f>
        <v>0</v>
      </c>
      <c r="E39" s="5">
        <f>D39*Percentuali!$C$17</f>
        <v>0</v>
      </c>
      <c r="F39" s="5">
        <f>D39*Percentuali!$C$43</f>
        <v>0</v>
      </c>
      <c r="G39" s="34"/>
      <c r="H39" s="5" t="s">
        <v>59</v>
      </c>
      <c r="I39" s="5">
        <f>IF(Martedì!$A77 &lt;&gt; "",Martedì!$F77,0)</f>
        <v>0</v>
      </c>
      <c r="J39" s="5">
        <f>IF(Martedì!$A77 &lt;&gt; "",Martedì!$G77,0)</f>
        <v>0</v>
      </c>
      <c r="K39" s="5">
        <f>J39*Percentuali!$D$17</f>
        <v>0</v>
      </c>
      <c r="L39" s="5">
        <f>J39*Percentuali!$D$43</f>
        <v>0</v>
      </c>
      <c r="M39" s="34"/>
      <c r="N39" s="5" t="s">
        <v>59</v>
      </c>
      <c r="O39" s="5">
        <f>IF(Mercoledì!$A77 &lt;&gt; "",Mercoledì!$F77,0)</f>
        <v>0</v>
      </c>
      <c r="P39" s="5">
        <f>IF(Mercoledì!$A77 &lt;&gt; "",Mercoledì!$G77,0)</f>
        <v>0</v>
      </c>
      <c r="Q39" s="5">
        <f>P39*Percentuali!$E$17</f>
        <v>0</v>
      </c>
      <c r="R39" s="5">
        <f>P39*Percentuali!$E$43</f>
        <v>0</v>
      </c>
      <c r="S39" s="34"/>
      <c r="T39" s="5" t="s">
        <v>59</v>
      </c>
      <c r="U39" s="5">
        <f>IF(Giovedì!$A77 &lt;&gt; "",Giovedì!$F77,0)</f>
        <v>0</v>
      </c>
      <c r="V39" s="5">
        <f>IF(Giovedì!$A77 &lt;&gt; "",Giovedì!$G77,0)</f>
        <v>0</v>
      </c>
      <c r="W39" s="5">
        <f>V39*Percentuali!$F$17</f>
        <v>0</v>
      </c>
      <c r="X39" s="5">
        <f>V39*Percentuali!$F$43</f>
        <v>0</v>
      </c>
      <c r="Y39" s="34"/>
      <c r="Z39" s="5" t="s">
        <v>59</v>
      </c>
      <c r="AA39" s="5">
        <f>IF(Venerdì!$A77 &lt;&gt; "",Venerdì!$F77,0)</f>
        <v>0</v>
      </c>
      <c r="AB39" s="5">
        <f>IF(Venerdì!$A77 &lt;&gt; "",Venerdì!$G77,0)</f>
        <v>0</v>
      </c>
      <c r="AC39" s="5">
        <f>AB39*Percentuali!$G$17</f>
        <v>0</v>
      </c>
      <c r="AD39" s="5">
        <f>AB39*Percentuali!$G$43</f>
        <v>0</v>
      </c>
      <c r="AE39" s="34"/>
      <c r="AF39" s="5" t="s">
        <v>59</v>
      </c>
      <c r="AG39" s="5">
        <f>IF(Sabato!$A77 &lt;&gt; "",Sabato!$F77,0)</f>
        <v>0</v>
      </c>
      <c r="AH39" s="5">
        <f>IF(Sabato!$A77 &lt;&gt; "",Sabato!$G77,0)</f>
        <v>0</v>
      </c>
      <c r="AI39" s="5">
        <f>AH39*Percentuali!$H$17</f>
        <v>0</v>
      </c>
      <c r="AJ39" s="5">
        <f>AH39*Percentuali!$H$43</f>
        <v>0</v>
      </c>
      <c r="AK39" s="34"/>
      <c r="AL39" s="5" t="s">
        <v>59</v>
      </c>
      <c r="AM39" s="5">
        <f>IF(Domenica!$A77 &lt;&gt; "",Domenica!$F77,0)</f>
        <v>0</v>
      </c>
      <c r="AN39" s="5">
        <f>IF(Domenica!$A77 &lt;&gt; "",Domenica!$G77,0)</f>
        <v>0</v>
      </c>
      <c r="AO39" s="5">
        <f>AN39*Percentuali!$I$17</f>
        <v>0</v>
      </c>
      <c r="AP39" s="5">
        <f>AN39*Percentuali!$I$43</f>
        <v>0</v>
      </c>
    </row>
    <row r="40" spans="2:42" x14ac:dyDescent="0.25">
      <c r="B40" s="5" t="s">
        <v>24</v>
      </c>
      <c r="C40" s="5">
        <f>IF(Lunedì!$A78 &lt;&gt; "",Lunedì!$F78,0)</f>
        <v>0</v>
      </c>
      <c r="D40" s="5">
        <f>IF(Lunedì!$A78 &lt;&gt; "",Lunedì!$G78,0)</f>
        <v>0</v>
      </c>
      <c r="E40" s="5">
        <f>D40*Percentuali!$C$17</f>
        <v>0</v>
      </c>
      <c r="F40" s="5">
        <f>D40*Percentuali!$C$43</f>
        <v>0</v>
      </c>
      <c r="G40" s="34"/>
      <c r="H40" s="5" t="s">
        <v>24</v>
      </c>
      <c r="I40" s="5">
        <f>IF(Martedì!$A78 &lt;&gt; "",Martedì!$F78,0)</f>
        <v>0</v>
      </c>
      <c r="J40" s="5">
        <f>IF(Martedì!$A78 &lt;&gt; "",Martedì!$G78,0)</f>
        <v>0</v>
      </c>
      <c r="K40" s="5">
        <f>J40*Percentuali!$D$17</f>
        <v>0</v>
      </c>
      <c r="L40" s="5">
        <f>J40*Percentuali!$D$43</f>
        <v>0</v>
      </c>
      <c r="M40" s="34"/>
      <c r="N40" s="5" t="s">
        <v>24</v>
      </c>
      <c r="O40" s="5">
        <f>IF(Mercoledì!$A78 &lt;&gt; "",Mercoledì!$F78,0)</f>
        <v>0</v>
      </c>
      <c r="P40" s="5">
        <f>IF(Mercoledì!$A78 &lt;&gt; "",Mercoledì!$G78,0)</f>
        <v>0</v>
      </c>
      <c r="Q40" s="5">
        <f>P40*Percentuali!$E$17</f>
        <v>0</v>
      </c>
      <c r="R40" s="5">
        <f>P40*Percentuali!$E$43</f>
        <v>0</v>
      </c>
      <c r="S40" s="34"/>
      <c r="T40" s="5" t="s">
        <v>24</v>
      </c>
      <c r="U40" s="5">
        <f>IF(Giovedì!$A78 &lt;&gt; "",Giovedì!$F78,0)</f>
        <v>0</v>
      </c>
      <c r="V40" s="5">
        <f>IF(Giovedì!$A78 &lt;&gt; "",Giovedì!$G78,0)</f>
        <v>0</v>
      </c>
      <c r="W40" s="5">
        <f>V40*Percentuali!$F$17</f>
        <v>0</v>
      </c>
      <c r="X40" s="5">
        <f>V40*Percentuali!$F$43</f>
        <v>0</v>
      </c>
      <c r="Y40" s="34"/>
      <c r="Z40" s="5" t="s">
        <v>24</v>
      </c>
      <c r="AA40" s="5">
        <f>IF(Venerdì!$A78 &lt;&gt; "",Venerdì!$F78,0)</f>
        <v>0</v>
      </c>
      <c r="AB40" s="5">
        <f>IF(Venerdì!$A78 &lt;&gt; "",Venerdì!$G78,0)</f>
        <v>0</v>
      </c>
      <c r="AC40" s="5">
        <f>AB40*Percentuali!$G$17</f>
        <v>0</v>
      </c>
      <c r="AD40" s="5">
        <f>AB40*Percentuali!$G$43</f>
        <v>0</v>
      </c>
      <c r="AE40" s="34"/>
      <c r="AF40" s="5" t="s">
        <v>24</v>
      </c>
      <c r="AG40" s="5">
        <f>IF(Sabato!$A78 &lt;&gt; "",Sabato!$F78,0)</f>
        <v>0</v>
      </c>
      <c r="AH40" s="5">
        <f>IF(Sabato!$A78 &lt;&gt; "",Sabato!$G78,0)</f>
        <v>0</v>
      </c>
      <c r="AI40" s="5">
        <f>AH40*Percentuali!$H$17</f>
        <v>0</v>
      </c>
      <c r="AJ40" s="5">
        <f>AH40*Percentuali!$H$43</f>
        <v>0</v>
      </c>
      <c r="AK40" s="34"/>
      <c r="AL40" s="5" t="s">
        <v>24</v>
      </c>
      <c r="AM40" s="5">
        <f>IF(Domenica!$A78 &lt;&gt; "",Domenica!$F78,0)</f>
        <v>0</v>
      </c>
      <c r="AN40" s="5">
        <f>IF(Domenica!$A78 &lt;&gt; "",Domenica!$G78,0)</f>
        <v>0</v>
      </c>
      <c r="AO40" s="5">
        <f>AN40*Percentuali!$I$17</f>
        <v>0</v>
      </c>
      <c r="AP40" s="5">
        <f>AN40*Percentuali!$I$43</f>
        <v>0</v>
      </c>
    </row>
    <row r="41" spans="2:42" x14ac:dyDescent="0.25">
      <c r="B41" s="5" t="s">
        <v>25</v>
      </c>
      <c r="C41" s="5">
        <f>IF(Lunedì!$A79 &lt;&gt; "",Lunedì!$F79,0)</f>
        <v>0</v>
      </c>
      <c r="D41" s="5">
        <f>IF(Lunedì!$A79 &lt;&gt; "",Lunedì!$G79,0)</f>
        <v>0</v>
      </c>
      <c r="E41" s="5">
        <f>D41*Percentuali!$C$17</f>
        <v>0</v>
      </c>
      <c r="F41" s="5">
        <f>D41*Percentuali!$C$43</f>
        <v>0</v>
      </c>
      <c r="G41" s="34"/>
      <c r="H41" s="5" t="s">
        <v>25</v>
      </c>
      <c r="I41" s="5">
        <f>IF(Martedì!$A79 &lt;&gt; "",Martedì!$F79,0)</f>
        <v>0</v>
      </c>
      <c r="J41" s="5">
        <f>IF(Martedì!$A79 &lt;&gt; "",Martedì!$G79,0)</f>
        <v>0</v>
      </c>
      <c r="K41" s="5">
        <f>J41*Percentuali!$D$17</f>
        <v>0</v>
      </c>
      <c r="L41" s="5">
        <f>J41*Percentuali!$D$43</f>
        <v>0</v>
      </c>
      <c r="M41" s="34"/>
      <c r="N41" s="5" t="s">
        <v>25</v>
      </c>
      <c r="O41" s="5">
        <f>IF(Mercoledì!$A79 &lt;&gt; "",Mercoledì!$F79,0)</f>
        <v>0</v>
      </c>
      <c r="P41" s="5">
        <f>IF(Mercoledì!$A79 &lt;&gt; "",Mercoledì!$G79,0)</f>
        <v>0</v>
      </c>
      <c r="Q41" s="5">
        <f>P41*Percentuali!$E$17</f>
        <v>0</v>
      </c>
      <c r="R41" s="5">
        <f>P41*Percentuali!$E$43</f>
        <v>0</v>
      </c>
      <c r="S41" s="34"/>
      <c r="T41" s="5" t="s">
        <v>25</v>
      </c>
      <c r="U41" s="5">
        <f>IF(Giovedì!$A79 &lt;&gt; "",Giovedì!$F79,0)</f>
        <v>0</v>
      </c>
      <c r="V41" s="5">
        <f>IF(Giovedì!$A79 &lt;&gt; "",Giovedì!$G79,0)</f>
        <v>0</v>
      </c>
      <c r="W41" s="5">
        <f>V41*Percentuali!$F$17</f>
        <v>0</v>
      </c>
      <c r="X41" s="5">
        <f>V41*Percentuali!$F$43</f>
        <v>0</v>
      </c>
      <c r="Y41" s="34"/>
      <c r="Z41" s="5" t="s">
        <v>25</v>
      </c>
      <c r="AA41" s="5">
        <f>IF(Venerdì!$A79 &lt;&gt; "",Venerdì!$F79,0)</f>
        <v>0</v>
      </c>
      <c r="AB41" s="5">
        <f>IF(Venerdì!$A79 &lt;&gt; "",Venerdì!$G79,0)</f>
        <v>0</v>
      </c>
      <c r="AC41" s="5">
        <f>AB41*Percentuali!$G$17</f>
        <v>0</v>
      </c>
      <c r="AD41" s="5">
        <f>AB41*Percentuali!$G$43</f>
        <v>0</v>
      </c>
      <c r="AE41" s="34"/>
      <c r="AF41" s="5" t="s">
        <v>25</v>
      </c>
      <c r="AG41" s="5">
        <f>IF(Sabato!$A79 &lt;&gt; "",Sabato!$F79,0)</f>
        <v>0</v>
      </c>
      <c r="AH41" s="5">
        <f>IF(Sabato!$A79 &lt;&gt; "",Sabato!$G79,0)</f>
        <v>0</v>
      </c>
      <c r="AI41" s="5">
        <f>AH41*Percentuali!$H$17</f>
        <v>0</v>
      </c>
      <c r="AJ41" s="5">
        <f>AH41*Percentuali!$H$43</f>
        <v>0</v>
      </c>
      <c r="AK41" s="34"/>
      <c r="AL41" s="5" t="s">
        <v>25</v>
      </c>
      <c r="AM41" s="5">
        <f>IF(Domenica!$A79 &lt;&gt; "",Domenica!$F79,0)</f>
        <v>0</v>
      </c>
      <c r="AN41" s="5">
        <f>IF(Domenica!$A79 &lt;&gt; "",Domenica!$G79,0)</f>
        <v>0</v>
      </c>
      <c r="AO41" s="5">
        <f>AN41*Percentuali!$I$17</f>
        <v>0</v>
      </c>
      <c r="AP41" s="5">
        <f>AN41*Percentuali!$I$43</f>
        <v>0</v>
      </c>
    </row>
    <row r="42" spans="2:42" x14ac:dyDescent="0.25">
      <c r="B42" s="5" t="s">
        <v>26</v>
      </c>
      <c r="C42" s="5">
        <f>IF(Lunedì!$A80 &lt;&gt; "",Lunedì!$F80,0)</f>
        <v>0</v>
      </c>
      <c r="D42" s="5">
        <f>IF(Lunedì!$A80 &lt;&gt; "",Lunedì!$G80,0)</f>
        <v>0</v>
      </c>
      <c r="E42" s="5">
        <f>D42*Percentuali!$C$17</f>
        <v>0</v>
      </c>
      <c r="F42" s="5">
        <f>D42*Percentuali!$C$43</f>
        <v>0</v>
      </c>
      <c r="G42" s="34"/>
      <c r="H42" s="5" t="s">
        <v>26</v>
      </c>
      <c r="I42" s="5">
        <f>IF(Martedì!$A80 &lt;&gt; "",Martedì!$F80,0)</f>
        <v>0</v>
      </c>
      <c r="J42" s="5">
        <f>IF(Martedì!$A80 &lt;&gt; "",Martedì!$G80,0)</f>
        <v>0</v>
      </c>
      <c r="K42" s="5">
        <f>J42*Percentuali!$D$17</f>
        <v>0</v>
      </c>
      <c r="L42" s="5">
        <f>J42*Percentuali!$D$43</f>
        <v>0</v>
      </c>
      <c r="M42" s="34"/>
      <c r="N42" s="5" t="s">
        <v>26</v>
      </c>
      <c r="O42" s="5">
        <f>IF(Mercoledì!$A80 &lt;&gt; "",Mercoledì!$F80,0)</f>
        <v>0</v>
      </c>
      <c r="P42" s="5">
        <f>IF(Mercoledì!$A80 &lt;&gt; "",Mercoledì!$G80,0)</f>
        <v>0</v>
      </c>
      <c r="Q42" s="5">
        <f>P42*Percentuali!$E$17</f>
        <v>0</v>
      </c>
      <c r="R42" s="5">
        <f>P42*Percentuali!$E$43</f>
        <v>0</v>
      </c>
      <c r="S42" s="34"/>
      <c r="T42" s="5" t="s">
        <v>26</v>
      </c>
      <c r="U42" s="5">
        <f>IF(Giovedì!$A80 &lt;&gt; "",Giovedì!$F80,0)</f>
        <v>0</v>
      </c>
      <c r="V42" s="5">
        <f>IF(Giovedì!$A80 &lt;&gt; "",Giovedì!$G80,0)</f>
        <v>0</v>
      </c>
      <c r="W42" s="5">
        <f>V42*Percentuali!$F$17</f>
        <v>0</v>
      </c>
      <c r="X42" s="5">
        <f>V42*Percentuali!$F$43</f>
        <v>0</v>
      </c>
      <c r="Y42" s="34"/>
      <c r="Z42" s="5" t="s">
        <v>26</v>
      </c>
      <c r="AA42" s="5">
        <f>IF(Venerdì!$A80 &lt;&gt; "",Venerdì!$F80,0)</f>
        <v>0</v>
      </c>
      <c r="AB42" s="5">
        <f>IF(Venerdì!$A80 &lt;&gt; "",Venerdì!$G80,0)</f>
        <v>0</v>
      </c>
      <c r="AC42" s="5">
        <f>AB42*Percentuali!$G$17</f>
        <v>0</v>
      </c>
      <c r="AD42" s="5">
        <f>AB42*Percentuali!$G$43</f>
        <v>0</v>
      </c>
      <c r="AE42" s="34"/>
      <c r="AF42" s="5" t="s">
        <v>26</v>
      </c>
      <c r="AG42" s="5">
        <f>IF(Sabato!$A80 &lt;&gt; "",Sabato!$F80,0)</f>
        <v>0</v>
      </c>
      <c r="AH42" s="5">
        <f>IF(Sabato!$A80 &lt;&gt; "",Sabato!$G80,0)</f>
        <v>0</v>
      </c>
      <c r="AI42" s="5">
        <f>AH42*Percentuali!$H$17</f>
        <v>0</v>
      </c>
      <c r="AJ42" s="5">
        <f>AH42*Percentuali!$H$43</f>
        <v>0</v>
      </c>
      <c r="AK42" s="34"/>
      <c r="AL42" s="5" t="s">
        <v>26</v>
      </c>
      <c r="AM42" s="5">
        <f>IF(Domenica!$A80 &lt;&gt; "",Domenica!$F80,0)</f>
        <v>0</v>
      </c>
      <c r="AN42" s="5">
        <f>IF(Domenica!$A80 &lt;&gt; "",Domenica!$G80,0)</f>
        <v>0</v>
      </c>
      <c r="AO42" s="5">
        <f>AN42*Percentuali!$I$17</f>
        <v>0</v>
      </c>
      <c r="AP42" s="5">
        <f>AN42*Percentuali!$I$43</f>
        <v>0</v>
      </c>
    </row>
    <row r="43" spans="2:42" x14ac:dyDescent="0.25">
      <c r="B43" s="5" t="s">
        <v>60</v>
      </c>
      <c r="C43" s="5">
        <f>IF(Lunedì!$A82 &lt;&gt; "",Lunedì!$F82,0)</f>
        <v>0</v>
      </c>
      <c r="D43" s="5">
        <f>IF(Lunedì!$A82 &lt;&gt; "",Lunedì!$G82,0)</f>
        <v>0</v>
      </c>
      <c r="E43" s="5">
        <f>D43*Percentuali!$C$18</f>
        <v>0</v>
      </c>
      <c r="F43" s="5">
        <f>D43*Percentuali!$C$44</f>
        <v>0</v>
      </c>
      <c r="G43" s="34"/>
      <c r="H43" s="5" t="s">
        <v>60</v>
      </c>
      <c r="I43" s="5">
        <f>IF(Martedì!$A82 &lt;&gt; "",Martedì!$F82,0)</f>
        <v>0</v>
      </c>
      <c r="J43" s="5">
        <f>IF(Martedì!$A82 &lt;&gt; "",Martedì!$G82,0)</f>
        <v>0</v>
      </c>
      <c r="K43" s="5">
        <f>J43*Percentuali!$D$18</f>
        <v>0</v>
      </c>
      <c r="L43" s="5">
        <f>J43*Percentuali!$D$44</f>
        <v>0</v>
      </c>
      <c r="M43" s="34"/>
      <c r="N43" s="5" t="s">
        <v>60</v>
      </c>
      <c r="O43" s="5">
        <f>IF(Mercoledì!$A82 &lt;&gt; "",Mercoledì!$F82,0)</f>
        <v>0</v>
      </c>
      <c r="P43" s="5">
        <f>IF(Mercoledì!$A82 &lt;&gt; "",Mercoledì!$G82,0)</f>
        <v>0</v>
      </c>
      <c r="Q43" s="5">
        <f>P43*Percentuali!$E$18</f>
        <v>0</v>
      </c>
      <c r="R43" s="5">
        <f>P43*Percentuali!$E$44</f>
        <v>0</v>
      </c>
      <c r="S43" s="34"/>
      <c r="T43" s="5" t="s">
        <v>60</v>
      </c>
      <c r="U43" s="5">
        <f>IF(Giovedì!$A82 &lt;&gt; "",Giovedì!$F82,0)</f>
        <v>0</v>
      </c>
      <c r="V43" s="5">
        <f>IF(Giovedì!$A82 &lt;&gt; "",Giovedì!$G82,0)</f>
        <v>0</v>
      </c>
      <c r="W43" s="5">
        <f>V43*Percentuali!$F$18</f>
        <v>0</v>
      </c>
      <c r="X43" s="5">
        <f>V43*Percentuali!$F$44</f>
        <v>0</v>
      </c>
      <c r="Y43" s="34"/>
      <c r="Z43" s="5" t="s">
        <v>60</v>
      </c>
      <c r="AA43" s="5">
        <f>IF(Venerdì!$A82 &lt;&gt; "",Venerdì!$F82,0)</f>
        <v>0</v>
      </c>
      <c r="AB43" s="5">
        <f>IF(Venerdì!$A82 &lt;&gt; "",Venerdì!$G82,0)</f>
        <v>0</v>
      </c>
      <c r="AC43" s="5">
        <f>AB43*Percentuali!$G$18</f>
        <v>0</v>
      </c>
      <c r="AD43" s="5">
        <f>AB43*Percentuali!$G$44</f>
        <v>0</v>
      </c>
      <c r="AE43" s="34"/>
      <c r="AF43" s="5" t="s">
        <v>60</v>
      </c>
      <c r="AG43" s="5">
        <f>IF(Sabato!$A82 &lt;&gt; "",Sabato!$F82,0)</f>
        <v>0</v>
      </c>
      <c r="AH43" s="5">
        <f>IF(Sabato!$A82 &lt;&gt; "",Sabato!$G82,0)</f>
        <v>0</v>
      </c>
      <c r="AI43" s="5">
        <f>AH43*Percentuali!$H$18</f>
        <v>0</v>
      </c>
      <c r="AJ43" s="5">
        <f>AH43*Percentuali!$H$44</f>
        <v>0</v>
      </c>
      <c r="AK43" s="34"/>
      <c r="AL43" s="5" t="s">
        <v>60</v>
      </c>
      <c r="AM43" s="5">
        <f>IF(Domenica!$A82 &lt;&gt; "",Domenica!$F82,0)</f>
        <v>0</v>
      </c>
      <c r="AN43" s="5">
        <f>IF(Domenica!$A82 &lt;&gt; "",Domenica!$G82,0)</f>
        <v>0</v>
      </c>
      <c r="AO43" s="5">
        <f>AN43*Percentuali!$I$18</f>
        <v>0</v>
      </c>
      <c r="AP43" s="5">
        <f>AN43*Percentuali!$I$44</f>
        <v>0</v>
      </c>
    </row>
    <row r="44" spans="2:42" x14ac:dyDescent="0.25">
      <c r="B44" s="5" t="s">
        <v>27</v>
      </c>
      <c r="C44" s="5">
        <f>IF(Lunedì!$A83 &lt;&gt; "",Lunedì!$F83,0)</f>
        <v>0</v>
      </c>
      <c r="D44" s="5">
        <f>IF(Lunedì!$A83 &lt;&gt; "",Lunedì!$G83,0)</f>
        <v>0</v>
      </c>
      <c r="E44" s="5">
        <f>D44*Percentuali!$C$18</f>
        <v>0</v>
      </c>
      <c r="F44" s="5">
        <f>D44*Percentuali!$C$44</f>
        <v>0</v>
      </c>
      <c r="G44" s="34"/>
      <c r="H44" s="5" t="s">
        <v>27</v>
      </c>
      <c r="I44" s="5">
        <f>IF(Martedì!$A83 &lt;&gt; "",Martedì!$F83,0)</f>
        <v>0</v>
      </c>
      <c r="J44" s="5">
        <f>IF(Martedì!$A83 &lt;&gt; "",Martedì!$G83,0)</f>
        <v>0</v>
      </c>
      <c r="K44" s="5">
        <f>J44*Percentuali!$D$18</f>
        <v>0</v>
      </c>
      <c r="L44" s="5">
        <f>J44*Percentuali!$D$44</f>
        <v>0</v>
      </c>
      <c r="M44" s="34"/>
      <c r="N44" s="5" t="s">
        <v>27</v>
      </c>
      <c r="O44" s="5">
        <f>IF(Mercoledì!$A83 &lt;&gt; "",Mercoledì!$F83,0)</f>
        <v>0</v>
      </c>
      <c r="P44" s="5">
        <f>IF(Mercoledì!$A83 &lt;&gt; "",Mercoledì!$G83,0)</f>
        <v>0</v>
      </c>
      <c r="Q44" s="5">
        <f>P44*Percentuali!$E$18</f>
        <v>0</v>
      </c>
      <c r="R44" s="5">
        <f>P44*Percentuali!$E$44</f>
        <v>0</v>
      </c>
      <c r="S44" s="34"/>
      <c r="T44" s="5" t="s">
        <v>27</v>
      </c>
      <c r="U44" s="5">
        <f>IF(Giovedì!$A83 &lt;&gt; "",Giovedì!$F83,0)</f>
        <v>0</v>
      </c>
      <c r="V44" s="5">
        <f>IF(Giovedì!$A83 &lt;&gt; "",Giovedì!$G83,0)</f>
        <v>0</v>
      </c>
      <c r="W44" s="5">
        <f>V44*Percentuali!$F$18</f>
        <v>0</v>
      </c>
      <c r="X44" s="5">
        <f>V44*Percentuali!$F$44</f>
        <v>0</v>
      </c>
      <c r="Y44" s="34"/>
      <c r="Z44" s="5" t="s">
        <v>27</v>
      </c>
      <c r="AA44" s="5">
        <f>IF(Venerdì!$A83 &lt;&gt; "",Venerdì!$F83,0)</f>
        <v>0</v>
      </c>
      <c r="AB44" s="5">
        <f>IF(Venerdì!$A83 &lt;&gt; "",Venerdì!$G83,0)</f>
        <v>0</v>
      </c>
      <c r="AC44" s="5">
        <f>AB44*Percentuali!$G$18</f>
        <v>0</v>
      </c>
      <c r="AD44" s="5">
        <f>AB44*Percentuali!$G$44</f>
        <v>0</v>
      </c>
      <c r="AE44" s="34"/>
      <c r="AF44" s="5" t="s">
        <v>27</v>
      </c>
      <c r="AG44" s="5">
        <f>IF(Sabato!$A83 &lt;&gt; "",Sabato!$F83,0)</f>
        <v>0</v>
      </c>
      <c r="AH44" s="5">
        <f>IF(Sabato!$A83 &lt;&gt; "",Sabato!$G83,0)</f>
        <v>0</v>
      </c>
      <c r="AI44" s="5">
        <f>AH44*Percentuali!$H$18</f>
        <v>0</v>
      </c>
      <c r="AJ44" s="5">
        <f>AH44*Percentuali!$H$44</f>
        <v>0</v>
      </c>
      <c r="AK44" s="34"/>
      <c r="AL44" s="5" t="s">
        <v>27</v>
      </c>
      <c r="AM44" s="5">
        <f>IF(Domenica!$A83 &lt;&gt; "",Domenica!$F83,0)</f>
        <v>0</v>
      </c>
      <c r="AN44" s="5">
        <f>IF(Domenica!$A83 &lt;&gt; "",Domenica!$G83,0)</f>
        <v>0</v>
      </c>
      <c r="AO44" s="5">
        <f>AN44*Percentuali!$I$18</f>
        <v>0</v>
      </c>
      <c r="AP44" s="5">
        <f>AN44*Percentuali!$I$44</f>
        <v>0</v>
      </c>
    </row>
    <row r="45" spans="2:42" x14ac:dyDescent="0.25">
      <c r="B45" s="5" t="s">
        <v>28</v>
      </c>
      <c r="C45" s="5">
        <f>IF(Lunedì!$A84 &lt;&gt; "",Lunedì!$F84,0)</f>
        <v>0</v>
      </c>
      <c r="D45" s="5">
        <f>IF(Lunedì!$A84 &lt;&gt; "",Lunedì!$G84,0)</f>
        <v>0</v>
      </c>
      <c r="E45" s="5">
        <f>D45*Percentuali!$C$18</f>
        <v>0</v>
      </c>
      <c r="F45" s="5">
        <f>D45*Percentuali!$C$44</f>
        <v>0</v>
      </c>
      <c r="G45" s="34"/>
      <c r="H45" s="5" t="s">
        <v>28</v>
      </c>
      <c r="I45" s="5">
        <f>IF(Martedì!$A84 &lt;&gt; "",Martedì!$F84,0)</f>
        <v>0</v>
      </c>
      <c r="J45" s="5">
        <f>IF(Martedì!$A84 &lt;&gt; "",Martedì!$G84,0)</f>
        <v>0</v>
      </c>
      <c r="K45" s="5">
        <f>J45*Percentuali!$D$18</f>
        <v>0</v>
      </c>
      <c r="L45" s="5">
        <f>J45*Percentuali!$D$44</f>
        <v>0</v>
      </c>
      <c r="M45" s="34"/>
      <c r="N45" s="5" t="s">
        <v>28</v>
      </c>
      <c r="O45" s="5">
        <f>IF(Mercoledì!$A84 &lt;&gt; "",Mercoledì!$F84,0)</f>
        <v>0</v>
      </c>
      <c r="P45" s="5">
        <f>IF(Mercoledì!$A84 &lt;&gt; "",Mercoledì!$G84,0)</f>
        <v>0</v>
      </c>
      <c r="Q45" s="5">
        <f>P45*Percentuali!$E$18</f>
        <v>0</v>
      </c>
      <c r="R45" s="5">
        <f>P45*Percentuali!$E$44</f>
        <v>0</v>
      </c>
      <c r="S45" s="34"/>
      <c r="T45" s="5" t="s">
        <v>28</v>
      </c>
      <c r="U45" s="5">
        <f>IF(Giovedì!$A84 &lt;&gt; "",Giovedì!$F84,0)</f>
        <v>0</v>
      </c>
      <c r="V45" s="5">
        <f>IF(Giovedì!$A84 &lt;&gt; "",Giovedì!$G84,0)</f>
        <v>0</v>
      </c>
      <c r="W45" s="5">
        <f>V45*Percentuali!$F$18</f>
        <v>0</v>
      </c>
      <c r="X45" s="5">
        <f>V45*Percentuali!$F$44</f>
        <v>0</v>
      </c>
      <c r="Y45" s="34"/>
      <c r="Z45" s="5" t="s">
        <v>28</v>
      </c>
      <c r="AA45" s="5">
        <f>IF(Venerdì!$A84 &lt;&gt; "",Venerdì!$F84,0)</f>
        <v>0</v>
      </c>
      <c r="AB45" s="5">
        <f>IF(Venerdì!$A84 &lt;&gt; "",Venerdì!$G84,0)</f>
        <v>0</v>
      </c>
      <c r="AC45" s="5">
        <f>AB45*Percentuali!$G$18</f>
        <v>0</v>
      </c>
      <c r="AD45" s="5">
        <f>AB45*Percentuali!$G$44</f>
        <v>0</v>
      </c>
      <c r="AE45" s="34"/>
      <c r="AF45" s="5" t="s">
        <v>28</v>
      </c>
      <c r="AG45" s="5">
        <f>IF(Sabato!$A84 &lt;&gt; "",Sabato!$F84,0)</f>
        <v>0</v>
      </c>
      <c r="AH45" s="5">
        <f>IF(Sabato!$A84 &lt;&gt; "",Sabato!$G84,0)</f>
        <v>0</v>
      </c>
      <c r="AI45" s="5">
        <f>AH45*Percentuali!$H$18</f>
        <v>0</v>
      </c>
      <c r="AJ45" s="5">
        <f>AH45*Percentuali!$H$44</f>
        <v>0</v>
      </c>
      <c r="AK45" s="34"/>
      <c r="AL45" s="5" t="s">
        <v>28</v>
      </c>
      <c r="AM45" s="5">
        <f>IF(Domenica!$A84 &lt;&gt; "",Domenica!$F84,0)</f>
        <v>0</v>
      </c>
      <c r="AN45" s="5">
        <f>IF(Domenica!$A84 &lt;&gt; "",Domenica!$G84,0)</f>
        <v>0</v>
      </c>
      <c r="AO45" s="5">
        <f>AN45*Percentuali!$I$18</f>
        <v>0</v>
      </c>
      <c r="AP45" s="5">
        <f>AN45*Percentuali!$I$44</f>
        <v>0</v>
      </c>
    </row>
    <row r="46" spans="2:42" x14ac:dyDescent="0.25">
      <c r="B46" s="5" t="s">
        <v>29</v>
      </c>
      <c r="C46" s="5">
        <f>IF(Lunedì!$A85 &lt;&gt; "",Lunedì!$F85,0)</f>
        <v>0</v>
      </c>
      <c r="D46" s="5">
        <f>IF(Lunedì!$A85 &lt;&gt; "",Lunedì!$G85,0)</f>
        <v>0</v>
      </c>
      <c r="E46" s="5">
        <f>D46*Percentuali!$C$18</f>
        <v>0</v>
      </c>
      <c r="F46" s="5">
        <f>D46*Percentuali!$C$44</f>
        <v>0</v>
      </c>
      <c r="G46" s="34"/>
      <c r="H46" s="5" t="s">
        <v>29</v>
      </c>
      <c r="I46" s="5">
        <f>IF(Martedì!$A85 &lt;&gt; "",Martedì!$F85,0)</f>
        <v>0</v>
      </c>
      <c r="J46" s="5">
        <f>IF(Martedì!$A85 &lt;&gt; "",Martedì!$G85,0)</f>
        <v>0</v>
      </c>
      <c r="K46" s="5">
        <f>J46*Percentuali!$D$18</f>
        <v>0</v>
      </c>
      <c r="L46" s="5">
        <f>J46*Percentuali!$D$44</f>
        <v>0</v>
      </c>
      <c r="M46" s="34"/>
      <c r="N46" s="5" t="s">
        <v>29</v>
      </c>
      <c r="O46" s="5">
        <f>IF(Mercoledì!$A85 &lt;&gt; "",Mercoledì!$F85,0)</f>
        <v>0</v>
      </c>
      <c r="P46" s="5">
        <f>IF(Mercoledì!$A85 &lt;&gt; "",Mercoledì!$G85,0)</f>
        <v>0</v>
      </c>
      <c r="Q46" s="5">
        <f>P46*Percentuali!$E$18</f>
        <v>0</v>
      </c>
      <c r="R46" s="5">
        <f>P46*Percentuali!$E$44</f>
        <v>0</v>
      </c>
      <c r="S46" s="34"/>
      <c r="T46" s="5" t="s">
        <v>29</v>
      </c>
      <c r="U46" s="5">
        <f>IF(Giovedì!$A85 &lt;&gt; "",Giovedì!$F85,0)</f>
        <v>0</v>
      </c>
      <c r="V46" s="5">
        <f>IF(Giovedì!$A85 &lt;&gt; "",Giovedì!$G85,0)</f>
        <v>0</v>
      </c>
      <c r="W46" s="5">
        <f>V46*Percentuali!$F$18</f>
        <v>0</v>
      </c>
      <c r="X46" s="5">
        <f>V46*Percentuali!$F$44</f>
        <v>0</v>
      </c>
      <c r="Y46" s="34"/>
      <c r="Z46" s="5" t="s">
        <v>29</v>
      </c>
      <c r="AA46" s="5">
        <f>IF(Venerdì!$A85 &lt;&gt; "",Venerdì!$F85,0)</f>
        <v>0</v>
      </c>
      <c r="AB46" s="5">
        <f>IF(Venerdì!$A85 &lt;&gt; "",Venerdì!$G85,0)</f>
        <v>0</v>
      </c>
      <c r="AC46" s="5">
        <f>AB46*Percentuali!$G$18</f>
        <v>0</v>
      </c>
      <c r="AD46" s="5">
        <f>AB46*Percentuali!$G$44</f>
        <v>0</v>
      </c>
      <c r="AE46" s="34"/>
      <c r="AF46" s="5" t="s">
        <v>29</v>
      </c>
      <c r="AG46" s="5">
        <f>IF(Sabato!$A85 &lt;&gt; "",Sabato!$F85,0)</f>
        <v>0</v>
      </c>
      <c r="AH46" s="5">
        <f>IF(Sabato!$A85 &lt;&gt; "",Sabato!$G85,0)</f>
        <v>0</v>
      </c>
      <c r="AI46" s="5">
        <f>AH46*Percentuali!$H$18</f>
        <v>0</v>
      </c>
      <c r="AJ46" s="5">
        <f>AH46*Percentuali!$H$44</f>
        <v>0</v>
      </c>
      <c r="AK46" s="34"/>
      <c r="AL46" s="5" t="s">
        <v>29</v>
      </c>
      <c r="AM46" s="5">
        <f>IF(Domenica!$A85 &lt;&gt; "",Domenica!$F85,0)</f>
        <v>0</v>
      </c>
      <c r="AN46" s="5">
        <f>IF(Domenica!$A85 &lt;&gt; "",Domenica!$G85,0)</f>
        <v>0</v>
      </c>
      <c r="AO46" s="5">
        <f>AN46*Percentuali!$I$18</f>
        <v>0</v>
      </c>
      <c r="AP46" s="5">
        <f>AN46*Percentuali!$I$44</f>
        <v>0</v>
      </c>
    </row>
    <row r="47" spans="2:42" x14ac:dyDescent="0.25">
      <c r="B47" s="5" t="s">
        <v>56</v>
      </c>
      <c r="C47" s="5">
        <f>IF(Lunedì!$A87 &lt;&gt; "",Lunedì!$F87,0)</f>
        <v>0</v>
      </c>
      <c r="D47" s="5">
        <f>IF(Lunedì!$A87 &lt;&gt; "",Lunedì!$G87,0)</f>
        <v>0</v>
      </c>
      <c r="E47" s="5">
        <f>D47*Percentuali!$C$19</f>
        <v>0</v>
      </c>
      <c r="F47" s="5">
        <f>D47*Percentuali!$C$45</f>
        <v>0</v>
      </c>
      <c r="G47" s="34"/>
      <c r="H47" s="5" t="s">
        <v>56</v>
      </c>
      <c r="I47" s="5">
        <f>IF(Martedì!$A87 &lt;&gt; "",Martedì!$F87,0)</f>
        <v>0</v>
      </c>
      <c r="J47" s="5">
        <f>IF(Martedì!$A87 &lt;&gt; "",Martedì!$G87,0)</f>
        <v>0</v>
      </c>
      <c r="K47" s="5">
        <f>J47*Percentuali!$D$19</f>
        <v>0</v>
      </c>
      <c r="L47" s="5">
        <f>J47*Percentuali!$D$45</f>
        <v>0</v>
      </c>
      <c r="M47" s="34"/>
      <c r="N47" s="5" t="s">
        <v>56</v>
      </c>
      <c r="O47" s="5">
        <f>IF(Mercoledì!$A87 &lt;&gt; "",Mercoledì!$F87,0)</f>
        <v>0</v>
      </c>
      <c r="P47" s="5">
        <f>IF(Mercoledì!$A87 &lt;&gt; "",Mercoledì!$G87,0)</f>
        <v>0</v>
      </c>
      <c r="Q47" s="5">
        <f>P47*Percentuali!$E$19</f>
        <v>0</v>
      </c>
      <c r="R47" s="5">
        <f>P47*Percentuali!$E$45</f>
        <v>0</v>
      </c>
      <c r="S47" s="34"/>
      <c r="T47" s="5" t="s">
        <v>56</v>
      </c>
      <c r="U47" s="5">
        <f>IF(Giovedì!$A87 &lt;&gt; "",Giovedì!$F87,0)</f>
        <v>0</v>
      </c>
      <c r="V47" s="5">
        <f>IF(Giovedì!$A87 &lt;&gt; "",Giovedì!$G87,0)</f>
        <v>0</v>
      </c>
      <c r="W47" s="5">
        <f>V47*Percentuali!$F$19</f>
        <v>0</v>
      </c>
      <c r="X47" s="5">
        <f>V47*Percentuali!$F$45</f>
        <v>0</v>
      </c>
      <c r="Y47" s="34"/>
      <c r="Z47" s="5" t="s">
        <v>56</v>
      </c>
      <c r="AA47" s="5">
        <f>IF(Venerdì!$A87 &lt;&gt; "",Venerdì!$F87,0)</f>
        <v>0</v>
      </c>
      <c r="AB47" s="5">
        <f>IF(Venerdì!$A87 &lt;&gt; "",Venerdì!$G87,0)</f>
        <v>0</v>
      </c>
      <c r="AC47" s="5">
        <f>AB47*Percentuali!$G$19</f>
        <v>0</v>
      </c>
      <c r="AD47" s="5">
        <f>AB47*Percentuali!$G$45</f>
        <v>0</v>
      </c>
      <c r="AE47" s="34"/>
      <c r="AF47" s="5" t="s">
        <v>56</v>
      </c>
      <c r="AG47" s="5">
        <f>IF(Sabato!$A87 &lt;&gt; "",Sabato!$F87,0)</f>
        <v>0</v>
      </c>
      <c r="AH47" s="5">
        <f>IF(Sabato!$A87 &lt;&gt; "",Sabato!$G87,0)</f>
        <v>0</v>
      </c>
      <c r="AI47" s="5">
        <f>AH47*Percentuali!$H$19</f>
        <v>0</v>
      </c>
      <c r="AJ47" s="5">
        <f>AH47*Percentuali!$H$45</f>
        <v>0</v>
      </c>
      <c r="AK47" s="34"/>
      <c r="AL47" s="5" t="s">
        <v>56</v>
      </c>
      <c r="AM47" s="5">
        <f>IF(Domenica!$A87 &lt;&gt; "",Domenica!$F87,0)</f>
        <v>0</v>
      </c>
      <c r="AN47" s="5">
        <f>IF(Domenica!$A87 &lt;&gt; "",Domenica!$G87,0)</f>
        <v>0</v>
      </c>
      <c r="AO47" s="5">
        <f>AN47*Percentuali!$I$19</f>
        <v>0</v>
      </c>
      <c r="AP47" s="5">
        <f>AN47*Percentuali!$I$45</f>
        <v>0</v>
      </c>
    </row>
    <row r="48" spans="2:42" x14ac:dyDescent="0.25">
      <c r="B48" s="5" t="s">
        <v>30</v>
      </c>
      <c r="C48" s="5">
        <f>IF(Lunedì!$A88 &lt;&gt; "",Lunedì!$F88,0)</f>
        <v>0</v>
      </c>
      <c r="D48" s="5">
        <f>IF(Lunedì!$A88 &lt;&gt; "",Lunedì!$G88,0)</f>
        <v>0</v>
      </c>
      <c r="E48" s="5">
        <f>D48*Percentuali!$C$19</f>
        <v>0</v>
      </c>
      <c r="F48" s="5">
        <f>D48*Percentuali!$C$45</f>
        <v>0</v>
      </c>
      <c r="G48" s="34"/>
      <c r="H48" s="5" t="s">
        <v>30</v>
      </c>
      <c r="I48" s="5">
        <f>IF(Martedì!$A88 &lt;&gt; "",Martedì!$F88,0)</f>
        <v>0</v>
      </c>
      <c r="J48" s="5">
        <f>IF(Martedì!$A88 &lt;&gt; "",Martedì!$G88,0)</f>
        <v>0</v>
      </c>
      <c r="K48" s="5">
        <f>J48*Percentuali!$D$19</f>
        <v>0</v>
      </c>
      <c r="L48" s="5">
        <f>J48*Percentuali!$D$45</f>
        <v>0</v>
      </c>
      <c r="M48" s="34"/>
      <c r="N48" s="5" t="s">
        <v>30</v>
      </c>
      <c r="O48" s="5">
        <f>IF(Mercoledì!$A88 &lt;&gt; "",Mercoledì!$F88,0)</f>
        <v>0</v>
      </c>
      <c r="P48" s="5">
        <f>IF(Mercoledì!$A88 &lt;&gt; "",Mercoledì!$G88,0)</f>
        <v>0</v>
      </c>
      <c r="Q48" s="5">
        <f>P48*Percentuali!$E$19</f>
        <v>0</v>
      </c>
      <c r="R48" s="5">
        <f>P48*Percentuali!$E$45</f>
        <v>0</v>
      </c>
      <c r="S48" s="34"/>
      <c r="T48" s="5" t="s">
        <v>30</v>
      </c>
      <c r="U48" s="5">
        <f>IF(Giovedì!$A88 &lt;&gt; "",Giovedì!$F88,0)</f>
        <v>0</v>
      </c>
      <c r="V48" s="5">
        <f>IF(Giovedì!$A88 &lt;&gt; "",Giovedì!$G88,0)</f>
        <v>0</v>
      </c>
      <c r="W48" s="5">
        <f>V48*Percentuali!$F$19</f>
        <v>0</v>
      </c>
      <c r="X48" s="5">
        <f>V48*Percentuali!$F$45</f>
        <v>0</v>
      </c>
      <c r="Y48" s="34"/>
      <c r="Z48" s="5" t="s">
        <v>30</v>
      </c>
      <c r="AA48" s="5">
        <f>IF(Venerdì!$A88 &lt;&gt; "",Venerdì!$F88,0)</f>
        <v>0</v>
      </c>
      <c r="AB48" s="5">
        <f>IF(Venerdì!$A88 &lt;&gt; "",Venerdì!$G88,0)</f>
        <v>0</v>
      </c>
      <c r="AC48" s="5">
        <f>AB48*Percentuali!$G$19</f>
        <v>0</v>
      </c>
      <c r="AD48" s="5">
        <f>AB48*Percentuali!$G$45</f>
        <v>0</v>
      </c>
      <c r="AE48" s="34"/>
      <c r="AF48" s="5" t="s">
        <v>30</v>
      </c>
      <c r="AG48" s="5">
        <f>IF(Sabato!$A88 &lt;&gt; "",Sabato!$F88,0)</f>
        <v>0</v>
      </c>
      <c r="AH48" s="5">
        <f>IF(Sabato!$A88 &lt;&gt; "",Sabato!$G88,0)</f>
        <v>0</v>
      </c>
      <c r="AI48" s="5">
        <f>AH48*Percentuali!$H$19</f>
        <v>0</v>
      </c>
      <c r="AJ48" s="5">
        <f>AH48*Percentuali!$H$45</f>
        <v>0</v>
      </c>
      <c r="AK48" s="34"/>
      <c r="AL48" s="5" t="s">
        <v>30</v>
      </c>
      <c r="AM48" s="5">
        <f>IF(Domenica!$A88 &lt;&gt; "",Domenica!$F88,0)</f>
        <v>0</v>
      </c>
      <c r="AN48" s="5">
        <f>IF(Domenica!$A88 &lt;&gt; "",Domenica!$G88,0)</f>
        <v>0</v>
      </c>
      <c r="AO48" s="5">
        <f>AN48*Percentuali!$I$19</f>
        <v>0</v>
      </c>
      <c r="AP48" s="5">
        <f>AN48*Percentuali!$I$45</f>
        <v>0</v>
      </c>
    </row>
    <row r="49" spans="2:42" x14ac:dyDescent="0.25">
      <c r="B49" s="5" t="s">
        <v>31</v>
      </c>
      <c r="C49" s="5">
        <f>IF(AND(Lunedì!$A89&lt;&gt;"",Lunedì!$A90&lt;&gt;""),Lunedì!$F89+Lunedì!$F90,0)</f>
        <v>0</v>
      </c>
      <c r="D49" s="5">
        <f>IF(AND(Lunedì!$A89&lt;&gt;"",Lunedì!$A90&lt;&gt;""),Lunedì!$G89+Lunedì!$G90,0)</f>
        <v>0</v>
      </c>
      <c r="E49" s="5">
        <f>D49*Percentuali!$C$19</f>
        <v>0</v>
      </c>
      <c r="F49" s="5">
        <f>D49*Percentuali!$C$45</f>
        <v>0</v>
      </c>
      <c r="G49" s="34"/>
      <c r="H49" s="5" t="s">
        <v>31</v>
      </c>
      <c r="I49" s="5">
        <f>IF(AND(Martedì!$A89&lt;&gt;"",Martedì!$A90&lt;&gt;""),Martedì!$F89+Martedì!$F90,0)</f>
        <v>0</v>
      </c>
      <c r="J49" s="5">
        <f>IF(AND(Martedì!$A89&lt;&gt;"",Martedì!$A90&lt;&gt;""),Martedì!$G89+Martedì!$G90,0)</f>
        <v>0</v>
      </c>
      <c r="K49" s="5">
        <f>J49*Percentuali!$D$19</f>
        <v>0</v>
      </c>
      <c r="L49" s="5">
        <f>J49*Percentuali!$D$45</f>
        <v>0</v>
      </c>
      <c r="M49" s="34"/>
      <c r="N49" s="5" t="s">
        <v>31</v>
      </c>
      <c r="O49" s="5">
        <f>IF(AND(Mercoledì!$A89&lt;&gt;"",Mercoledì!$A90&lt;&gt;""),Mercoledì!$F89+Mercoledì!$F90,0)</f>
        <v>0</v>
      </c>
      <c r="P49" s="5">
        <f>IF(AND(Mercoledì!$A89&lt;&gt;"",Mercoledì!$A90&lt;&gt;""),Mercoledì!$G89+Mercoledì!$G90,0)</f>
        <v>0</v>
      </c>
      <c r="Q49" s="5">
        <f>P49*Percentuali!$E$19</f>
        <v>0</v>
      </c>
      <c r="R49" s="5">
        <f>P49*Percentuali!$E$45</f>
        <v>0</v>
      </c>
      <c r="S49" s="34"/>
      <c r="T49" s="5" t="s">
        <v>31</v>
      </c>
      <c r="U49" s="5">
        <f>IF(AND(Giovedì!$A89&lt;&gt;"",Giovedì!$A90&lt;&gt;""),Giovedì!$F89+Giovedì!$F90,0)</f>
        <v>0</v>
      </c>
      <c r="V49" s="5">
        <f>IF(AND(Giovedì!$A89&lt;&gt;"",Giovedì!$A90&lt;&gt;""),Giovedì!$G89+Giovedì!$G90,0)</f>
        <v>0</v>
      </c>
      <c r="W49" s="5">
        <f>V49*Percentuali!$F$19</f>
        <v>0</v>
      </c>
      <c r="X49" s="5">
        <f>V49*Percentuali!$F$45</f>
        <v>0</v>
      </c>
      <c r="Y49" s="34"/>
      <c r="Z49" s="5" t="s">
        <v>31</v>
      </c>
      <c r="AA49" s="5">
        <f>IF(AND(Venerdì!$A89&lt;&gt;"",Venerdì!$A90&lt;&gt;""),Venerdì!$F89+Venerdì!$F90,0)</f>
        <v>0</v>
      </c>
      <c r="AB49" s="5">
        <f>IF(AND(Venerdì!$A89&lt;&gt;"",Venerdì!$A90&lt;&gt;""),Venerdì!$G89+Venerdì!$G90,0)</f>
        <v>0</v>
      </c>
      <c r="AC49" s="5">
        <f>AB49*Percentuali!$G$19</f>
        <v>0</v>
      </c>
      <c r="AD49" s="5">
        <f>AB49*Percentuali!$G$45</f>
        <v>0</v>
      </c>
      <c r="AE49" s="34"/>
      <c r="AF49" s="5" t="s">
        <v>31</v>
      </c>
      <c r="AG49" s="5">
        <f>IF(AND(Sabato!$A89&lt;&gt;"",Sabato!$A90&lt;&gt;""),Sabato!$F89+Sabato!$F90,0)</f>
        <v>0</v>
      </c>
      <c r="AH49" s="5">
        <f>IF(AND(Sabato!$A89&lt;&gt;"",Sabato!$A90&lt;&gt;""),Sabato!$G89+Sabato!$G90,0)</f>
        <v>0</v>
      </c>
      <c r="AI49" s="5">
        <f>AH49*Percentuali!$H$19</f>
        <v>0</v>
      </c>
      <c r="AJ49" s="5">
        <f>AH49*Percentuali!$H$45</f>
        <v>0</v>
      </c>
      <c r="AK49" s="34"/>
      <c r="AL49" s="5" t="s">
        <v>31</v>
      </c>
      <c r="AM49" s="5">
        <f>IF(AND(Domenica!$A89&lt;&gt;"",Domenica!$A90&lt;&gt;""),Domenica!$F89+Domenica!$F90,0)</f>
        <v>0</v>
      </c>
      <c r="AN49" s="5">
        <f>IF(AND(Domenica!$A89&lt;&gt;"",Domenica!$A90&lt;&gt;""),Domenica!$G89+Domenica!$G90,0)</f>
        <v>0</v>
      </c>
      <c r="AO49" s="5">
        <f>AN49*Percentuali!$I$19</f>
        <v>0</v>
      </c>
      <c r="AP49" s="5">
        <f>AN49*Percentuali!$I$45</f>
        <v>0</v>
      </c>
    </row>
    <row r="50" spans="2:42" x14ac:dyDescent="0.25">
      <c r="B50" s="5" t="s">
        <v>57</v>
      </c>
      <c r="C50" s="5">
        <f>IF(AND(Lunedì!$A92&lt;&gt;"",Lunedì!$A93&lt;&gt;""),Lunedì!$F92+Lunedì!$F93,0)</f>
        <v>0</v>
      </c>
      <c r="D50" s="5">
        <f>IF(AND(Lunedì!$A92&lt;&gt;"",Lunedì!$A93&lt;&gt;""),Lunedì!$G92+Lunedì!$G93,0)</f>
        <v>0</v>
      </c>
      <c r="E50" s="5">
        <f>D50*Percentuali!$C$20</f>
        <v>0</v>
      </c>
      <c r="F50" s="5">
        <f>D50*Percentuali!$C$46</f>
        <v>0</v>
      </c>
      <c r="G50" s="34"/>
      <c r="H50" s="5" t="s">
        <v>57</v>
      </c>
      <c r="I50" s="5">
        <f>IF(AND(Martedì!$A92&lt;&gt;"",Martedì!$A93&lt;&gt;""),Martedì!$F92+Martedì!$F93,0)</f>
        <v>0</v>
      </c>
      <c r="J50" s="5">
        <f>IF(AND(Martedì!$A92&lt;&gt;"",Martedì!$A93&lt;&gt;""),Martedì!$G92+Martedì!$G93,0)</f>
        <v>0</v>
      </c>
      <c r="K50" s="5">
        <f>J50*Percentuali!$D$20</f>
        <v>0</v>
      </c>
      <c r="L50" s="5">
        <f>J50*Percentuali!$D$46</f>
        <v>0</v>
      </c>
      <c r="M50" s="34"/>
      <c r="N50" s="5" t="s">
        <v>57</v>
      </c>
      <c r="O50" s="5">
        <f>IF(AND(Mercoledì!$A92&lt;&gt;"",Mercoledì!$A93&lt;&gt;""),Mercoledì!$F92+Mercoledì!$F93,0)</f>
        <v>0</v>
      </c>
      <c r="P50" s="5">
        <f>IF(AND(Mercoledì!$A92&lt;&gt;"",Mercoledì!$A93&lt;&gt;""),Mercoledì!$G92+Mercoledì!$G93,0)</f>
        <v>0</v>
      </c>
      <c r="Q50" s="5">
        <f>P50*Percentuali!$E$20</f>
        <v>0</v>
      </c>
      <c r="R50" s="5">
        <f>P50*Percentuali!$E$46</f>
        <v>0</v>
      </c>
      <c r="S50" s="34"/>
      <c r="T50" s="5" t="s">
        <v>57</v>
      </c>
      <c r="U50" s="5">
        <f>IF(AND(Giovedì!$A92&lt;&gt;"",Giovedì!$A93&lt;&gt;""),Giovedì!$F92+Giovedì!$F93,0)</f>
        <v>0</v>
      </c>
      <c r="V50" s="5">
        <f>IF(AND(Giovedì!$A92&lt;&gt;"",Giovedì!$A93&lt;&gt;""),Giovedì!$G92+Giovedì!$G93,0)</f>
        <v>0</v>
      </c>
      <c r="W50" s="5">
        <f>V50*Percentuali!$F$20</f>
        <v>0</v>
      </c>
      <c r="X50" s="5">
        <f>V50*Percentuali!$F$46</f>
        <v>0</v>
      </c>
      <c r="Y50" s="34"/>
      <c r="Z50" s="5" t="s">
        <v>57</v>
      </c>
      <c r="AA50" s="5">
        <f>IF(AND(Venerdì!$A92&lt;&gt;"",Venerdì!$A93&lt;&gt;""),Venerdì!$F92+Venerdì!$F93,0)</f>
        <v>0</v>
      </c>
      <c r="AB50" s="5">
        <f>IF(AND(Venerdì!$A92&lt;&gt;"",Venerdì!$A93&lt;&gt;""),Venerdì!$G92+Venerdì!$G93,0)</f>
        <v>0</v>
      </c>
      <c r="AC50" s="5">
        <f>AB50*Percentuali!$G$20</f>
        <v>0</v>
      </c>
      <c r="AD50" s="5">
        <f>AB50*Percentuali!$G$46</f>
        <v>0</v>
      </c>
      <c r="AE50" s="34"/>
      <c r="AF50" s="5" t="s">
        <v>57</v>
      </c>
      <c r="AG50" s="5">
        <f>IF(AND(Sabato!$A92&lt;&gt;"",Sabato!$A93&lt;&gt;""),Sabato!$F92+Sabato!$F93,0)</f>
        <v>0</v>
      </c>
      <c r="AH50" s="5">
        <f>IF(AND(Sabato!$A92&lt;&gt;"",Sabato!$A93&lt;&gt;""),Sabato!$G92+Sabato!$G93,0)</f>
        <v>0</v>
      </c>
      <c r="AI50" s="5">
        <f>AH50*Percentuali!$H$20</f>
        <v>0</v>
      </c>
      <c r="AJ50" s="5">
        <f>AH50*Percentuali!$H$46</f>
        <v>0</v>
      </c>
      <c r="AK50" s="34"/>
      <c r="AL50" s="5" t="s">
        <v>57</v>
      </c>
      <c r="AM50" s="5">
        <f>IF(AND(Domenica!$A92&lt;&gt;"",Domenica!$A93&lt;&gt;""),Domenica!$F92+Domenica!$F93,0)</f>
        <v>0</v>
      </c>
      <c r="AN50" s="5">
        <f>IF(AND(Domenica!$A92&lt;&gt;"",Domenica!$A93&lt;&gt;""),Domenica!$G92+Domenica!$G93,0)</f>
        <v>0</v>
      </c>
      <c r="AO50" s="5">
        <f>AN50*Percentuali!$I$20</f>
        <v>0</v>
      </c>
      <c r="AP50" s="5">
        <f>AN50*Percentuali!$I$46</f>
        <v>0</v>
      </c>
    </row>
    <row r="51" spans="2:42" x14ac:dyDescent="0.25">
      <c r="B51" s="5" t="s">
        <v>32</v>
      </c>
      <c r="C51" s="5">
        <f>IF(AND(Lunedì!$A94&lt;&gt;"",Lunedì!$A95&lt;&gt;""),Lunedì!$F94+Lunedì!$F95,0)</f>
        <v>0</v>
      </c>
      <c r="D51" s="5">
        <f>IF(AND(Lunedì!$A94&lt;&gt;"",Lunedì!$A95&lt;&gt;""),Lunedì!$G94+Lunedì!$G95,0)</f>
        <v>0</v>
      </c>
      <c r="E51" s="5">
        <f>D51*Percentuali!$C$20</f>
        <v>0</v>
      </c>
      <c r="F51" s="5">
        <f>D51*Percentuali!$C$46</f>
        <v>0</v>
      </c>
      <c r="G51" s="34"/>
      <c r="H51" s="5" t="s">
        <v>32</v>
      </c>
      <c r="I51" s="5">
        <f>IF(AND(Martedì!$A94&lt;&gt;"",Martedì!$A95&lt;&gt;""),Martedì!$F94+Martedì!$F95,0)</f>
        <v>0</v>
      </c>
      <c r="J51" s="5">
        <f>IF(AND(Martedì!$A94&lt;&gt;"",Martedì!$A95&lt;&gt;""),Martedì!$G94+Martedì!$G95,0)</f>
        <v>0</v>
      </c>
      <c r="K51" s="5">
        <f>J51*Percentuali!$D$20</f>
        <v>0</v>
      </c>
      <c r="L51" s="5">
        <f>J51*Percentuali!$D$46</f>
        <v>0</v>
      </c>
      <c r="M51" s="34"/>
      <c r="N51" s="5" t="s">
        <v>32</v>
      </c>
      <c r="O51" s="5">
        <f>IF(AND(Mercoledì!$A94&lt;&gt;"",Mercoledì!$A95&lt;&gt;""),Mercoledì!$F94+Mercoledì!$F95,0)</f>
        <v>0</v>
      </c>
      <c r="P51" s="5">
        <f>IF(AND(Mercoledì!$A94&lt;&gt;"",Mercoledì!$A95&lt;&gt;""),Mercoledì!$G94+Mercoledì!$G95,0)</f>
        <v>0</v>
      </c>
      <c r="Q51" s="5">
        <f>P51*Percentuali!$E$20</f>
        <v>0</v>
      </c>
      <c r="R51" s="5">
        <f>P51*Percentuali!$E$46</f>
        <v>0</v>
      </c>
      <c r="S51" s="34"/>
      <c r="T51" s="5" t="s">
        <v>32</v>
      </c>
      <c r="U51" s="5">
        <f>IF(AND(Giovedì!$A94&lt;&gt;"",Giovedì!$A95&lt;&gt;""),Giovedì!$F94+Giovedì!$F95,0)</f>
        <v>0</v>
      </c>
      <c r="V51" s="5">
        <f>IF(AND(Giovedì!$A94&lt;&gt;"",Giovedì!$A95&lt;&gt;""),Giovedì!$G94+Giovedì!$G95,0)</f>
        <v>0</v>
      </c>
      <c r="W51" s="5">
        <f>V51*Percentuali!$F$20</f>
        <v>0</v>
      </c>
      <c r="X51" s="5">
        <f>V51*Percentuali!$F$46</f>
        <v>0</v>
      </c>
      <c r="Y51" s="34"/>
      <c r="Z51" s="5" t="s">
        <v>32</v>
      </c>
      <c r="AA51" s="5">
        <f>IF(AND(Venerdì!$A94&lt;&gt;"",Venerdì!$A95&lt;&gt;""),Venerdì!$F94+Venerdì!$F95,0)</f>
        <v>0</v>
      </c>
      <c r="AB51" s="5">
        <f>IF(AND(Venerdì!$A94&lt;&gt;"",Venerdì!$A95&lt;&gt;""),Venerdì!$G94+Venerdì!$G95,0)</f>
        <v>0</v>
      </c>
      <c r="AC51" s="5">
        <f>AB51*Percentuali!$G$20</f>
        <v>0</v>
      </c>
      <c r="AD51" s="5">
        <f>AB51*Percentuali!$G$46</f>
        <v>0</v>
      </c>
      <c r="AE51" s="34"/>
      <c r="AF51" s="5" t="s">
        <v>32</v>
      </c>
      <c r="AG51" s="5">
        <f>IF(AND(Sabato!$A94&lt;&gt;"",Sabato!$A95&lt;&gt;""),Sabato!$F94+Sabato!$F95,0)</f>
        <v>0</v>
      </c>
      <c r="AH51" s="5">
        <f>IF(AND(Sabato!$A94&lt;&gt;"",Sabato!$A95&lt;&gt;""),Sabato!$G94+Sabato!$G95,0)</f>
        <v>0</v>
      </c>
      <c r="AI51" s="5">
        <f>AH51*Percentuali!$H$20</f>
        <v>0</v>
      </c>
      <c r="AJ51" s="5">
        <f>AH51*Percentuali!$H$46</f>
        <v>0</v>
      </c>
      <c r="AK51" s="34"/>
      <c r="AL51" s="5" t="s">
        <v>32</v>
      </c>
      <c r="AM51" s="5">
        <f>IF(AND(Domenica!$A94&lt;&gt;"",Domenica!$A95&lt;&gt;""),Domenica!$F94+Domenica!$F95,0)</f>
        <v>0</v>
      </c>
      <c r="AN51" s="5">
        <f>IF(AND(Domenica!$A94&lt;&gt;"",Domenica!$A95&lt;&gt;""),Domenica!$G94+Domenica!$G95,0)</f>
        <v>0</v>
      </c>
      <c r="AO51" s="5">
        <f>AN51*Percentuali!$I$20</f>
        <v>0</v>
      </c>
      <c r="AP51" s="5">
        <f>AN51*Percentuali!$I$46</f>
        <v>0</v>
      </c>
    </row>
    <row r="52" spans="2:42" x14ac:dyDescent="0.25">
      <c r="B52" s="5" t="s">
        <v>58</v>
      </c>
      <c r="C52" s="5">
        <f>IF(AND(Lunedì!$A97&lt;&gt;"",Lunedì!$A98&lt;&gt;""),Lunedì!$F97+Lunedì!$F98,0)</f>
        <v>0</v>
      </c>
      <c r="D52" s="5">
        <f>IF(AND(Lunedì!$A97&lt;&gt;"",Lunedì!$A98&lt;&gt;""),Lunedì!$G97+Lunedì!$G98,0)</f>
        <v>0</v>
      </c>
      <c r="E52" s="5">
        <f>D52*Percentuali!$C$21</f>
        <v>0</v>
      </c>
      <c r="F52" s="5">
        <f>D52*Percentuali!$C$47</f>
        <v>0</v>
      </c>
      <c r="G52" s="34"/>
      <c r="H52" s="5" t="s">
        <v>58</v>
      </c>
      <c r="I52" s="5">
        <f>IF(AND(Martedì!$A97&lt;&gt;"",Martedì!$A98&lt;&gt;""),Martedì!$F97+Martedì!$F98,0)</f>
        <v>0</v>
      </c>
      <c r="J52" s="5">
        <f>IF(AND(Martedì!$A97&lt;&gt;"",Martedì!$A98&lt;&gt;""),Martedì!$G97+Martedì!$G98,0)</f>
        <v>0</v>
      </c>
      <c r="K52" s="5">
        <f>J52*Percentuali!$D$21</f>
        <v>0</v>
      </c>
      <c r="L52" s="5">
        <f>J52*Percentuali!$D$47</f>
        <v>0</v>
      </c>
      <c r="M52" s="34"/>
      <c r="N52" s="5" t="s">
        <v>58</v>
      </c>
      <c r="O52" s="5">
        <f>IF(AND(Mercoledì!$A97&lt;&gt;"",Mercoledì!$A98&lt;&gt;""),Mercoledì!$F97+Mercoledì!$F98,0)</f>
        <v>0</v>
      </c>
      <c r="P52" s="5">
        <f>IF(AND(Mercoledì!$A97&lt;&gt;"",Mercoledì!$A98&lt;&gt;""),Mercoledì!$G97+Mercoledì!$G98,0)</f>
        <v>0</v>
      </c>
      <c r="Q52" s="5">
        <f>P52*Percentuali!$E$21</f>
        <v>0</v>
      </c>
      <c r="R52" s="5">
        <f>P52*Percentuali!$E$47</f>
        <v>0</v>
      </c>
      <c r="S52" s="34"/>
      <c r="T52" s="5" t="s">
        <v>58</v>
      </c>
      <c r="U52" s="5">
        <f>IF(AND(Giovedì!$A97&lt;&gt;"",Giovedì!$A98&lt;&gt;""),Giovedì!$F97+Giovedì!$F98,0)</f>
        <v>0</v>
      </c>
      <c r="V52" s="5">
        <f>IF(AND(Giovedì!$A97&lt;&gt;"",Giovedì!$A98&lt;&gt;""),Giovedì!$G97+Giovedì!$G98,0)</f>
        <v>0</v>
      </c>
      <c r="W52" s="5">
        <f>V52*Percentuali!$F$21</f>
        <v>0</v>
      </c>
      <c r="X52" s="5">
        <f>V52*Percentuali!$F$47</f>
        <v>0</v>
      </c>
      <c r="Y52" s="34"/>
      <c r="Z52" s="5" t="s">
        <v>58</v>
      </c>
      <c r="AA52" s="5">
        <f>IF(AND(Venerdì!$A97&lt;&gt;"",Venerdì!$A98&lt;&gt;""),Venerdì!$F97+Venerdì!$F98,0)</f>
        <v>0</v>
      </c>
      <c r="AB52" s="5">
        <f>IF(AND(Venerdì!$A97&lt;&gt;"",Venerdì!$A98&lt;&gt;""),Venerdì!$G97+Venerdì!$G98,0)</f>
        <v>0</v>
      </c>
      <c r="AC52" s="5">
        <f>AB52*Percentuali!$G$21</f>
        <v>0</v>
      </c>
      <c r="AD52" s="5">
        <f>AB52*Percentuali!$G$47</f>
        <v>0</v>
      </c>
      <c r="AE52" s="34"/>
      <c r="AF52" s="5" t="s">
        <v>58</v>
      </c>
      <c r="AG52" s="5">
        <f>IF(AND(Sabato!$A97&lt;&gt;"",Sabato!$A98&lt;&gt;""),Sabato!$F97+Sabato!$F98,0)</f>
        <v>0</v>
      </c>
      <c r="AH52" s="5">
        <f>IF(AND(Sabato!$A97&lt;&gt;"",Sabato!$A98&lt;&gt;""),Sabato!$G97+Sabato!$G98,0)</f>
        <v>0</v>
      </c>
      <c r="AI52" s="5">
        <f>AH52*Percentuali!$H$21</f>
        <v>0</v>
      </c>
      <c r="AJ52" s="5">
        <f>AH52*Percentuali!$H$47</f>
        <v>0</v>
      </c>
      <c r="AK52" s="34"/>
      <c r="AL52" s="5" t="s">
        <v>58</v>
      </c>
      <c r="AM52" s="5">
        <f>IF(AND(Domenica!$A97&lt;&gt;"",Domenica!$A98&lt;&gt;""),Domenica!$F97+Domenica!$F98,0)</f>
        <v>0</v>
      </c>
      <c r="AN52" s="5">
        <f>IF(AND(Domenica!$A97&lt;&gt;"",Domenica!$A98&lt;&gt;""),Domenica!$G97+Domenica!$G98,0)</f>
        <v>0</v>
      </c>
      <c r="AO52" s="5">
        <f>AN52*Percentuali!$I$21</f>
        <v>0</v>
      </c>
      <c r="AP52" s="5">
        <f>AN52*Percentuali!$I$47</f>
        <v>0</v>
      </c>
    </row>
    <row r="53" spans="2:42" x14ac:dyDescent="0.25">
      <c r="B53" s="5" t="s">
        <v>33</v>
      </c>
      <c r="C53" s="5">
        <f>IF(AND(Lunedì!$A99&lt;&gt;"",Lunedì!$A100&lt;&gt;""),Lunedì!$F99+Lunedì!$F100,0)</f>
        <v>0</v>
      </c>
      <c r="D53" s="5">
        <f>IF(AND(Lunedì!$A99&lt;&gt;"",Lunedì!$A100&lt;&gt;""),Lunedì!$G99+Lunedì!$G100,0)</f>
        <v>0</v>
      </c>
      <c r="E53" s="5">
        <f>D53*Percentuali!$C$21</f>
        <v>0</v>
      </c>
      <c r="F53" s="5">
        <f>D53*Percentuali!$C$47</f>
        <v>0</v>
      </c>
      <c r="G53" s="34"/>
      <c r="H53" s="5" t="s">
        <v>33</v>
      </c>
      <c r="I53" s="5">
        <f>IF(AND(Martedì!$A99&lt;&gt;"",Martedì!$A100&lt;&gt;""),Martedì!$F99+Martedì!$F100,0)</f>
        <v>0</v>
      </c>
      <c r="J53" s="5">
        <f>IF(AND(Martedì!$A99&lt;&gt;"",Martedì!$A100&lt;&gt;""),Martedì!$G99+Martedì!$G100,0)</f>
        <v>0</v>
      </c>
      <c r="K53" s="5">
        <f>J53*Percentuali!$D$21</f>
        <v>0</v>
      </c>
      <c r="L53" s="5">
        <f>J53*Percentuali!$D$47</f>
        <v>0</v>
      </c>
      <c r="M53" s="34"/>
      <c r="N53" s="5" t="s">
        <v>33</v>
      </c>
      <c r="O53" s="5">
        <f>IF(AND(Mercoledì!$A99&lt;&gt;"",Mercoledì!$A100&lt;&gt;""),Mercoledì!$F99+Mercoledì!$F100,0)</f>
        <v>0</v>
      </c>
      <c r="P53" s="5">
        <f>IF(AND(Mercoledì!$A99&lt;&gt;"",Mercoledì!$A100&lt;&gt;""),Mercoledì!$G99+Mercoledì!$G100,0)</f>
        <v>0</v>
      </c>
      <c r="Q53" s="5">
        <f>P53*Percentuali!$E$21</f>
        <v>0</v>
      </c>
      <c r="R53" s="5">
        <f>P53*Percentuali!$E$47</f>
        <v>0</v>
      </c>
      <c r="S53" s="34"/>
      <c r="T53" s="5" t="s">
        <v>33</v>
      </c>
      <c r="U53" s="5">
        <f>IF(AND(Giovedì!$A99&lt;&gt;"",Giovedì!$A100&lt;&gt;""),Giovedì!$F99+Giovedì!$F100,0)</f>
        <v>0</v>
      </c>
      <c r="V53" s="5">
        <f>IF(AND(Giovedì!$A99&lt;&gt;"",Giovedì!$A100&lt;&gt;""),Giovedì!$G99+Giovedì!$G100,0)</f>
        <v>0</v>
      </c>
      <c r="W53" s="5">
        <f>V53*Percentuali!$F$21</f>
        <v>0</v>
      </c>
      <c r="X53" s="5">
        <f>V53*Percentuali!$F$47</f>
        <v>0</v>
      </c>
      <c r="Y53" s="34"/>
      <c r="Z53" s="5" t="s">
        <v>33</v>
      </c>
      <c r="AA53" s="5">
        <f>IF(AND(Venerdì!$A99&lt;&gt;"",Venerdì!$A100&lt;&gt;""),Venerdì!$F99+Venerdì!$F100,0)</f>
        <v>0</v>
      </c>
      <c r="AB53" s="5">
        <f>IF(AND(Venerdì!$A99&lt;&gt;"",Venerdì!$A100&lt;&gt;""),Venerdì!$G99+Venerdì!$G100,0)</f>
        <v>0</v>
      </c>
      <c r="AC53" s="5">
        <f>AB53*Percentuali!$G$21</f>
        <v>0</v>
      </c>
      <c r="AD53" s="5">
        <f>AB53*Percentuali!$G$47</f>
        <v>0</v>
      </c>
      <c r="AE53" s="34"/>
      <c r="AF53" s="5" t="s">
        <v>33</v>
      </c>
      <c r="AG53" s="5">
        <f>IF(AND(Sabato!$A99&lt;&gt;"",Sabato!$A100&lt;&gt;""),Sabato!$F99+Sabato!$F100,0)</f>
        <v>0</v>
      </c>
      <c r="AH53" s="5">
        <f>IF(AND(Sabato!$A99&lt;&gt;"",Sabato!$A100&lt;&gt;""),Sabato!$G99+Sabato!$G100,0)</f>
        <v>0</v>
      </c>
      <c r="AI53" s="5">
        <f>AH53*Percentuali!$H$21</f>
        <v>0</v>
      </c>
      <c r="AJ53" s="5">
        <f>AH53*Percentuali!$H$47</f>
        <v>0</v>
      </c>
      <c r="AK53" s="34"/>
      <c r="AL53" s="5" t="s">
        <v>33</v>
      </c>
      <c r="AM53" s="5">
        <f>IF(AND(Domenica!$A99&lt;&gt;"",Domenica!$A100&lt;&gt;""),Domenica!$F99+Domenica!$F100,0)</f>
        <v>0</v>
      </c>
      <c r="AN53" s="5">
        <f>IF(AND(Domenica!$A99&lt;&gt;"",Domenica!$A100&lt;&gt;""),Domenica!$G99+Domenica!$G100,0)</f>
        <v>0</v>
      </c>
      <c r="AO53" s="5">
        <f>AN53*Percentuali!$I$21</f>
        <v>0</v>
      </c>
      <c r="AP53" s="5">
        <f>AN53*Percentuali!$I$47</f>
        <v>0</v>
      </c>
    </row>
    <row r="54" spans="2:42" x14ac:dyDescent="0.25">
      <c r="B54" s="5" t="s">
        <v>74</v>
      </c>
      <c r="C54" s="5">
        <f>IF(Lunedì!$A102 &lt;&gt; "",Lunedì!$F102,0)</f>
        <v>0</v>
      </c>
      <c r="D54" s="5">
        <f>IF(Lunedì!$A102 &lt;&gt; "",Lunedì!$G102,0)</f>
        <v>0</v>
      </c>
      <c r="E54" s="5">
        <f>D54*Percentuali!$C$22</f>
        <v>0</v>
      </c>
      <c r="F54" s="5">
        <f>D54*Percentuali!$C$48</f>
        <v>0</v>
      </c>
      <c r="G54" s="34"/>
      <c r="H54" s="5" t="s">
        <v>74</v>
      </c>
      <c r="I54" s="5">
        <f>IF(Martedì!$A102 &lt;&gt; "",Martedì!$F102,0)</f>
        <v>0</v>
      </c>
      <c r="J54" s="5">
        <f>IF(Martedì!$A102 &lt;&gt; "",Martedì!$G102,0)</f>
        <v>0</v>
      </c>
      <c r="K54" s="5">
        <f>J54*Percentuali!$D$22</f>
        <v>0</v>
      </c>
      <c r="L54" s="5">
        <f>J54*Percentuali!$D$48</f>
        <v>0</v>
      </c>
      <c r="M54" s="34"/>
      <c r="N54" s="5" t="s">
        <v>74</v>
      </c>
      <c r="O54" s="5">
        <f>IF(Mercoledì!$A102 &lt;&gt; "",Mercoledì!$F102,0)</f>
        <v>0</v>
      </c>
      <c r="P54" s="5">
        <f>IF(Mercoledì!$A102 &lt;&gt; "",Mercoledì!$G102,0)</f>
        <v>0</v>
      </c>
      <c r="Q54" s="5">
        <f>P54*Percentuali!$E$22</f>
        <v>0</v>
      </c>
      <c r="R54" s="5">
        <f>P54*Percentuali!$E$48</f>
        <v>0</v>
      </c>
      <c r="S54" s="34"/>
      <c r="T54" s="5" t="s">
        <v>74</v>
      </c>
      <c r="U54" s="5">
        <f>IF(Giovedì!$A102 &lt;&gt; "",Giovedì!$F102,0)</f>
        <v>0</v>
      </c>
      <c r="V54" s="5">
        <f>IF(Giovedì!$A102 &lt;&gt; "",Giovedì!$G102,0)</f>
        <v>0</v>
      </c>
      <c r="W54" s="5">
        <f>V54*Percentuali!$F$22</f>
        <v>0</v>
      </c>
      <c r="X54" s="5">
        <f>V54*Percentuali!$F$48</f>
        <v>0</v>
      </c>
      <c r="Y54" s="34"/>
      <c r="Z54" s="5" t="s">
        <v>74</v>
      </c>
      <c r="AA54" s="5">
        <f>IF(Venerdì!$A102 &lt;&gt; "",Venerdì!$F102,0)</f>
        <v>0</v>
      </c>
      <c r="AB54" s="5">
        <f>IF(Venerdì!$A102 &lt;&gt; "",Venerdì!$G102,0)</f>
        <v>0</v>
      </c>
      <c r="AC54" s="5">
        <f>AB54*Percentuali!$G$22</f>
        <v>0</v>
      </c>
      <c r="AD54" s="5">
        <f>AB54*Percentuali!$G$48</f>
        <v>0</v>
      </c>
      <c r="AE54" s="34"/>
      <c r="AF54" s="5" t="s">
        <v>74</v>
      </c>
      <c r="AG54" s="5">
        <f>IF(Sabato!$A102 &lt;&gt; "",Sabato!$F102,0)</f>
        <v>0</v>
      </c>
      <c r="AH54" s="5">
        <f>IF(Sabato!$A102 &lt;&gt; "",Sabato!$G102,0)</f>
        <v>0</v>
      </c>
      <c r="AI54" s="5">
        <f>AH54*Percentuali!$H$22</f>
        <v>0</v>
      </c>
      <c r="AJ54" s="5">
        <f>AH54*Percentuali!$H$48</f>
        <v>0</v>
      </c>
      <c r="AK54" s="34"/>
      <c r="AL54" s="5" t="s">
        <v>74</v>
      </c>
      <c r="AM54" s="5">
        <f>IF(Domenica!$A102 &lt;&gt; "",Domenica!$F102,0)</f>
        <v>0</v>
      </c>
      <c r="AN54" s="5">
        <f>IF(Domenica!$A102 &lt;&gt; "",Domenica!$G102,0)</f>
        <v>0</v>
      </c>
      <c r="AO54" s="5">
        <f>AN54*Percentuali!$I$22</f>
        <v>0</v>
      </c>
      <c r="AP54" s="5">
        <f>AN54*Percentuali!$I$48</f>
        <v>0</v>
      </c>
    </row>
    <row r="55" spans="2:42" x14ac:dyDescent="0.25">
      <c r="B55" s="5" t="s">
        <v>73</v>
      </c>
      <c r="C55" s="5">
        <f>IF(Lunedì!$A103 &lt;&gt; "",Lunedì!$F103,0)</f>
        <v>0</v>
      </c>
      <c r="D55" s="5">
        <f>IF(Lunedì!$A103 &lt;&gt; "",Lunedì!$G103,0)</f>
        <v>0</v>
      </c>
      <c r="E55" s="5">
        <f>D55*Percentuali!$C$22</f>
        <v>0</v>
      </c>
      <c r="F55" s="5">
        <f>D55*Percentuali!$C$48</f>
        <v>0</v>
      </c>
      <c r="G55" s="34"/>
      <c r="H55" s="5" t="s">
        <v>73</v>
      </c>
      <c r="I55" s="5">
        <f>IF(Martedì!$A103 &lt;&gt; "",Martedì!$F103,0)</f>
        <v>0</v>
      </c>
      <c r="J55" s="5">
        <f>IF(Martedì!$A103 &lt;&gt; "",Martedì!$G103,0)</f>
        <v>0</v>
      </c>
      <c r="K55" s="5">
        <f>J55*Percentuali!$D$22</f>
        <v>0</v>
      </c>
      <c r="L55" s="5">
        <f>J55*Percentuali!$D$48</f>
        <v>0</v>
      </c>
      <c r="M55" s="34"/>
      <c r="N55" s="5" t="s">
        <v>73</v>
      </c>
      <c r="O55" s="5">
        <f>IF(Mercoledì!$A103 &lt;&gt; "",Mercoledì!$F103,0)</f>
        <v>0</v>
      </c>
      <c r="P55" s="5">
        <f>IF(Mercoledì!$A103 &lt;&gt; "",Mercoledì!$G103,0)</f>
        <v>0</v>
      </c>
      <c r="Q55" s="5">
        <f>P55*Percentuali!$E$22</f>
        <v>0</v>
      </c>
      <c r="R55" s="5">
        <f>P55*Percentuali!$E$48</f>
        <v>0</v>
      </c>
      <c r="S55" s="34"/>
      <c r="T55" s="5" t="s">
        <v>73</v>
      </c>
      <c r="U55" s="5">
        <f>IF(Giovedì!$A103 &lt;&gt; "",Giovedì!$F103,0)</f>
        <v>0</v>
      </c>
      <c r="V55" s="5">
        <f>IF(Giovedì!$A103 &lt;&gt; "",Giovedì!$G103,0)</f>
        <v>0</v>
      </c>
      <c r="W55" s="5">
        <f>V55*Percentuali!$F$22</f>
        <v>0</v>
      </c>
      <c r="X55" s="5">
        <f>V55*Percentuali!$F$48</f>
        <v>0</v>
      </c>
      <c r="Y55" s="34"/>
      <c r="Z55" s="5" t="s">
        <v>73</v>
      </c>
      <c r="AA55" s="5">
        <f>IF(Venerdì!$A103 &lt;&gt; "",Venerdì!$F103,0)</f>
        <v>0</v>
      </c>
      <c r="AB55" s="5">
        <f>IF(Venerdì!$A103 &lt;&gt; "",Venerdì!$G103,0)</f>
        <v>0</v>
      </c>
      <c r="AC55" s="5">
        <f>AB55*Percentuali!$G$22</f>
        <v>0</v>
      </c>
      <c r="AD55" s="5">
        <f>AB55*Percentuali!$G$48</f>
        <v>0</v>
      </c>
      <c r="AE55" s="34"/>
      <c r="AF55" s="5" t="s">
        <v>73</v>
      </c>
      <c r="AG55" s="5">
        <f>IF(Sabato!$A103 &lt;&gt; "",Sabato!$F103,0)</f>
        <v>0</v>
      </c>
      <c r="AH55" s="5">
        <f>IF(Sabato!$A103 &lt;&gt; "",Sabato!$G103,0)</f>
        <v>0</v>
      </c>
      <c r="AI55" s="5">
        <f>AH55*Percentuali!$H$22</f>
        <v>0</v>
      </c>
      <c r="AJ55" s="5">
        <f>AH55*Percentuali!$H$48</f>
        <v>0</v>
      </c>
      <c r="AK55" s="34"/>
      <c r="AL55" s="5" t="s">
        <v>73</v>
      </c>
      <c r="AM55" s="5">
        <f>IF(Domenica!$A103 &lt;&gt; "",Domenica!$F103,0)</f>
        <v>0</v>
      </c>
      <c r="AN55" s="5">
        <f>IF(Domenica!$A103 &lt;&gt; "",Domenica!$G103,0)</f>
        <v>0</v>
      </c>
      <c r="AO55" s="5">
        <f>AN55*Percentuali!$I$22</f>
        <v>0</v>
      </c>
      <c r="AP55" s="5">
        <f>AN55*Percentuali!$I$48</f>
        <v>0</v>
      </c>
    </row>
    <row r="56" spans="2:42" x14ac:dyDescent="0.25">
      <c r="B56" s="5" t="s">
        <v>75</v>
      </c>
      <c r="C56" s="5">
        <f>IF(AND(Lunedì!$A104&lt;&gt;"",Lunedì!$A105&lt;&gt;""),Lunedì!$F104+Lunedì!$F105,0)</f>
        <v>0</v>
      </c>
      <c r="D56" s="5">
        <f>IF(AND(Lunedì!$A104&lt;&gt;"",Lunedì!$A105&lt;&gt;""),Lunedì!$G104+Lunedì!$G105,0)</f>
        <v>0</v>
      </c>
      <c r="E56" s="5">
        <f>D56*Percentuali!$C$22</f>
        <v>0</v>
      </c>
      <c r="F56" s="5">
        <f>D56*Percentuali!$C$48</f>
        <v>0</v>
      </c>
      <c r="G56" s="34"/>
      <c r="H56" s="5" t="s">
        <v>75</v>
      </c>
      <c r="I56" s="5">
        <f>IF(AND(Martedì!$A104&lt;&gt;"",Martedì!$A105&lt;&gt;""),Martedì!$F104+Martedì!$F105,0)</f>
        <v>0</v>
      </c>
      <c r="J56" s="5">
        <f>IF(AND(Martedì!$A104&lt;&gt;"",Martedì!$A105&lt;&gt;""),Martedì!$G104+Martedì!$G105,0)</f>
        <v>0</v>
      </c>
      <c r="K56" s="5">
        <f>J56*Percentuali!$D$22</f>
        <v>0</v>
      </c>
      <c r="L56" s="5">
        <f>J56*Percentuali!$D$48</f>
        <v>0</v>
      </c>
      <c r="M56" s="34"/>
      <c r="N56" s="5" t="s">
        <v>75</v>
      </c>
      <c r="O56" s="5">
        <f>IF(AND(Mercoledì!$A104&lt;&gt;"",Mercoledì!$A105&lt;&gt;""),Mercoledì!$F104+Mercoledì!$F105,0)</f>
        <v>0</v>
      </c>
      <c r="P56" s="5">
        <f>IF(AND(Mercoledì!$A104&lt;&gt;"",Mercoledì!$A105&lt;&gt;""),Mercoledì!$G104+Mercoledì!$G105,0)</f>
        <v>0</v>
      </c>
      <c r="Q56" s="5">
        <f>P56*Percentuali!$E$22</f>
        <v>0</v>
      </c>
      <c r="R56" s="5">
        <f>P56*Percentuali!$E$48</f>
        <v>0</v>
      </c>
      <c r="S56" s="34"/>
      <c r="T56" s="5" t="s">
        <v>75</v>
      </c>
      <c r="U56" s="5">
        <f>IF(AND(Giovedì!$A104&lt;&gt;"",Giovedì!$A105&lt;&gt;""),Giovedì!$F104+Giovedì!$F105,0)</f>
        <v>0</v>
      </c>
      <c r="V56" s="5">
        <f>IF(AND(Giovedì!$A104&lt;&gt;"",Giovedì!$A105&lt;&gt;""),Giovedì!$G104+Giovedì!$G105,0)</f>
        <v>0</v>
      </c>
      <c r="W56" s="5">
        <f>V56*Percentuali!$F$22</f>
        <v>0</v>
      </c>
      <c r="X56" s="5">
        <f>V56*Percentuali!$F$48</f>
        <v>0</v>
      </c>
      <c r="Y56" s="34"/>
      <c r="Z56" s="5" t="s">
        <v>75</v>
      </c>
      <c r="AA56" s="5">
        <f>IF(AND(Venerdì!$A104&lt;&gt;"",Venerdì!$A105&lt;&gt;""),Venerdì!$F104+Venerdì!$F105,0)</f>
        <v>0</v>
      </c>
      <c r="AB56" s="5">
        <f>IF(AND(Venerdì!$A104&lt;&gt;"",Venerdì!$A105&lt;&gt;""),Venerdì!$G104+Venerdì!$G105,0)</f>
        <v>0</v>
      </c>
      <c r="AC56" s="5">
        <f>AB56*Percentuali!$G$22</f>
        <v>0</v>
      </c>
      <c r="AD56" s="5">
        <f>AB56*Percentuali!$G$48</f>
        <v>0</v>
      </c>
      <c r="AE56" s="34"/>
      <c r="AF56" s="5" t="s">
        <v>75</v>
      </c>
      <c r="AG56" s="5">
        <f>IF(AND(Sabato!$A104&lt;&gt;"",Sabato!$A105&lt;&gt;""),Sabato!$F104+Sabato!$F105,0)</f>
        <v>0</v>
      </c>
      <c r="AH56" s="5">
        <f>IF(AND(Sabato!$A104&lt;&gt;"",Sabato!$A105&lt;&gt;""),Sabato!$G104+Sabato!$G105,0)</f>
        <v>0</v>
      </c>
      <c r="AI56" s="5">
        <f>AH56*Percentuali!$H$22</f>
        <v>0</v>
      </c>
      <c r="AJ56" s="5">
        <f>AH56*Percentuali!$H$48</f>
        <v>0</v>
      </c>
      <c r="AK56" s="34"/>
      <c r="AL56" s="5" t="s">
        <v>75</v>
      </c>
      <c r="AM56" s="5">
        <f>IF(AND(Domenica!$A104&lt;&gt;"",Domenica!$A105&lt;&gt;""),Domenica!$F104+Domenica!$F105,0)</f>
        <v>0</v>
      </c>
      <c r="AN56" s="5">
        <f>IF(AND(Domenica!$A104&lt;&gt;"",Domenica!$A105&lt;&gt;""),Domenica!$G104+Domenica!$G105,0)</f>
        <v>0</v>
      </c>
      <c r="AO56" s="5">
        <f>AN56*Percentuali!$I$22</f>
        <v>0</v>
      </c>
      <c r="AP56" s="5">
        <f>AN56*Percentuali!$I$48</f>
        <v>0</v>
      </c>
    </row>
    <row r="57" spans="2:42" x14ac:dyDescent="0.25">
      <c r="B57" s="5" t="s">
        <v>76</v>
      </c>
      <c r="C57" s="5">
        <f>IF(AND(Lunedì!$A107&lt;&gt;"",Lunedì!$A108&lt;&gt;""),Lunedì!$F107+Lunedì!$F108,0)</f>
        <v>0</v>
      </c>
      <c r="D57" s="5">
        <f>IF(AND(Lunedì!$A107&lt;&gt;"",Lunedì!$A108&lt;&gt;""),Lunedì!$G107+Lunedì!$G108,0)</f>
        <v>0</v>
      </c>
      <c r="E57" s="5">
        <f>D57*Percentuali!$C$23</f>
        <v>0</v>
      </c>
      <c r="F57" s="5">
        <f>D57*Percentuali!$C$49</f>
        <v>0</v>
      </c>
      <c r="G57" s="34"/>
      <c r="H57" s="5" t="s">
        <v>76</v>
      </c>
      <c r="I57" s="5">
        <f>IF(AND(Martedì!$A107&lt;&gt;"",Martedì!$A108&lt;&gt;""),Martedì!$F107+Martedì!$F108,0)</f>
        <v>0</v>
      </c>
      <c r="J57" s="5">
        <f>IF(AND(Martedì!$A107&lt;&gt;"",Martedì!$A108&lt;&gt;""),Martedì!$G107+Martedì!$G108,0)</f>
        <v>0</v>
      </c>
      <c r="K57" s="5">
        <f>J57*Percentuali!$D$23</f>
        <v>0</v>
      </c>
      <c r="L57" s="5">
        <f>J57*Percentuali!$D$49</f>
        <v>0</v>
      </c>
      <c r="M57" s="34"/>
      <c r="N57" s="5" t="s">
        <v>76</v>
      </c>
      <c r="O57" s="5">
        <f>IF(AND(Mercoledì!$A107&lt;&gt;"",Mercoledì!$A108&lt;&gt;""),Mercoledì!$F107+Mercoledì!$F108,0)</f>
        <v>0</v>
      </c>
      <c r="P57" s="5">
        <f>IF(AND(Mercoledì!$A107&lt;&gt;"",Mercoledì!$A108&lt;&gt;""),Mercoledì!$G107+Mercoledì!$G108,0)</f>
        <v>0</v>
      </c>
      <c r="Q57" s="5">
        <f>P57*Percentuali!$E$23</f>
        <v>0</v>
      </c>
      <c r="R57" s="5">
        <f>P57*Percentuali!$E$49</f>
        <v>0</v>
      </c>
      <c r="S57" s="34"/>
      <c r="T57" s="5" t="s">
        <v>76</v>
      </c>
      <c r="U57" s="5">
        <f>IF(AND(Giovedì!$A107&lt;&gt;"",Giovedì!$A108&lt;&gt;""),Giovedì!$F107+Giovedì!$F108,0)</f>
        <v>0</v>
      </c>
      <c r="V57" s="5">
        <f>IF(AND(Giovedì!$A107&lt;&gt;"",Giovedì!$A108&lt;&gt;""),Giovedì!$G107+Giovedì!$G108,0)</f>
        <v>0</v>
      </c>
      <c r="W57" s="5">
        <f>V57*Percentuali!$F$23</f>
        <v>0</v>
      </c>
      <c r="X57" s="5">
        <f>V57*Percentuali!$F$49</f>
        <v>0</v>
      </c>
      <c r="Y57" s="34"/>
      <c r="Z57" s="5" t="s">
        <v>76</v>
      </c>
      <c r="AA57" s="5">
        <f>IF(AND(Venerdì!$A107&lt;&gt;"",Venerdì!$A108&lt;&gt;""),Venerdì!$F107+Venerdì!$F108,0)</f>
        <v>0</v>
      </c>
      <c r="AB57" s="5">
        <f>IF(AND(Venerdì!$A107&lt;&gt;"",Venerdì!$A108&lt;&gt;""),Venerdì!$G107+Venerdì!$G108,0)</f>
        <v>0</v>
      </c>
      <c r="AC57" s="5">
        <f>AB57*Percentuali!$G$23</f>
        <v>0</v>
      </c>
      <c r="AD57" s="5">
        <f>AB57*Percentuali!$G$49</f>
        <v>0</v>
      </c>
      <c r="AE57" s="34"/>
      <c r="AF57" s="5" t="s">
        <v>76</v>
      </c>
      <c r="AG57" s="5">
        <f>IF(AND(Sabato!$A107&lt;&gt;"",Sabato!$A108&lt;&gt;""),Sabato!$F107+Sabato!$F108,0)</f>
        <v>0</v>
      </c>
      <c r="AH57" s="5">
        <f>IF(AND(Sabato!$A107&lt;&gt;"",Sabato!$A108&lt;&gt;""),Sabato!$G107+Sabato!$G108,0)</f>
        <v>0</v>
      </c>
      <c r="AI57" s="5">
        <f>AH57*Percentuali!$H$23</f>
        <v>0</v>
      </c>
      <c r="AJ57" s="5">
        <f>AH57*Percentuali!$H$49</f>
        <v>0</v>
      </c>
      <c r="AK57" s="34"/>
      <c r="AL57" s="5" t="s">
        <v>76</v>
      </c>
      <c r="AM57" s="5">
        <f>IF(AND(Domenica!$A107&lt;&gt;"",Domenica!$A108&lt;&gt;""),Domenica!$F107+Domenica!$F108,0)</f>
        <v>0</v>
      </c>
      <c r="AN57" s="5">
        <f>IF(AND(Domenica!$A107&lt;&gt;"",Domenica!$A108&lt;&gt;""),Domenica!$G107+Domenica!$G108,0)</f>
        <v>0</v>
      </c>
      <c r="AO57" s="5">
        <f>AN57*Percentuali!$I$23</f>
        <v>0</v>
      </c>
      <c r="AP57" s="5">
        <f>AN57*Percentuali!$I$49</f>
        <v>0</v>
      </c>
    </row>
    <row r="58" spans="2:42" x14ac:dyDescent="0.25">
      <c r="B58" s="5" t="s">
        <v>55</v>
      </c>
      <c r="C58" s="5">
        <f>IF(AND(Lunedì!$A109&lt;&gt;"",Lunedì!$A110&lt;&gt;""),Lunedì!$F109+Lunedì!$F110,0)</f>
        <v>0</v>
      </c>
      <c r="D58" s="5">
        <f>IF(AND(Lunedì!$A109&lt;&gt;"",Lunedì!$A110&lt;&gt;""),Lunedì!$G109+Lunedì!$G110,0)</f>
        <v>0</v>
      </c>
      <c r="E58" s="5">
        <f>D58*Percentuali!$C$23</f>
        <v>0</v>
      </c>
      <c r="F58" s="5">
        <f>D58*Percentuali!$C$49</f>
        <v>0</v>
      </c>
      <c r="G58" s="34"/>
      <c r="H58" s="5" t="s">
        <v>55</v>
      </c>
      <c r="I58" s="5">
        <f>IF(AND(Martedì!$A109&lt;&gt;"",Martedì!$A110&lt;&gt;""),Martedì!$F109+Martedì!$F110,0)</f>
        <v>0</v>
      </c>
      <c r="J58" s="5">
        <f>IF(AND(Martedì!$A109&lt;&gt;"",Martedì!$A110&lt;&gt;""),Martedì!$G109+Martedì!$G110,0)</f>
        <v>0</v>
      </c>
      <c r="K58" s="5">
        <f>J58*Percentuali!$D$23</f>
        <v>0</v>
      </c>
      <c r="L58" s="5">
        <f>J58*Percentuali!$D$49</f>
        <v>0</v>
      </c>
      <c r="M58" s="34"/>
      <c r="N58" s="5" t="s">
        <v>55</v>
      </c>
      <c r="O58" s="5">
        <f>IF(AND(Mercoledì!$A109&lt;&gt;"",Mercoledì!$A110&lt;&gt;""),Mercoledì!$F109+Mercoledì!$F110,0)</f>
        <v>0</v>
      </c>
      <c r="P58" s="5">
        <f>IF(AND(Mercoledì!$A109&lt;&gt;"",Mercoledì!$A110&lt;&gt;""),Mercoledì!$G109+Mercoledì!$G110,0)</f>
        <v>0</v>
      </c>
      <c r="Q58" s="5">
        <f>P58*Percentuali!$E$23</f>
        <v>0</v>
      </c>
      <c r="R58" s="5">
        <f>P58*Percentuali!$E$49</f>
        <v>0</v>
      </c>
      <c r="S58" s="34"/>
      <c r="T58" s="5" t="s">
        <v>55</v>
      </c>
      <c r="U58" s="5">
        <f>IF(AND(Giovedì!$A109&lt;&gt;"",Giovedì!$A110&lt;&gt;""),Giovedì!$F109+Giovedì!$F110,0)</f>
        <v>0</v>
      </c>
      <c r="V58" s="5">
        <f>IF(AND(Giovedì!$A109&lt;&gt;"",Giovedì!$A110&lt;&gt;""),Giovedì!$G109+Giovedì!$G110,0)</f>
        <v>0</v>
      </c>
      <c r="W58" s="5">
        <f>V58*Percentuali!$F$23</f>
        <v>0</v>
      </c>
      <c r="X58" s="5">
        <f>V58*Percentuali!$F$49</f>
        <v>0</v>
      </c>
      <c r="Y58" s="34"/>
      <c r="Z58" s="5" t="s">
        <v>55</v>
      </c>
      <c r="AA58" s="5">
        <f>IF(AND(Venerdì!$A109&lt;&gt;"",Venerdì!$A110&lt;&gt;""),Venerdì!$F109+Venerdì!$F110,0)</f>
        <v>0</v>
      </c>
      <c r="AB58" s="5">
        <f>IF(AND(Venerdì!$A109&lt;&gt;"",Venerdì!$A110&lt;&gt;""),Venerdì!$G109+Venerdì!$G110,0)</f>
        <v>0</v>
      </c>
      <c r="AC58" s="5">
        <f>AB58*Percentuali!$G$23</f>
        <v>0</v>
      </c>
      <c r="AD58" s="5">
        <f>AB58*Percentuali!$G$49</f>
        <v>0</v>
      </c>
      <c r="AE58" s="34"/>
      <c r="AF58" s="5" t="s">
        <v>55</v>
      </c>
      <c r="AG58" s="5">
        <f>IF(AND(Sabato!$A109&lt;&gt;"",Sabato!$A110&lt;&gt;""),Sabato!$F109+Sabato!$F110,0)</f>
        <v>0</v>
      </c>
      <c r="AH58" s="5">
        <f>IF(AND(Sabato!$A109&lt;&gt;"",Sabato!$A110&lt;&gt;""),Sabato!$G109+Sabato!$G110,0)</f>
        <v>0</v>
      </c>
      <c r="AI58" s="5">
        <f>AH58*Percentuali!$H$23</f>
        <v>0</v>
      </c>
      <c r="AJ58" s="5">
        <f>AH58*Percentuali!$H$49</f>
        <v>0</v>
      </c>
      <c r="AK58" s="34"/>
      <c r="AL58" s="5" t="s">
        <v>55</v>
      </c>
      <c r="AM58" s="5">
        <f>IF(AND(Domenica!$A109&lt;&gt;"",Domenica!$A110&lt;&gt;""),Domenica!$F109+Domenica!$F110,0)</f>
        <v>0</v>
      </c>
      <c r="AN58" s="5">
        <f>IF(AND(Domenica!$A109&lt;&gt;"",Domenica!$A110&lt;&gt;""),Domenica!$G109+Domenica!$G110,0)</f>
        <v>0</v>
      </c>
      <c r="AO58" s="5">
        <f>AN58*Percentuali!$I$23</f>
        <v>0</v>
      </c>
      <c r="AP58" s="5">
        <f>AN58*Percentuali!$I$49</f>
        <v>0</v>
      </c>
    </row>
    <row r="59" spans="2:42" x14ac:dyDescent="0.25">
      <c r="B59" s="5" t="s">
        <v>77</v>
      </c>
      <c r="C59" s="5">
        <f>IF(AND(Lunedì!$A112&lt;&gt;"",Lunedì!$A113&lt;&gt;""),Lunedì!$F112+Lunedì!$F113,0)</f>
        <v>0</v>
      </c>
      <c r="D59" s="5">
        <f>IF(AND(Lunedì!$A112&lt;&gt;"",Lunedì!$A113&lt;&gt;""),Lunedì!$G112+Lunedì!$G113,0)</f>
        <v>0</v>
      </c>
      <c r="E59" s="5">
        <f>D59*Percentuali!$C$24</f>
        <v>0</v>
      </c>
      <c r="F59" s="5">
        <f>D59*Percentuali!$C$50</f>
        <v>0</v>
      </c>
      <c r="G59" s="34"/>
      <c r="H59" s="5" t="s">
        <v>77</v>
      </c>
      <c r="I59" s="5">
        <f>IF(AND(Martedì!$A112&lt;&gt;"",Martedì!$A113&lt;&gt;""),Martedì!$F112+Martedì!$F113,0)</f>
        <v>0</v>
      </c>
      <c r="J59" s="5">
        <f>IF(AND(Martedì!$A112&lt;&gt;"",Martedì!$A113&lt;&gt;""),Martedì!$G112+Martedì!$G113,0)</f>
        <v>0</v>
      </c>
      <c r="K59" s="5">
        <f>J59*Percentuali!$D$24</f>
        <v>0</v>
      </c>
      <c r="L59" s="5">
        <f>J59*Percentuali!$D$50</f>
        <v>0</v>
      </c>
      <c r="M59" s="34"/>
      <c r="N59" s="5" t="s">
        <v>77</v>
      </c>
      <c r="O59" s="5">
        <f>IF(AND(Mercoledì!$A112&lt;&gt;"",Mercoledì!$A113&lt;&gt;""),Mercoledì!$F112+Mercoledì!$F113,0)</f>
        <v>0</v>
      </c>
      <c r="P59" s="5">
        <f>IF(AND(Mercoledì!$A112&lt;&gt;"",Mercoledì!$A113&lt;&gt;""),Mercoledì!$G112+Mercoledì!$G113,0)</f>
        <v>0</v>
      </c>
      <c r="Q59" s="5">
        <f>P59*Percentuali!$E$24</f>
        <v>0</v>
      </c>
      <c r="R59" s="5">
        <f>P59*Percentuali!$E$50</f>
        <v>0</v>
      </c>
      <c r="S59" s="34"/>
      <c r="T59" s="5" t="s">
        <v>77</v>
      </c>
      <c r="U59" s="5">
        <f>IF(AND(Giovedì!$A112&lt;&gt;"",Giovedì!$A113&lt;&gt;""),Giovedì!$F112+Giovedì!$F113,0)</f>
        <v>0</v>
      </c>
      <c r="V59" s="5">
        <f>IF(AND(Giovedì!$A112&lt;&gt;"",Giovedì!$A113&lt;&gt;""),Giovedì!$G112+Giovedì!$G113,0)</f>
        <v>0</v>
      </c>
      <c r="W59" s="5">
        <f>V59*Percentuali!$F$24</f>
        <v>0</v>
      </c>
      <c r="X59" s="5">
        <f>V59*Percentuali!$F$50</f>
        <v>0</v>
      </c>
      <c r="Y59" s="34"/>
      <c r="Z59" s="5" t="s">
        <v>77</v>
      </c>
      <c r="AA59" s="5">
        <f>IF(AND(Venerdì!$A112&lt;&gt;"",Venerdì!$A113&lt;&gt;""),Venerdì!$F112+Venerdì!$F113,0)</f>
        <v>0</v>
      </c>
      <c r="AB59" s="5">
        <f>IF(AND(Venerdì!$A112&lt;&gt;"",Venerdì!$A113&lt;&gt;""),Venerdì!$G112+Venerdì!$G113,0)</f>
        <v>0</v>
      </c>
      <c r="AC59" s="5">
        <f>AB59*Percentuali!$G$24</f>
        <v>0</v>
      </c>
      <c r="AD59" s="5">
        <f>AB59*Percentuali!$G$50</f>
        <v>0</v>
      </c>
      <c r="AE59" s="34"/>
      <c r="AF59" s="5" t="s">
        <v>77</v>
      </c>
      <c r="AG59" s="5">
        <f>IF(AND(Sabato!$A112&lt;&gt;"",Sabato!$A113&lt;&gt;""),Sabato!$F112+Sabato!$F113,0)</f>
        <v>0</v>
      </c>
      <c r="AH59" s="5">
        <f>IF(AND(Sabato!$A112&lt;&gt;"",Sabato!$A113&lt;&gt;""),Sabato!$G112+Sabato!$G113,0)</f>
        <v>0</v>
      </c>
      <c r="AI59" s="5">
        <f>AH59*Percentuali!$H$24</f>
        <v>0</v>
      </c>
      <c r="AJ59" s="5">
        <f>AH59*Percentuali!$H$50</f>
        <v>0</v>
      </c>
      <c r="AK59" s="34"/>
      <c r="AL59" s="5" t="s">
        <v>77</v>
      </c>
      <c r="AM59" s="5">
        <f>IF(AND(Domenica!$A112&lt;&gt;"",Domenica!$A113&lt;&gt;""),Domenica!$F112+Domenica!$F113,0)</f>
        <v>0</v>
      </c>
      <c r="AN59" s="5">
        <f>IF(AND(Domenica!$A112&lt;&gt;"",Domenica!$A113&lt;&gt;""),Domenica!$G112+Domenica!$G113,0)</f>
        <v>0</v>
      </c>
      <c r="AO59" s="5">
        <f>AN59*Percentuali!$I$24</f>
        <v>0</v>
      </c>
      <c r="AP59" s="5">
        <f>AN59*Percentuali!$I$50</f>
        <v>0</v>
      </c>
    </row>
    <row r="60" spans="2:42" x14ac:dyDescent="0.25">
      <c r="B60" s="5" t="s">
        <v>78</v>
      </c>
      <c r="C60" s="5">
        <f>IF(AND(Lunedì!$A114&lt;&gt;"",Lunedì!$A115&lt;&gt;""),Lunedì!$F114+Lunedì!$F115,0)</f>
        <v>0</v>
      </c>
      <c r="D60" s="5">
        <f>IF(AND(Lunedì!$A114&lt;&gt;"",Lunedì!$A115&lt;&gt;""),Lunedì!$G114+Lunedì!$G115,0)</f>
        <v>0</v>
      </c>
      <c r="E60" s="5">
        <f>D60*Percentuali!$C$24</f>
        <v>0</v>
      </c>
      <c r="F60" s="5">
        <f>D60*Percentuali!$C$50</f>
        <v>0</v>
      </c>
      <c r="G60" s="34"/>
      <c r="H60" s="5" t="s">
        <v>78</v>
      </c>
      <c r="I60" s="5">
        <f>IF(AND(Martedì!$A114&lt;&gt;"",Martedì!$A115&lt;&gt;""),Martedì!$F114+Martedì!$F115,0)</f>
        <v>0</v>
      </c>
      <c r="J60" s="5">
        <f>IF(AND(Martedì!$A114&lt;&gt;"",Martedì!$A115&lt;&gt;""),Martedì!$G114+Martedì!$G115,0)</f>
        <v>0</v>
      </c>
      <c r="K60" s="5">
        <f>J60*Percentuali!$D$24</f>
        <v>0</v>
      </c>
      <c r="L60" s="5">
        <f>J60*Percentuali!$D$50</f>
        <v>0</v>
      </c>
      <c r="M60" s="34"/>
      <c r="N60" s="5" t="s">
        <v>78</v>
      </c>
      <c r="O60" s="5">
        <f>IF(AND(Mercoledì!$A114&lt;&gt;"",Mercoledì!$A115&lt;&gt;""),Mercoledì!$F114+Mercoledì!$F115,0)</f>
        <v>0</v>
      </c>
      <c r="P60" s="5">
        <f>IF(AND(Mercoledì!$A114&lt;&gt;"",Mercoledì!$A115&lt;&gt;""),Mercoledì!$G114+Mercoledì!$G115,0)</f>
        <v>0</v>
      </c>
      <c r="Q60" s="5">
        <f>P60*Percentuali!$E$24</f>
        <v>0</v>
      </c>
      <c r="R60" s="5">
        <f>P60*Percentuali!$E$50</f>
        <v>0</v>
      </c>
      <c r="S60" s="34"/>
      <c r="T60" s="5" t="s">
        <v>78</v>
      </c>
      <c r="U60" s="5">
        <f>IF(AND(Giovedì!$A114&lt;&gt;"",Giovedì!$A115&lt;&gt;""),Giovedì!$F114+Giovedì!$F115,0)</f>
        <v>0</v>
      </c>
      <c r="V60" s="5">
        <f>IF(AND(Giovedì!$A114&lt;&gt;"",Giovedì!$A115&lt;&gt;""),Giovedì!$G114+Giovedì!$G115,0)</f>
        <v>0</v>
      </c>
      <c r="W60" s="5">
        <f>V60*Percentuali!$F$24</f>
        <v>0</v>
      </c>
      <c r="X60" s="5">
        <f>V60*Percentuali!$F$50</f>
        <v>0</v>
      </c>
      <c r="Y60" s="34"/>
      <c r="Z60" s="5" t="s">
        <v>78</v>
      </c>
      <c r="AA60" s="5">
        <f>IF(AND(Venerdì!$A114&lt;&gt;"",Venerdì!$A115&lt;&gt;""),Venerdì!$F114+Venerdì!$F115,0)</f>
        <v>0</v>
      </c>
      <c r="AB60" s="5">
        <f>IF(AND(Venerdì!$A114&lt;&gt;"",Venerdì!$A115&lt;&gt;""),Venerdì!$G114+Venerdì!$G115,0)</f>
        <v>0</v>
      </c>
      <c r="AC60" s="5">
        <f>AB60*Percentuali!$G$24</f>
        <v>0</v>
      </c>
      <c r="AD60" s="5">
        <f>AB60*Percentuali!$G$50</f>
        <v>0</v>
      </c>
      <c r="AE60" s="34"/>
      <c r="AF60" s="5" t="s">
        <v>78</v>
      </c>
      <c r="AG60" s="5">
        <f>IF(AND(Sabato!$A114&lt;&gt;"",Sabato!$A115&lt;&gt;""),Sabato!$F114+Sabato!$F115,0)</f>
        <v>0</v>
      </c>
      <c r="AH60" s="5">
        <f>IF(AND(Sabato!$A114&lt;&gt;"",Sabato!$A115&lt;&gt;""),Sabato!$G114+Sabato!$G115,0)</f>
        <v>0</v>
      </c>
      <c r="AI60" s="5">
        <f>AH60*Percentuali!$H$24</f>
        <v>0</v>
      </c>
      <c r="AJ60" s="5">
        <f>AH60*Percentuali!$H$50</f>
        <v>0</v>
      </c>
      <c r="AK60" s="34"/>
      <c r="AL60" s="5" t="s">
        <v>78</v>
      </c>
      <c r="AM60" s="5">
        <f>IF(AND(Domenica!$A114&lt;&gt;"",Domenica!$A115&lt;&gt;""),Domenica!$F114+Domenica!$F115,0)</f>
        <v>0</v>
      </c>
      <c r="AN60" s="5">
        <f>IF(AND(Domenica!$A114&lt;&gt;"",Domenica!$A115&lt;&gt;""),Domenica!$G114+Domenica!$G115,0)</f>
        <v>0</v>
      </c>
      <c r="AO60" s="5">
        <f>AN60*Percentuali!$I$24</f>
        <v>0</v>
      </c>
      <c r="AP60" s="5">
        <f>AN60*Percentuali!$I$50</f>
        <v>0</v>
      </c>
    </row>
    <row r="61" spans="2:42" x14ac:dyDescent="0.25">
      <c r="B61" s="5" t="s">
        <v>79</v>
      </c>
      <c r="C61" s="5">
        <f>IF(AND(Lunedì!$A117&lt;&gt;"",Lunedì!$A118&lt;&gt;""),Lunedì!$F117+Lunedì!$F118,0)</f>
        <v>0</v>
      </c>
      <c r="D61" s="5">
        <f>IF(AND(Lunedì!$A117&lt;&gt;"",Lunedì!$A118&lt;&gt;""),Lunedì!$G117+Lunedì!$G118,0)</f>
        <v>0</v>
      </c>
      <c r="E61" s="5">
        <f>D61*Percentuali!$C$25</f>
        <v>0</v>
      </c>
      <c r="F61" s="5">
        <f>D61*Percentuali!$C$51</f>
        <v>0</v>
      </c>
      <c r="G61" s="34"/>
      <c r="H61" s="5" t="s">
        <v>79</v>
      </c>
      <c r="I61" s="5">
        <f>IF(AND(Martedì!$A117&lt;&gt;"",Martedì!$A118&lt;&gt;""),Martedì!$F117+Martedì!$F118,0)</f>
        <v>0</v>
      </c>
      <c r="J61" s="5">
        <f>IF(AND(Martedì!$A117&lt;&gt;"",Martedì!$A118&lt;&gt;""),Martedì!$G117+Martedì!$G118,0)</f>
        <v>0</v>
      </c>
      <c r="K61" s="5">
        <f>J61*Percentuali!$D$25</f>
        <v>0</v>
      </c>
      <c r="L61" s="5">
        <f>J61*Percentuali!$D$51</f>
        <v>0</v>
      </c>
      <c r="M61" s="34"/>
      <c r="N61" s="5" t="s">
        <v>79</v>
      </c>
      <c r="O61" s="5">
        <f>IF(AND(Mercoledì!$A117&lt;&gt;"",Mercoledì!$A118&lt;&gt;""),Mercoledì!$F117+Mercoledì!$F118,0)</f>
        <v>0</v>
      </c>
      <c r="P61" s="5">
        <f>IF(AND(Mercoledì!$A117&lt;&gt;"",Mercoledì!$A118&lt;&gt;""),Mercoledì!$G117+Mercoledì!$G118,0)</f>
        <v>0</v>
      </c>
      <c r="Q61" s="5">
        <f>P61*Percentuali!$E$25</f>
        <v>0</v>
      </c>
      <c r="R61" s="5">
        <f>P61*Percentuali!$E$51</f>
        <v>0</v>
      </c>
      <c r="S61" s="34"/>
      <c r="T61" s="5" t="s">
        <v>79</v>
      </c>
      <c r="U61" s="5">
        <f>IF(AND(Giovedì!$A117&lt;&gt;"",Giovedì!$A118&lt;&gt;""),Giovedì!$F117+Giovedì!$F118,0)</f>
        <v>0</v>
      </c>
      <c r="V61" s="5">
        <f>IF(AND(Giovedì!$A117&lt;&gt;"",Giovedì!$A118&lt;&gt;""),Giovedì!$G117+Giovedì!$G118,0)</f>
        <v>0</v>
      </c>
      <c r="W61" s="5">
        <f>V61*Percentuali!$F$25</f>
        <v>0</v>
      </c>
      <c r="X61" s="5">
        <f>V61*Percentuali!$F$51</f>
        <v>0</v>
      </c>
      <c r="Y61" s="34"/>
      <c r="Z61" s="5" t="s">
        <v>79</v>
      </c>
      <c r="AA61" s="5">
        <f>IF(AND(Venerdì!$A117&lt;&gt;"",Venerdì!$A118&lt;&gt;""),Venerdì!$F117+Venerdì!$F118,0)</f>
        <v>0</v>
      </c>
      <c r="AB61" s="5">
        <f>IF(AND(Venerdì!$A117&lt;&gt;"",Venerdì!$A118&lt;&gt;""),Venerdì!$G117+Venerdì!$G118,0)</f>
        <v>0</v>
      </c>
      <c r="AC61" s="5">
        <f>AB61*Percentuali!$G$25</f>
        <v>0</v>
      </c>
      <c r="AD61" s="5">
        <f>AB61*Percentuali!$G$51</f>
        <v>0</v>
      </c>
      <c r="AE61" s="34"/>
      <c r="AF61" s="5" t="s">
        <v>79</v>
      </c>
      <c r="AG61" s="5">
        <f>IF(AND(Sabato!$A117&lt;&gt;"",Sabato!$A118&lt;&gt;""),Sabato!$F117+Sabato!$F118,0)</f>
        <v>0</v>
      </c>
      <c r="AH61" s="5">
        <f>IF(AND(Sabato!$A117&lt;&gt;"",Sabato!$A118&lt;&gt;""),Sabato!$G117+Sabato!$G118,0)</f>
        <v>0</v>
      </c>
      <c r="AI61" s="5">
        <f>AH61*Percentuali!$H$25</f>
        <v>0</v>
      </c>
      <c r="AJ61" s="5">
        <f>AH61*Percentuali!$H$51</f>
        <v>0</v>
      </c>
      <c r="AK61" s="34"/>
      <c r="AL61" s="5" t="s">
        <v>79</v>
      </c>
      <c r="AM61" s="5">
        <f>IF(AND(Domenica!$A117&lt;&gt;"",Domenica!$A118&lt;&gt;""),Domenica!$F117+Domenica!$F118,0)</f>
        <v>0</v>
      </c>
      <c r="AN61" s="5">
        <f>IF(AND(Domenica!$A117&lt;&gt;"",Domenica!$A118&lt;&gt;""),Domenica!$G117+Domenica!$G118,0)</f>
        <v>0</v>
      </c>
      <c r="AO61" s="5">
        <f>AN61*Percentuali!$I$25</f>
        <v>0</v>
      </c>
      <c r="AP61" s="5">
        <f>AN61*Percentuali!$I$51</f>
        <v>0</v>
      </c>
    </row>
    <row r="62" spans="2:42" x14ac:dyDescent="0.25">
      <c r="B62" s="5" t="s">
        <v>80</v>
      </c>
      <c r="C62" s="5">
        <f>IF(AND(Lunedì!$A119&lt;&gt;"",Lunedì!$A120&lt;&gt;""),Lunedì!$F119+Lunedì!$F120,0)</f>
        <v>0</v>
      </c>
      <c r="D62" s="5">
        <f>IF(AND(Lunedì!$A119&lt;&gt;"",Lunedì!$A120&lt;&gt;""),Lunedì!$G119+Lunedì!$G120,0)</f>
        <v>0</v>
      </c>
      <c r="E62" s="5">
        <f>D62*Percentuali!$C$25</f>
        <v>0</v>
      </c>
      <c r="F62" s="5">
        <f>D62*Percentuali!$C$51</f>
        <v>0</v>
      </c>
      <c r="G62" s="34"/>
      <c r="H62" s="5" t="s">
        <v>80</v>
      </c>
      <c r="I62" s="5">
        <f>IF(AND(Martedì!$A119&lt;&gt;"",Martedì!$A120&lt;&gt;""),Martedì!$F119+Martedì!$F120,0)</f>
        <v>0</v>
      </c>
      <c r="J62" s="5">
        <f>IF(AND(Martedì!$A119&lt;&gt;"",Martedì!$A120&lt;&gt;""),Martedì!$G119+Martedì!$G120,0)</f>
        <v>0</v>
      </c>
      <c r="K62" s="5">
        <f>J62*Percentuali!$D$25</f>
        <v>0</v>
      </c>
      <c r="L62" s="5">
        <f>J62*Percentuali!$D$51</f>
        <v>0</v>
      </c>
      <c r="M62" s="34"/>
      <c r="N62" s="5" t="s">
        <v>80</v>
      </c>
      <c r="O62" s="5">
        <f>IF(AND(Mercoledì!$A119&lt;&gt;"",Mercoledì!$A120&lt;&gt;""),Mercoledì!$F119+Mercoledì!$F120,0)</f>
        <v>0</v>
      </c>
      <c r="P62" s="5">
        <f>IF(AND(Mercoledì!$A119&lt;&gt;"",Mercoledì!$A120&lt;&gt;""),Mercoledì!$G119+Mercoledì!$G120,0)</f>
        <v>0</v>
      </c>
      <c r="Q62" s="5">
        <f>P62*Percentuali!$E$25</f>
        <v>0</v>
      </c>
      <c r="R62" s="5">
        <f>P62*Percentuali!$E$51</f>
        <v>0</v>
      </c>
      <c r="S62" s="34"/>
      <c r="T62" s="5" t="s">
        <v>80</v>
      </c>
      <c r="U62" s="5">
        <f>IF(AND(Giovedì!$A119&lt;&gt;"",Giovedì!$A120&lt;&gt;""),Giovedì!$F119+Giovedì!$F120,0)</f>
        <v>0</v>
      </c>
      <c r="V62" s="5">
        <f>IF(AND(Giovedì!$A119&lt;&gt;"",Giovedì!$A120&lt;&gt;""),Giovedì!$G119+Giovedì!$G120,0)</f>
        <v>0</v>
      </c>
      <c r="W62" s="5">
        <f>V62*Percentuali!$F$25</f>
        <v>0</v>
      </c>
      <c r="X62" s="5">
        <f>V62*Percentuali!$F$51</f>
        <v>0</v>
      </c>
      <c r="Y62" s="34"/>
      <c r="Z62" s="5" t="s">
        <v>80</v>
      </c>
      <c r="AA62" s="5">
        <f>IF(AND(Venerdì!$A119&lt;&gt;"",Venerdì!$A120&lt;&gt;""),Venerdì!$F119+Venerdì!$F120,0)</f>
        <v>0</v>
      </c>
      <c r="AB62" s="5">
        <f>IF(AND(Venerdì!$A119&lt;&gt;"",Venerdì!$A120&lt;&gt;""),Venerdì!$G119+Venerdì!$G120,0)</f>
        <v>0</v>
      </c>
      <c r="AC62" s="5">
        <f>AB62*Percentuali!$G$25</f>
        <v>0</v>
      </c>
      <c r="AD62" s="5">
        <f>AB62*Percentuali!$G$51</f>
        <v>0</v>
      </c>
      <c r="AE62" s="34"/>
      <c r="AF62" s="5" t="s">
        <v>80</v>
      </c>
      <c r="AG62" s="5">
        <f>IF(AND(Sabato!$A119&lt;&gt;"",Sabato!$A120&lt;&gt;""),Sabato!$F119+Sabato!$F120,0)</f>
        <v>0</v>
      </c>
      <c r="AH62" s="5">
        <f>IF(AND(Sabato!$A119&lt;&gt;"",Sabato!$A120&lt;&gt;""),Sabato!$G119+Sabato!$G120,0)</f>
        <v>0</v>
      </c>
      <c r="AI62" s="5">
        <f>AH62*Percentuali!$H$25</f>
        <v>0</v>
      </c>
      <c r="AJ62" s="5">
        <f>AH62*Percentuali!$H$51</f>
        <v>0</v>
      </c>
      <c r="AK62" s="34"/>
      <c r="AL62" s="5" t="s">
        <v>80</v>
      </c>
      <c r="AM62" s="5">
        <f>IF(AND(Domenica!$A119&lt;&gt;"",Domenica!$A120&lt;&gt;""),Domenica!$F119+Domenica!$F120,0)</f>
        <v>0</v>
      </c>
      <c r="AN62" s="5">
        <f>IF(AND(Domenica!$A119&lt;&gt;"",Domenica!$A120&lt;&gt;""),Domenica!$G119+Domenica!$G120,0)</f>
        <v>0</v>
      </c>
      <c r="AO62" s="5">
        <f>AN62*Percentuali!$I$25</f>
        <v>0</v>
      </c>
      <c r="AP62" s="5">
        <f>AN62*Percentuali!$I$51</f>
        <v>0</v>
      </c>
    </row>
    <row r="63" spans="2:42" x14ac:dyDescent="0.25">
      <c r="B63" s="5" t="s">
        <v>81</v>
      </c>
      <c r="C63" s="5">
        <f>IF(AND(Lunedì!$A122&lt;&gt;"",Lunedì!$A123&lt;&gt;""),Lunedì!$F122+Lunedì!$F123,0)</f>
        <v>0</v>
      </c>
      <c r="D63" s="5">
        <f>IF(AND(Lunedì!$A122&lt;&gt;"",Lunedì!$A123&lt;&gt;""),Lunedì!$G122+Lunedì!$G123,0)</f>
        <v>0</v>
      </c>
      <c r="E63" s="5">
        <f>D63*Percentuali!$C$26</f>
        <v>0</v>
      </c>
      <c r="F63" s="5">
        <f>D63*Percentuali!$C$52</f>
        <v>0</v>
      </c>
      <c r="G63" s="34"/>
      <c r="H63" s="5" t="s">
        <v>81</v>
      </c>
      <c r="I63" s="5">
        <f>IF(AND(Martedì!$A122&lt;&gt;"",Martedì!$A123&lt;&gt;""),Martedì!$F122+Martedì!$F123,0)</f>
        <v>0</v>
      </c>
      <c r="J63" s="5">
        <f>IF(AND(Martedì!$A122&lt;&gt;"",Martedì!$A123&lt;&gt;""),Martedì!$G122+Martedì!$G123,0)</f>
        <v>0</v>
      </c>
      <c r="K63" s="5">
        <f>J63*Percentuali!$D$26</f>
        <v>0</v>
      </c>
      <c r="L63" s="5">
        <f>J63*Percentuali!$D$52</f>
        <v>0</v>
      </c>
      <c r="M63" s="34"/>
      <c r="N63" s="5" t="s">
        <v>81</v>
      </c>
      <c r="O63" s="5">
        <f>IF(AND(Mercoledì!$A122&lt;&gt;"",Mercoledì!$A123&lt;&gt;""),Mercoledì!$F122+Mercoledì!$F123,0)</f>
        <v>0</v>
      </c>
      <c r="P63" s="5">
        <f>IF(AND(Mercoledì!$A122&lt;&gt;"",Mercoledì!$A123&lt;&gt;""),Mercoledì!$G122+Mercoledì!$G123,0)</f>
        <v>0</v>
      </c>
      <c r="Q63" s="5">
        <f>P63*Percentuali!$E$26</f>
        <v>0</v>
      </c>
      <c r="R63" s="5">
        <f>P63*Percentuali!$E$52</f>
        <v>0</v>
      </c>
      <c r="S63" s="34"/>
      <c r="T63" s="5" t="s">
        <v>81</v>
      </c>
      <c r="U63" s="5">
        <f>IF(AND(Giovedì!$A122&lt;&gt;"",Giovedì!$A123&lt;&gt;""),Giovedì!$F122+Giovedì!$F123,0)</f>
        <v>0</v>
      </c>
      <c r="V63" s="5">
        <f>IF(AND(Giovedì!$A122&lt;&gt;"",Giovedì!$A123&lt;&gt;""),Giovedì!$G122+Giovedì!$G123,0)</f>
        <v>0</v>
      </c>
      <c r="W63" s="5">
        <f>V63*Percentuali!$F$26</f>
        <v>0</v>
      </c>
      <c r="X63" s="5">
        <f>V63*Percentuali!$F$52</f>
        <v>0</v>
      </c>
      <c r="Y63" s="34"/>
      <c r="Z63" s="5" t="s">
        <v>81</v>
      </c>
      <c r="AA63" s="5">
        <f>IF(AND(Venerdì!$A122&lt;&gt;"",Venerdì!$A123&lt;&gt;""),Venerdì!$F122+Venerdì!$F123,0)</f>
        <v>0</v>
      </c>
      <c r="AB63" s="5">
        <f>IF(AND(Venerdì!$A122&lt;&gt;"",Venerdì!$A123&lt;&gt;""),Venerdì!$G122+Venerdì!$G123,0)</f>
        <v>0</v>
      </c>
      <c r="AC63" s="5">
        <f>AB63*Percentuali!$G$26</f>
        <v>0</v>
      </c>
      <c r="AD63" s="5">
        <f>AB63*Percentuali!$G$52</f>
        <v>0</v>
      </c>
      <c r="AE63" s="34"/>
      <c r="AF63" s="5" t="s">
        <v>81</v>
      </c>
      <c r="AG63" s="5">
        <f>IF(AND(Sabato!$A122&lt;&gt;"",Sabato!$A123&lt;&gt;""),Sabato!$F122+Sabato!$F123,0)</f>
        <v>0</v>
      </c>
      <c r="AH63" s="5">
        <f>IF(AND(Sabato!$A122&lt;&gt;"",Sabato!$A123&lt;&gt;""),Sabato!$G122+Sabato!$G123,0)</f>
        <v>0</v>
      </c>
      <c r="AI63" s="5">
        <f>AH63*Percentuali!$H$26</f>
        <v>0</v>
      </c>
      <c r="AJ63" s="5">
        <f>AH63*Percentuali!$H$52</f>
        <v>0</v>
      </c>
      <c r="AK63" s="34"/>
      <c r="AL63" s="5" t="s">
        <v>81</v>
      </c>
      <c r="AM63" s="5">
        <f>IF(AND(Domenica!$A122&lt;&gt;"",Domenica!$A123&lt;&gt;""),Domenica!$F122+Domenica!$F123,0)</f>
        <v>0</v>
      </c>
      <c r="AN63" s="5">
        <f>IF(AND(Domenica!$A122&lt;&gt;"",Domenica!$A123&lt;&gt;""),Domenica!$G122+Domenica!$G123,0)</f>
        <v>0</v>
      </c>
      <c r="AO63" s="5">
        <f>AN63*Percentuali!$I$26</f>
        <v>0</v>
      </c>
      <c r="AP63" s="5">
        <f>AN63*Percentuali!$I$52</f>
        <v>0</v>
      </c>
    </row>
    <row r="64" spans="2:42" x14ac:dyDescent="0.25">
      <c r="B64" s="5" t="s">
        <v>82</v>
      </c>
      <c r="C64" s="5">
        <f>IF(AND(Lunedì!$A124&lt;&gt;"",Lunedì!$A125&lt;&gt;""),Lunedì!$F124+Lunedì!$F125,0)</f>
        <v>0</v>
      </c>
      <c r="D64" s="5">
        <f>IF(AND(Lunedì!$A124&lt;&gt;"",Lunedì!$A125&lt;&gt;""),Lunedì!$G124+Lunedì!$G125,0)</f>
        <v>0</v>
      </c>
      <c r="E64" s="5">
        <f>D64*Percentuali!$C$26</f>
        <v>0</v>
      </c>
      <c r="F64" s="5">
        <f>D64*Percentuali!$C$52</f>
        <v>0</v>
      </c>
      <c r="G64" s="34"/>
      <c r="H64" s="5" t="s">
        <v>82</v>
      </c>
      <c r="I64" s="5">
        <f>IF(AND(Martedì!$A124&lt;&gt;"",Martedì!$A125&lt;&gt;""),Martedì!$F124+Martedì!$F125,0)</f>
        <v>0</v>
      </c>
      <c r="J64" s="5">
        <f>IF(AND(Martedì!$A124&lt;&gt;"",Martedì!$A125&lt;&gt;""),Martedì!$G124+Martedì!$G125,0)</f>
        <v>0</v>
      </c>
      <c r="K64" s="5">
        <f>J64*Percentuali!$D$26</f>
        <v>0</v>
      </c>
      <c r="L64" s="5">
        <f>J64*Percentuali!$D$52</f>
        <v>0</v>
      </c>
      <c r="M64" s="34"/>
      <c r="N64" s="5" t="s">
        <v>82</v>
      </c>
      <c r="O64" s="5">
        <f>IF(AND(Mercoledì!$A124&lt;&gt;"",Mercoledì!$A125&lt;&gt;""),Mercoledì!$F124+Mercoledì!$F125,0)</f>
        <v>0</v>
      </c>
      <c r="P64" s="5">
        <f>IF(AND(Mercoledì!$A124&lt;&gt;"",Mercoledì!$A125&lt;&gt;""),Mercoledì!$G124+Mercoledì!$G125,0)</f>
        <v>0</v>
      </c>
      <c r="Q64" s="5">
        <f>P64*Percentuali!$E$26</f>
        <v>0</v>
      </c>
      <c r="R64" s="5">
        <f>P64*Percentuali!$E$52</f>
        <v>0</v>
      </c>
      <c r="S64" s="34"/>
      <c r="T64" s="5" t="s">
        <v>82</v>
      </c>
      <c r="U64" s="5">
        <f>IF(AND(Giovedì!$A124&lt;&gt;"",Giovedì!$A125&lt;&gt;""),Giovedì!$F124+Giovedì!$F125,0)</f>
        <v>0</v>
      </c>
      <c r="V64" s="5">
        <f>IF(AND(Giovedì!$A124&lt;&gt;"",Giovedì!$A125&lt;&gt;""),Giovedì!$G124+Giovedì!$G125,0)</f>
        <v>0</v>
      </c>
      <c r="W64" s="5">
        <f>V64*Percentuali!$F$26</f>
        <v>0</v>
      </c>
      <c r="X64" s="5">
        <f>V64*Percentuali!$F$52</f>
        <v>0</v>
      </c>
      <c r="Y64" s="34"/>
      <c r="Z64" s="5" t="s">
        <v>82</v>
      </c>
      <c r="AA64" s="5">
        <f>IF(AND(Venerdì!$A124&lt;&gt;"",Venerdì!$A125&lt;&gt;""),Venerdì!$F124+Venerdì!$F125,0)</f>
        <v>0</v>
      </c>
      <c r="AB64" s="5">
        <f>IF(AND(Venerdì!$A124&lt;&gt;"",Venerdì!$A125&lt;&gt;""),Venerdì!$G124+Venerdì!$G125,0)</f>
        <v>0</v>
      </c>
      <c r="AC64" s="5">
        <f>AB64*Percentuali!$G$26</f>
        <v>0</v>
      </c>
      <c r="AD64" s="5">
        <f>AB64*Percentuali!$G$52</f>
        <v>0</v>
      </c>
      <c r="AE64" s="34"/>
      <c r="AF64" s="5" t="s">
        <v>82</v>
      </c>
      <c r="AG64" s="5">
        <f>IF(AND(Sabato!$A124&lt;&gt;"",Sabato!$A125&lt;&gt;""),Sabato!$F124+Sabato!$F125,0)</f>
        <v>0</v>
      </c>
      <c r="AH64" s="5">
        <f>IF(AND(Sabato!$A124&lt;&gt;"",Sabato!$A125&lt;&gt;""),Sabato!$G124+Sabato!$G125,0)</f>
        <v>0</v>
      </c>
      <c r="AI64" s="5">
        <f>AH64*Percentuali!$H$26</f>
        <v>0</v>
      </c>
      <c r="AJ64" s="5">
        <f>AH64*Percentuali!$H$52</f>
        <v>0</v>
      </c>
      <c r="AK64" s="34"/>
      <c r="AL64" s="5" t="s">
        <v>82</v>
      </c>
      <c r="AM64" s="5">
        <f>IF(AND(Domenica!$A124&lt;&gt;"",Domenica!$A125&lt;&gt;""),Domenica!$F124+Domenica!$F125,0)</f>
        <v>0</v>
      </c>
      <c r="AN64" s="5">
        <f>IF(AND(Domenica!$A124&lt;&gt;"",Domenica!$A125&lt;&gt;""),Domenica!$G124+Domenica!$G125,0)</f>
        <v>0</v>
      </c>
      <c r="AO64" s="5">
        <f>AN64*Percentuali!$I$26</f>
        <v>0</v>
      </c>
      <c r="AP64" s="5">
        <f>AN64*Percentuali!$I$52</f>
        <v>0</v>
      </c>
    </row>
    <row r="65" spans="2:42" x14ac:dyDescent="0.25">
      <c r="B65" s="5" t="s">
        <v>83</v>
      </c>
      <c r="C65" s="5">
        <f>IF(AND(Lunedì!$A127&lt;&gt;"",Lunedì!$A128&lt;&gt;""),Lunedì!$F127+Lunedì!$F128,0)</f>
        <v>0</v>
      </c>
      <c r="D65" s="5">
        <f>IF(AND(Lunedì!$A127&lt;&gt;"",Lunedì!$A128&lt;&gt;""),Lunedì!$G127+Lunedì!$G128,0)</f>
        <v>0</v>
      </c>
      <c r="E65" s="5">
        <f>D65*Percentuali!$D$3</f>
        <v>0</v>
      </c>
      <c r="F65" s="5">
        <f>D65*Percentuali!$D$29</f>
        <v>0</v>
      </c>
      <c r="G65" s="34"/>
      <c r="H65" s="5" t="s">
        <v>83</v>
      </c>
      <c r="I65" s="5">
        <f>IF(AND(Martedì!$A127&lt;&gt;"",Martedì!$A128&lt;&gt;""),Martedì!$F127+Martedì!$F128,0)</f>
        <v>0</v>
      </c>
      <c r="J65" s="5">
        <f>IF(AND(Martedì!$A127&lt;&gt;"",Martedì!$A128&lt;&gt;""),Martedì!$G127+Martedì!$G128,0)</f>
        <v>0</v>
      </c>
      <c r="K65" s="5">
        <f>J65*Percentuali!$E$3</f>
        <v>0</v>
      </c>
      <c r="L65" s="5">
        <f>J65*Percentuali!$E$29</f>
        <v>0</v>
      </c>
      <c r="M65" s="34"/>
      <c r="N65" s="5" t="s">
        <v>83</v>
      </c>
      <c r="O65" s="5">
        <f>IF(AND(Mercoledì!$A127&lt;&gt;"",Mercoledì!$A128&lt;&gt;""),Mercoledì!$F127+Mercoledì!$F128,0)</f>
        <v>0</v>
      </c>
      <c r="P65" s="5">
        <f>IF(AND(Mercoledì!$A127&lt;&gt;"",Mercoledì!$A128&lt;&gt;""),Mercoledì!$G127+Mercoledì!$G128,0)</f>
        <v>0</v>
      </c>
      <c r="Q65" s="5">
        <f>P65*Percentuali!$F$3</f>
        <v>0</v>
      </c>
      <c r="R65" s="5">
        <f>P65*Percentuali!$F$29</f>
        <v>0</v>
      </c>
      <c r="S65" s="34"/>
      <c r="T65" s="5" t="s">
        <v>83</v>
      </c>
      <c r="U65" s="5">
        <f>IF(AND(Giovedì!$A127&lt;&gt;"",Giovedì!$A128&lt;&gt;""),Giovedì!$F127+Giovedì!$F128,0)</f>
        <v>0</v>
      </c>
      <c r="V65" s="5">
        <f>IF(AND(Giovedì!$A127&lt;&gt;"",Giovedì!$A128&lt;&gt;""),Giovedì!$G127+Giovedì!$G128,0)</f>
        <v>0</v>
      </c>
      <c r="W65" s="5">
        <f>V65*Percentuali!$G$3</f>
        <v>0</v>
      </c>
      <c r="X65" s="5">
        <f>V65*Percentuali!$G$29</f>
        <v>0</v>
      </c>
      <c r="Y65" s="34"/>
      <c r="Z65" s="5" t="s">
        <v>83</v>
      </c>
      <c r="AA65" s="5">
        <f>IF(AND(Venerdì!$A127&lt;&gt;"",Venerdì!$A128&lt;&gt;""),Venerdì!$F127+Venerdì!$F128,0)</f>
        <v>0</v>
      </c>
      <c r="AB65" s="5">
        <f>IF(AND(Venerdì!$A127&lt;&gt;"",Venerdì!$A128&lt;&gt;""),Venerdì!$G127+Venerdì!$G128,0)</f>
        <v>0</v>
      </c>
      <c r="AC65" s="5">
        <f>AB65*Percentuali!$H$3</f>
        <v>0</v>
      </c>
      <c r="AD65" s="5">
        <f>AB65*Percentuali!$H$29</f>
        <v>0</v>
      </c>
      <c r="AE65" s="34"/>
      <c r="AF65" s="5" t="s">
        <v>83</v>
      </c>
      <c r="AG65" s="5">
        <f>IF(AND(Sabato!$A127&lt;&gt;"",Sabato!$A128&lt;&gt;""),Sabato!$F127+Sabato!$F128,0)</f>
        <v>0</v>
      </c>
      <c r="AH65" s="5">
        <f>IF(AND(Sabato!$A127&lt;&gt;"",Sabato!$A128&lt;&gt;""),Sabato!$G127+Sabato!$G128,0)</f>
        <v>0</v>
      </c>
      <c r="AI65" s="5">
        <f>AH65*Percentuali!$I$3</f>
        <v>0</v>
      </c>
      <c r="AJ65" s="5">
        <f>AH65*Percentuali!$I$29</f>
        <v>0</v>
      </c>
      <c r="AK65" s="34"/>
      <c r="AL65" s="5" t="s">
        <v>83</v>
      </c>
      <c r="AM65" s="5">
        <f>IF(AND(Domenica!$A127&lt;&gt;"",Domenica!$A128&lt;&gt;""),Domenica!$F127+Domenica!$F128,0)</f>
        <v>0</v>
      </c>
      <c r="AN65" s="5">
        <f>IF(AND(Domenica!$A127&lt;&gt;"",Domenica!$A128&lt;&gt;""),Domenica!$G127+Domenica!$G128,0)</f>
        <v>0</v>
      </c>
      <c r="AO65" s="5">
        <f>AN65*Percentuali!$C$3</f>
        <v>0</v>
      </c>
      <c r="AP65" s="5">
        <f>AN65*Percentuali!$C$29</f>
        <v>0</v>
      </c>
    </row>
    <row r="66" spans="2:42" x14ac:dyDescent="0.25">
      <c r="B66" s="5" t="s">
        <v>84</v>
      </c>
      <c r="C66" s="5">
        <f>IF(AND(Lunedì!$A129&lt;&gt;"",Lunedì!$A130&lt;&gt;""),Lunedì!$F129+Lunedì!$F130,0)</f>
        <v>0</v>
      </c>
      <c r="D66" s="5">
        <f>IF(AND(Lunedì!$A129&lt;&gt;"",Lunedì!$A130&lt;&gt;""),Lunedì!$G129+Lunedì!$G130,0)</f>
        <v>0</v>
      </c>
      <c r="E66" s="5">
        <f>D66*Percentuali!$D$3</f>
        <v>0</v>
      </c>
      <c r="F66" s="5">
        <f>D66*Percentuali!$D$29</f>
        <v>0</v>
      </c>
      <c r="G66" s="34"/>
      <c r="H66" s="5" t="s">
        <v>84</v>
      </c>
      <c r="I66" s="5">
        <f>IF(AND(Martedì!$A129&lt;&gt;"",Martedì!$A130&lt;&gt;""),Martedì!$F129+Martedì!$F130,0)</f>
        <v>0</v>
      </c>
      <c r="J66" s="5">
        <f>IF(AND(Martedì!$A129&lt;&gt;"",Martedì!$A130&lt;&gt;""),Martedì!$G129+Martedì!$G130,0)</f>
        <v>0</v>
      </c>
      <c r="K66" s="5">
        <f>J66*Percentuali!$E$3</f>
        <v>0</v>
      </c>
      <c r="L66" s="5">
        <f>J66*Percentuali!$E$29</f>
        <v>0</v>
      </c>
      <c r="M66" s="34"/>
      <c r="N66" s="5" t="s">
        <v>84</v>
      </c>
      <c r="O66" s="5">
        <f>IF(AND(Mercoledì!$A129&lt;&gt;"",Mercoledì!$A130&lt;&gt;""),Mercoledì!$F129+Mercoledì!$F130,0)</f>
        <v>0</v>
      </c>
      <c r="P66" s="5">
        <f>IF(AND(Mercoledì!$A129&lt;&gt;"",Mercoledì!$A130&lt;&gt;""),Mercoledì!$G129+Mercoledì!$G130,0)</f>
        <v>0</v>
      </c>
      <c r="Q66" s="5">
        <f>P66*Percentuali!$F$3</f>
        <v>0</v>
      </c>
      <c r="R66" s="5">
        <f>P66*Percentuali!$F$29</f>
        <v>0</v>
      </c>
      <c r="S66" s="34"/>
      <c r="T66" s="5" t="s">
        <v>84</v>
      </c>
      <c r="U66" s="5">
        <f>IF(AND(Giovedì!$A129&lt;&gt;"",Giovedì!$A130&lt;&gt;""),Giovedì!$F129+Giovedì!$F130,0)</f>
        <v>0</v>
      </c>
      <c r="V66" s="5">
        <f>IF(AND(Giovedì!$A129&lt;&gt;"",Giovedì!$A130&lt;&gt;""),Giovedì!$G129+Giovedì!$G130,0)</f>
        <v>0</v>
      </c>
      <c r="W66" s="5">
        <f>V66*Percentuali!$G$3</f>
        <v>0</v>
      </c>
      <c r="X66" s="5">
        <f>V66*Percentuali!$G$29</f>
        <v>0</v>
      </c>
      <c r="Y66" s="34"/>
      <c r="Z66" s="5" t="s">
        <v>84</v>
      </c>
      <c r="AA66" s="5">
        <f>IF(AND(Venerdì!$A129&lt;&gt;"",Venerdì!$A130&lt;&gt;""),Venerdì!$F129+Venerdì!$F130,0)</f>
        <v>0</v>
      </c>
      <c r="AB66" s="5">
        <f>IF(AND(Venerdì!$A129&lt;&gt;"",Venerdì!$A130&lt;&gt;""),Venerdì!$G129+Venerdì!$G130,0)</f>
        <v>0</v>
      </c>
      <c r="AC66" s="5">
        <f>AB66*Percentuali!$H$3</f>
        <v>0</v>
      </c>
      <c r="AD66" s="5">
        <f>AB66*Percentuali!$H$29</f>
        <v>0</v>
      </c>
      <c r="AE66" s="34"/>
      <c r="AF66" s="5" t="s">
        <v>84</v>
      </c>
      <c r="AG66" s="5">
        <f>IF(AND(Sabato!$A129&lt;&gt;"",Sabato!$A130&lt;&gt;""),Sabato!$F129+Sabato!$F130,0)</f>
        <v>0</v>
      </c>
      <c r="AH66" s="5">
        <f>IF(AND(Sabato!$A129&lt;&gt;"",Sabato!$A130&lt;&gt;""),Sabato!$G129+Sabato!$G130,0)</f>
        <v>0</v>
      </c>
      <c r="AI66" s="5">
        <f>AH66*Percentuali!$I$3</f>
        <v>0</v>
      </c>
      <c r="AJ66" s="5">
        <f>AH66*Percentuali!$I$29</f>
        <v>0</v>
      </c>
      <c r="AK66" s="34"/>
      <c r="AL66" s="5" t="s">
        <v>84</v>
      </c>
      <c r="AM66" s="5">
        <f>IF(AND(Domenica!$A129&lt;&gt;"",Domenica!$A130&lt;&gt;""),Domenica!$F129+Domenica!$F130,0)</f>
        <v>0</v>
      </c>
      <c r="AN66" s="5">
        <f>IF(AND(Domenica!$A129&lt;&gt;"",Domenica!$A130&lt;&gt;""),Domenica!$G129+Domenica!$G130,0)</f>
        <v>0</v>
      </c>
      <c r="AO66" s="5">
        <f>AN66*Percentuali!$C$3</f>
        <v>0</v>
      </c>
      <c r="AP66" s="5">
        <f>AN66*Percentuali!$C$29</f>
        <v>0</v>
      </c>
    </row>
    <row r="68" spans="2:42" x14ac:dyDescent="0.25">
      <c r="B68" s="38"/>
      <c r="C68" s="34"/>
      <c r="D68" s="34"/>
      <c r="H68" s="38"/>
      <c r="I68" s="34"/>
      <c r="J68" s="34"/>
      <c r="N68" s="38"/>
      <c r="O68" s="34"/>
      <c r="P68" s="34"/>
      <c r="T68" s="38"/>
      <c r="U68" s="34"/>
      <c r="V68" s="34"/>
      <c r="Z68" s="38"/>
      <c r="AA68" s="34"/>
      <c r="AB68" s="34"/>
      <c r="AF68" s="38"/>
      <c r="AG68" s="34"/>
      <c r="AH68" s="34"/>
      <c r="AL68" s="38"/>
      <c r="AM68" s="34"/>
      <c r="AN68" s="34"/>
    </row>
    <row r="69" spans="2:42" x14ac:dyDescent="0.25">
      <c r="B69" s="38"/>
      <c r="H69" s="38"/>
      <c r="N69" s="38"/>
      <c r="T69" s="38"/>
      <c r="Z69" s="38"/>
      <c r="AF69" s="38"/>
      <c r="AL69" s="38"/>
    </row>
    <row r="70" spans="2:42" x14ac:dyDescent="0.25">
      <c r="B70" s="38"/>
      <c r="C70" s="34"/>
      <c r="H70" s="38"/>
      <c r="I70" s="34"/>
      <c r="N70" s="38"/>
      <c r="O70" s="34"/>
      <c r="T70" s="38"/>
      <c r="U70" s="34"/>
      <c r="Z70" s="38"/>
      <c r="AA70" s="34"/>
      <c r="AF70" s="38"/>
      <c r="AG70" s="34"/>
      <c r="AL70" s="38"/>
      <c r="AM70" s="34"/>
    </row>
    <row r="71" spans="2:42" x14ac:dyDescent="0.25">
      <c r="B71" s="38"/>
      <c r="C71" s="34"/>
      <c r="H71" s="38"/>
      <c r="I71" s="34"/>
      <c r="N71" s="38"/>
      <c r="O71" s="34"/>
      <c r="T71" s="38"/>
      <c r="U71" s="34"/>
      <c r="Z71" s="38"/>
      <c r="AA71" s="34"/>
      <c r="AF71" s="38"/>
      <c r="AG71" s="34"/>
      <c r="AL71" s="38"/>
      <c r="AM71" s="34"/>
    </row>
    <row r="72" spans="2:42" x14ac:dyDescent="0.25">
      <c r="B72" s="38"/>
      <c r="H72" s="38"/>
      <c r="N72" s="38"/>
      <c r="T72" s="38"/>
      <c r="Z72" s="38"/>
      <c r="AF72" s="38"/>
      <c r="AL72" s="38"/>
    </row>
    <row r="73" spans="2:42" x14ac:dyDescent="0.25">
      <c r="B73" s="38"/>
      <c r="C73" s="34"/>
      <c r="H73" s="38"/>
      <c r="I73" s="34"/>
      <c r="N73" s="38"/>
      <c r="O73" s="34"/>
      <c r="T73" s="38"/>
      <c r="U73" s="34"/>
      <c r="Z73" s="38"/>
      <c r="AA73" s="34"/>
      <c r="AF73" s="38"/>
      <c r="AG73" s="34"/>
      <c r="AL73" s="38"/>
      <c r="AM73" s="34"/>
    </row>
    <row r="74" spans="2:42" x14ac:dyDescent="0.25">
      <c r="B74" s="38"/>
      <c r="C74" s="34"/>
      <c r="H74" s="38"/>
      <c r="I74" s="34"/>
      <c r="N74" s="38"/>
      <c r="O74" s="34"/>
      <c r="T74" s="38"/>
      <c r="U74" s="34"/>
      <c r="Z74" s="38"/>
      <c r="AA74" s="34"/>
      <c r="AF74" s="38"/>
      <c r="AG74" s="34"/>
      <c r="AL74" s="38"/>
      <c r="AM74" s="34"/>
    </row>
    <row r="115" spans="2:2" ht="15.75" x14ac:dyDescent="0.25">
      <c r="B115" s="23"/>
    </row>
    <row r="116" spans="2:2" ht="15.75" x14ac:dyDescent="0.25">
      <c r="B116" s="23"/>
    </row>
  </sheetData>
  <sheetProtection algorithmName="SHA-512" hashValue="4DrVX1+Fz67bVVJHNd61FA+AbtmIoXvmKTHNQlEOyU6Z+OXKuh1qeTguO99tZ7ghurv+1IcRfEZxwCg3SGCd9Q==" saltValue="SU2N5dLSrD9qt/ssDMBeLg==" spinCount="100000" sheet="1" objects="1" scenarios="1"/>
  <mergeCells count="7">
    <mergeCell ref="AF2:AJ2"/>
    <mergeCell ref="AL2:AP2"/>
    <mergeCell ref="B2:F2"/>
    <mergeCell ref="H2:L2"/>
    <mergeCell ref="N2:R2"/>
    <mergeCell ref="T2:X2"/>
    <mergeCell ref="Z2:AD2"/>
  </mergeCells>
  <phoneticPr fontId="6" type="noConversion"/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ascieLUN"/>
  <dimension ref="A1:N118"/>
  <sheetViews>
    <sheetView topLeftCell="A113" zoomScaleNormal="100"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630"/>
      <c r="C2" s="630"/>
      <c r="D2" s="35"/>
      <c r="E2" s="631"/>
      <c r="F2" s="631"/>
      <c r="G2" s="631"/>
      <c r="H2" s="631"/>
      <c r="I2" s="631"/>
      <c r="J2" s="35"/>
      <c r="K2" s="630"/>
      <c r="L2" s="630"/>
      <c r="M2" s="632"/>
      <c r="N2" s="632"/>
    </row>
    <row r="3" spans="1:14" ht="12.95" customHeight="1" x14ac:dyDescent="0.25">
      <c r="A3" s="630"/>
      <c r="B3" s="630"/>
      <c r="C3" s="630"/>
      <c r="D3" s="35"/>
      <c r="E3" s="631"/>
      <c r="F3" s="631"/>
      <c r="G3" s="631"/>
      <c r="H3" s="631"/>
      <c r="I3" s="631"/>
      <c r="J3" s="35"/>
      <c r="K3" s="630"/>
      <c r="L3" s="630"/>
      <c r="M3" s="633"/>
      <c r="N3" s="633"/>
    </row>
    <row r="4" spans="1:14" ht="0.75" customHeight="1" x14ac:dyDescent="0.25">
      <c r="A4" s="630"/>
      <c r="B4" s="630"/>
      <c r="C4" s="630"/>
      <c r="D4" s="35"/>
      <c r="E4" s="35"/>
      <c r="F4" s="35"/>
      <c r="G4" s="35"/>
      <c r="H4" s="35"/>
      <c r="I4" s="35"/>
      <c r="J4" s="35"/>
      <c r="K4" s="630"/>
      <c r="L4" s="630"/>
      <c r="M4" s="35"/>
      <c r="N4" s="35"/>
    </row>
    <row r="5" spans="1:14" ht="12.95" customHeight="1" x14ac:dyDescent="0.25">
      <c r="A5" s="35"/>
      <c r="B5" s="35"/>
      <c r="C5" s="35"/>
      <c r="D5" s="35"/>
      <c r="E5" s="631"/>
      <c r="F5" s="631"/>
      <c r="G5" s="631"/>
      <c r="H5" s="631"/>
      <c r="I5" s="631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634"/>
      <c r="B7" s="634"/>
      <c r="C7" s="634"/>
      <c r="D7" s="634"/>
      <c r="E7" s="634"/>
      <c r="F7" s="634"/>
      <c r="G7" s="634"/>
      <c r="H7" s="634"/>
      <c r="I7" s="634"/>
      <c r="J7" s="634"/>
      <c r="K7" s="634"/>
      <c r="L7" s="634"/>
      <c r="M7" s="634"/>
      <c r="N7" s="634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635"/>
      <c r="F9" s="635"/>
      <c r="G9" s="635"/>
      <c r="H9" s="635"/>
      <c r="I9" s="635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626" t="s">
        <v>86</v>
      </c>
      <c r="B11" s="626"/>
      <c r="C11" s="626"/>
      <c r="D11" s="626"/>
      <c r="E11" s="626"/>
      <c r="F11" s="329" t="s">
        <v>330</v>
      </c>
      <c r="G11" s="329" t="s">
        <v>299</v>
      </c>
      <c r="H11" s="627"/>
      <c r="I11" s="627"/>
      <c r="J11" s="627"/>
      <c r="K11" s="627"/>
      <c r="L11" s="627"/>
      <c r="M11" s="627"/>
      <c r="N11" s="35"/>
    </row>
    <row r="12" spans="1:14" ht="18.2" customHeight="1" x14ac:dyDescent="0.25">
      <c r="A12" s="628" t="s">
        <v>87</v>
      </c>
      <c r="B12" s="628"/>
      <c r="C12" s="628"/>
      <c r="D12" s="628"/>
      <c r="E12" s="628"/>
      <c r="F12" s="37"/>
      <c r="G12" s="37"/>
      <c r="H12" s="629"/>
      <c r="I12" s="629"/>
      <c r="J12" s="629"/>
      <c r="K12" s="629"/>
      <c r="L12" s="629"/>
      <c r="M12" s="629"/>
      <c r="N12" s="35"/>
    </row>
    <row r="13" spans="1:14" ht="18.2" customHeight="1" x14ac:dyDescent="0.25">
      <c r="A13" s="628" t="s">
        <v>88</v>
      </c>
      <c r="B13" s="628"/>
      <c r="C13" s="628"/>
      <c r="D13" s="628"/>
      <c r="E13" s="628"/>
      <c r="F13" s="37"/>
      <c r="G13" s="37"/>
      <c r="H13" s="629"/>
      <c r="I13" s="629"/>
      <c r="J13" s="629"/>
      <c r="K13" s="629"/>
      <c r="L13" s="629"/>
      <c r="M13" s="629"/>
      <c r="N13" s="35"/>
    </row>
    <row r="14" spans="1:14" ht="18.2" customHeight="1" x14ac:dyDescent="0.25">
      <c r="A14" s="628" t="s">
        <v>89</v>
      </c>
      <c r="B14" s="628"/>
      <c r="C14" s="628"/>
      <c r="D14" s="628"/>
      <c r="E14" s="628"/>
      <c r="F14" s="37"/>
      <c r="G14" s="37"/>
      <c r="H14" s="629"/>
      <c r="I14" s="629"/>
      <c r="J14" s="629"/>
      <c r="K14" s="629"/>
      <c r="L14" s="629"/>
      <c r="M14" s="629"/>
      <c r="N14" s="35"/>
    </row>
    <row r="15" spans="1:14" ht="18.2" customHeight="1" x14ac:dyDescent="0.25">
      <c r="A15" s="628" t="s">
        <v>90</v>
      </c>
      <c r="B15" s="628"/>
      <c r="C15" s="628"/>
      <c r="D15" s="628"/>
      <c r="E15" s="628"/>
      <c r="F15" s="37"/>
      <c r="G15" s="37"/>
      <c r="H15" s="629"/>
      <c r="I15" s="629"/>
      <c r="J15" s="629"/>
      <c r="K15" s="629"/>
      <c r="L15" s="629"/>
      <c r="M15" s="629"/>
      <c r="N15" s="35"/>
    </row>
    <row r="16" spans="1:14" ht="18.2" customHeight="1" x14ac:dyDescent="0.25">
      <c r="A16" s="628"/>
      <c r="B16" s="628"/>
      <c r="C16" s="628"/>
      <c r="D16" s="628"/>
      <c r="E16" s="628"/>
      <c r="F16" s="37"/>
      <c r="G16" s="37"/>
      <c r="H16" s="629"/>
      <c r="I16" s="629"/>
      <c r="J16" s="629"/>
      <c r="K16" s="629"/>
      <c r="L16" s="629"/>
      <c r="M16" s="629"/>
      <c r="N16" s="35"/>
    </row>
    <row r="17" spans="1:14" ht="18.2" customHeight="1" x14ac:dyDescent="0.25">
      <c r="A17" s="628" t="s">
        <v>91</v>
      </c>
      <c r="B17" s="628"/>
      <c r="C17" s="628"/>
      <c r="D17" s="628"/>
      <c r="E17" s="628"/>
      <c r="F17" s="37"/>
      <c r="G17" s="37"/>
      <c r="H17" s="629"/>
      <c r="I17" s="629"/>
      <c r="J17" s="629"/>
      <c r="K17" s="629"/>
      <c r="L17" s="629"/>
      <c r="M17" s="629"/>
      <c r="N17" s="35"/>
    </row>
    <row r="18" spans="1:14" ht="18.2" customHeight="1" x14ac:dyDescent="0.25">
      <c r="A18" s="628" t="s">
        <v>92</v>
      </c>
      <c r="B18" s="628"/>
      <c r="C18" s="628"/>
      <c r="D18" s="628"/>
      <c r="E18" s="628"/>
      <c r="F18" s="37"/>
      <c r="G18" s="37"/>
      <c r="H18" s="629"/>
      <c r="I18" s="629"/>
      <c r="J18" s="629"/>
      <c r="K18" s="629"/>
      <c r="L18" s="629"/>
      <c r="M18" s="629"/>
      <c r="N18" s="35"/>
    </row>
    <row r="19" spans="1:14" ht="18.2" customHeight="1" x14ac:dyDescent="0.25">
      <c r="A19" s="628" t="s">
        <v>93</v>
      </c>
      <c r="B19" s="628"/>
      <c r="C19" s="628"/>
      <c r="D19" s="628"/>
      <c r="E19" s="628"/>
      <c r="F19" s="37"/>
      <c r="G19" s="37"/>
      <c r="H19" s="629"/>
      <c r="I19" s="629"/>
      <c r="J19" s="629"/>
      <c r="K19" s="629"/>
      <c r="L19" s="629"/>
      <c r="M19" s="629"/>
      <c r="N19" s="35"/>
    </row>
    <row r="20" spans="1:14" ht="18.2" customHeight="1" x14ac:dyDescent="0.25">
      <c r="A20" s="628" t="s">
        <v>94</v>
      </c>
      <c r="B20" s="628"/>
      <c r="C20" s="628"/>
      <c r="D20" s="628"/>
      <c r="E20" s="628"/>
      <c r="F20" s="37"/>
      <c r="G20" s="37"/>
      <c r="H20" s="629"/>
      <c r="I20" s="629"/>
      <c r="J20" s="629"/>
      <c r="K20" s="629"/>
      <c r="L20" s="629"/>
      <c r="M20" s="629"/>
      <c r="N20" s="35"/>
    </row>
    <row r="21" spans="1:14" ht="18.2" customHeight="1" x14ac:dyDescent="0.25">
      <c r="A21" s="628"/>
      <c r="B21" s="628"/>
      <c r="C21" s="628"/>
      <c r="D21" s="628"/>
      <c r="E21" s="628"/>
      <c r="F21" s="37"/>
      <c r="G21" s="37"/>
      <c r="H21" s="629"/>
      <c r="I21" s="629"/>
      <c r="J21" s="629"/>
      <c r="K21" s="629"/>
      <c r="L21" s="629"/>
      <c r="M21" s="629"/>
      <c r="N21" s="35"/>
    </row>
    <row r="22" spans="1:14" ht="18.2" customHeight="1" x14ac:dyDescent="0.25">
      <c r="A22" s="628" t="s">
        <v>95</v>
      </c>
      <c r="B22" s="628"/>
      <c r="C22" s="628"/>
      <c r="D22" s="628"/>
      <c r="E22" s="628"/>
      <c r="F22" s="37"/>
      <c r="G22" s="37"/>
      <c r="H22" s="629"/>
      <c r="I22" s="629"/>
      <c r="J22" s="629"/>
      <c r="K22" s="629"/>
      <c r="L22" s="629"/>
      <c r="M22" s="629"/>
      <c r="N22" s="35"/>
    </row>
    <row r="23" spans="1:14" ht="18.2" customHeight="1" x14ac:dyDescent="0.25">
      <c r="A23" s="628" t="s">
        <v>96</v>
      </c>
      <c r="B23" s="628"/>
      <c r="C23" s="628"/>
      <c r="D23" s="628"/>
      <c r="E23" s="628"/>
      <c r="F23" s="37"/>
      <c r="G23" s="37"/>
      <c r="H23" s="629"/>
      <c r="I23" s="629"/>
      <c r="J23" s="629"/>
      <c r="K23" s="629"/>
      <c r="L23" s="629"/>
      <c r="M23" s="629"/>
      <c r="N23" s="35"/>
    </row>
    <row r="24" spans="1:14" ht="18.2" customHeight="1" x14ac:dyDescent="0.25">
      <c r="A24" s="628" t="s">
        <v>97</v>
      </c>
      <c r="B24" s="628"/>
      <c r="C24" s="628"/>
      <c r="D24" s="628"/>
      <c r="E24" s="628"/>
      <c r="F24" s="37"/>
      <c r="G24" s="37"/>
      <c r="H24" s="629"/>
      <c r="I24" s="629"/>
      <c r="J24" s="629"/>
      <c r="K24" s="629"/>
      <c r="L24" s="629"/>
      <c r="M24" s="629"/>
      <c r="N24" s="35"/>
    </row>
    <row r="25" spans="1:14" ht="18.2" customHeight="1" x14ac:dyDescent="0.25">
      <c r="A25" s="628" t="s">
        <v>98</v>
      </c>
      <c r="B25" s="628"/>
      <c r="C25" s="628"/>
      <c r="D25" s="628"/>
      <c r="E25" s="628"/>
      <c r="F25" s="37"/>
      <c r="G25" s="37"/>
      <c r="H25" s="629"/>
      <c r="I25" s="629"/>
      <c r="J25" s="629"/>
      <c r="K25" s="629"/>
      <c r="L25" s="629"/>
      <c r="M25" s="629"/>
      <c r="N25" s="35"/>
    </row>
    <row r="26" spans="1:14" ht="18.2" customHeight="1" x14ac:dyDescent="0.25">
      <c r="A26" s="628"/>
      <c r="B26" s="628"/>
      <c r="C26" s="628"/>
      <c r="D26" s="628"/>
      <c r="E26" s="628"/>
      <c r="F26" s="37"/>
      <c r="G26" s="37"/>
      <c r="H26" s="629"/>
      <c r="I26" s="629"/>
      <c r="J26" s="629"/>
      <c r="K26" s="629"/>
      <c r="L26" s="629"/>
      <c r="M26" s="629"/>
      <c r="N26" s="35"/>
    </row>
    <row r="27" spans="1:14" ht="18.2" customHeight="1" x14ac:dyDescent="0.25">
      <c r="A27" s="628" t="s">
        <v>99</v>
      </c>
      <c r="B27" s="628"/>
      <c r="C27" s="628"/>
      <c r="D27" s="628"/>
      <c r="E27" s="628"/>
      <c r="F27" s="37"/>
      <c r="G27" s="37"/>
      <c r="H27" s="629"/>
      <c r="I27" s="629"/>
      <c r="J27" s="629"/>
      <c r="K27" s="629"/>
      <c r="L27" s="629"/>
      <c r="M27" s="629"/>
      <c r="N27" s="35"/>
    </row>
    <row r="28" spans="1:14" ht="18.2" customHeight="1" x14ac:dyDescent="0.25">
      <c r="A28" s="628" t="s">
        <v>100</v>
      </c>
      <c r="B28" s="628"/>
      <c r="C28" s="628"/>
      <c r="D28" s="628"/>
      <c r="E28" s="628"/>
      <c r="F28" s="37"/>
      <c r="G28" s="37"/>
      <c r="H28" s="629"/>
      <c r="I28" s="629"/>
      <c r="J28" s="629"/>
      <c r="K28" s="629"/>
      <c r="L28" s="629"/>
      <c r="M28" s="629"/>
      <c r="N28" s="35"/>
    </row>
    <row r="29" spans="1:14" ht="18.2" customHeight="1" x14ac:dyDescent="0.25">
      <c r="A29" s="628" t="s">
        <v>101</v>
      </c>
      <c r="B29" s="628"/>
      <c r="C29" s="628"/>
      <c r="D29" s="628"/>
      <c r="E29" s="628"/>
      <c r="F29" s="37"/>
      <c r="G29" s="37"/>
      <c r="H29" s="629"/>
      <c r="I29" s="629"/>
      <c r="J29" s="629"/>
      <c r="K29" s="629"/>
      <c r="L29" s="629"/>
      <c r="M29" s="629"/>
      <c r="N29" s="35"/>
    </row>
    <row r="30" spans="1:14" ht="18.2" customHeight="1" x14ac:dyDescent="0.25">
      <c r="A30" s="628" t="s">
        <v>102</v>
      </c>
      <c r="B30" s="628"/>
      <c r="C30" s="628"/>
      <c r="D30" s="628"/>
      <c r="E30" s="628"/>
      <c r="F30" s="37"/>
      <c r="G30" s="37"/>
      <c r="H30" s="629"/>
      <c r="I30" s="629"/>
      <c r="J30" s="629"/>
      <c r="K30" s="629"/>
      <c r="L30" s="629"/>
      <c r="M30" s="629"/>
      <c r="N30" s="35"/>
    </row>
    <row r="31" spans="1:14" ht="18.2" customHeight="1" x14ac:dyDescent="0.25">
      <c r="A31" s="628"/>
      <c r="B31" s="628"/>
      <c r="C31" s="628"/>
      <c r="D31" s="628"/>
      <c r="E31" s="628"/>
      <c r="F31" s="37"/>
      <c r="G31" s="37"/>
      <c r="H31" s="629"/>
      <c r="I31" s="629"/>
      <c r="J31" s="629"/>
      <c r="K31" s="629"/>
      <c r="L31" s="629"/>
      <c r="M31" s="629"/>
      <c r="N31" s="35"/>
    </row>
    <row r="32" spans="1:14" ht="18.2" customHeight="1" x14ac:dyDescent="0.25">
      <c r="A32" s="628" t="s">
        <v>103</v>
      </c>
      <c r="B32" s="628"/>
      <c r="C32" s="628"/>
      <c r="D32" s="628"/>
      <c r="E32" s="628"/>
      <c r="F32" s="37"/>
      <c r="G32" s="37"/>
      <c r="H32" s="629"/>
      <c r="I32" s="629"/>
      <c r="J32" s="629"/>
      <c r="K32" s="629"/>
      <c r="L32" s="629"/>
      <c r="M32" s="629"/>
      <c r="N32" s="35"/>
    </row>
    <row r="33" spans="1:14" ht="18.2" customHeight="1" x14ac:dyDescent="0.25">
      <c r="A33" s="628" t="s">
        <v>104</v>
      </c>
      <c r="B33" s="628"/>
      <c r="C33" s="628"/>
      <c r="D33" s="628"/>
      <c r="E33" s="628"/>
      <c r="F33" s="37"/>
      <c r="G33" s="37"/>
      <c r="H33" s="629"/>
      <c r="I33" s="629"/>
      <c r="J33" s="629"/>
      <c r="K33" s="629"/>
      <c r="L33" s="629"/>
      <c r="M33" s="629"/>
      <c r="N33" s="35"/>
    </row>
    <row r="34" spans="1:14" ht="18.2" customHeight="1" x14ac:dyDescent="0.25">
      <c r="A34" s="628" t="s">
        <v>105</v>
      </c>
      <c r="B34" s="628"/>
      <c r="C34" s="628"/>
      <c r="D34" s="628"/>
      <c r="E34" s="628"/>
      <c r="F34" s="37"/>
      <c r="G34" s="37"/>
      <c r="H34" s="629"/>
      <c r="I34" s="629"/>
      <c r="J34" s="629"/>
      <c r="K34" s="629"/>
      <c r="L34" s="629"/>
      <c r="M34" s="629"/>
      <c r="N34" s="35"/>
    </row>
    <row r="35" spans="1:14" ht="18.2" customHeight="1" x14ac:dyDescent="0.25">
      <c r="A35" s="628" t="s">
        <v>106</v>
      </c>
      <c r="B35" s="628"/>
      <c r="C35" s="628"/>
      <c r="D35" s="628"/>
      <c r="E35" s="628"/>
      <c r="F35" s="37"/>
      <c r="G35" s="37"/>
      <c r="H35" s="629"/>
      <c r="I35" s="629"/>
      <c r="J35" s="629"/>
      <c r="K35" s="629"/>
      <c r="L35" s="629"/>
      <c r="M35" s="629"/>
      <c r="N35" s="35"/>
    </row>
    <row r="36" spans="1:14" ht="18.2" customHeight="1" x14ac:dyDescent="0.25">
      <c r="A36" s="628"/>
      <c r="B36" s="628"/>
      <c r="C36" s="628"/>
      <c r="D36" s="628"/>
      <c r="E36" s="628"/>
      <c r="F36" s="37"/>
      <c r="G36" s="37"/>
      <c r="H36" s="629"/>
      <c r="I36" s="629"/>
      <c r="J36" s="629"/>
      <c r="K36" s="629"/>
      <c r="L36" s="629"/>
      <c r="M36" s="629"/>
      <c r="N36" s="35"/>
    </row>
    <row r="37" spans="1:14" ht="18.2" customHeight="1" x14ac:dyDescent="0.25">
      <c r="A37" s="628" t="s">
        <v>107</v>
      </c>
      <c r="B37" s="628"/>
      <c r="C37" s="628"/>
      <c r="D37" s="628"/>
      <c r="E37" s="628"/>
      <c r="F37" s="37"/>
      <c r="G37" s="37"/>
      <c r="H37" s="629"/>
      <c r="I37" s="629"/>
      <c r="J37" s="629"/>
      <c r="K37" s="629"/>
      <c r="L37" s="629"/>
      <c r="M37" s="629"/>
      <c r="N37" s="35"/>
    </row>
    <row r="38" spans="1:14" ht="18.2" customHeight="1" x14ac:dyDescent="0.25">
      <c r="A38" s="628" t="s">
        <v>108</v>
      </c>
      <c r="B38" s="628"/>
      <c r="C38" s="628"/>
      <c r="D38" s="628"/>
      <c r="E38" s="628"/>
      <c r="F38" s="37"/>
      <c r="G38" s="37"/>
      <c r="H38" s="629"/>
      <c r="I38" s="629"/>
      <c r="J38" s="629"/>
      <c r="K38" s="629"/>
      <c r="L38" s="629"/>
      <c r="M38" s="629"/>
      <c r="N38" s="35"/>
    </row>
    <row r="39" spans="1:14" ht="18.2" customHeight="1" x14ac:dyDescent="0.25">
      <c r="A39" s="628" t="s">
        <v>109</v>
      </c>
      <c r="B39" s="628"/>
      <c r="C39" s="628"/>
      <c r="D39" s="628"/>
      <c r="E39" s="628"/>
      <c r="F39" s="37"/>
      <c r="G39" s="37"/>
      <c r="H39" s="629"/>
      <c r="I39" s="629"/>
      <c r="J39" s="629"/>
      <c r="K39" s="629"/>
      <c r="L39" s="629"/>
      <c r="M39" s="629"/>
      <c r="N39" s="35"/>
    </row>
    <row r="40" spans="1:14" ht="18.2" customHeight="1" x14ac:dyDescent="0.25">
      <c r="A40" s="628" t="s">
        <v>110</v>
      </c>
      <c r="B40" s="628"/>
      <c r="C40" s="628"/>
      <c r="D40" s="628"/>
      <c r="E40" s="628"/>
      <c r="F40" s="37"/>
      <c r="G40" s="37"/>
      <c r="H40" s="629"/>
      <c r="I40" s="629"/>
      <c r="J40" s="629"/>
      <c r="K40" s="629"/>
      <c r="L40" s="629"/>
      <c r="M40" s="629"/>
      <c r="N40" s="35"/>
    </row>
    <row r="41" spans="1:14" ht="18.2" customHeight="1" x14ac:dyDescent="0.25">
      <c r="A41" s="628"/>
      <c r="B41" s="628"/>
      <c r="C41" s="628"/>
      <c r="D41" s="628"/>
      <c r="E41" s="628"/>
      <c r="F41" s="37"/>
      <c r="G41" s="37"/>
      <c r="H41" s="629"/>
      <c r="I41" s="629"/>
      <c r="J41" s="629"/>
      <c r="K41" s="629"/>
      <c r="L41" s="629"/>
      <c r="M41" s="629"/>
      <c r="N41" s="35"/>
    </row>
    <row r="42" spans="1:14" ht="18.2" customHeight="1" x14ac:dyDescent="0.25">
      <c r="A42" s="628" t="s">
        <v>111</v>
      </c>
      <c r="B42" s="628"/>
      <c r="C42" s="628"/>
      <c r="D42" s="628"/>
      <c r="E42" s="628"/>
      <c r="F42" s="37"/>
      <c r="G42" s="37"/>
      <c r="H42" s="629"/>
      <c r="I42" s="629"/>
      <c r="J42" s="629"/>
      <c r="K42" s="629"/>
      <c r="L42" s="629"/>
      <c r="M42" s="629"/>
      <c r="N42" s="35"/>
    </row>
    <row r="43" spans="1:14" ht="18.2" customHeight="1" x14ac:dyDescent="0.25">
      <c r="A43" s="628" t="s">
        <v>112</v>
      </c>
      <c r="B43" s="628"/>
      <c r="C43" s="628"/>
      <c r="D43" s="628"/>
      <c r="E43" s="628"/>
      <c r="F43" s="37"/>
      <c r="G43" s="37"/>
      <c r="H43" s="629"/>
      <c r="I43" s="629"/>
      <c r="J43" s="629"/>
      <c r="K43" s="629"/>
      <c r="L43" s="629"/>
      <c r="M43" s="629"/>
      <c r="N43" s="35"/>
    </row>
    <row r="44" spans="1:14" ht="18.2" customHeight="1" x14ac:dyDescent="0.25">
      <c r="A44" s="628" t="s">
        <v>113</v>
      </c>
      <c r="B44" s="628"/>
      <c r="C44" s="628"/>
      <c r="D44" s="628"/>
      <c r="E44" s="628"/>
      <c r="F44" s="37"/>
      <c r="G44" s="37"/>
      <c r="H44" s="629"/>
      <c r="I44" s="629"/>
      <c r="J44" s="629"/>
      <c r="K44" s="629"/>
      <c r="L44" s="629"/>
      <c r="M44" s="629"/>
      <c r="N44" s="35"/>
    </row>
    <row r="45" spans="1:14" ht="18.2" customHeight="1" x14ac:dyDescent="0.25">
      <c r="A45" s="628" t="s">
        <v>114</v>
      </c>
      <c r="B45" s="628"/>
      <c r="C45" s="628"/>
      <c r="D45" s="628"/>
      <c r="E45" s="628"/>
      <c r="F45" s="37"/>
      <c r="G45" s="37"/>
      <c r="H45" s="629"/>
      <c r="I45" s="629"/>
      <c r="J45" s="629"/>
      <c r="K45" s="629"/>
      <c r="L45" s="629"/>
      <c r="M45" s="629"/>
      <c r="N45" s="35"/>
    </row>
    <row r="46" spans="1:14" ht="18.2" customHeight="1" x14ac:dyDescent="0.25">
      <c r="A46" s="628"/>
      <c r="B46" s="628"/>
      <c r="C46" s="628"/>
      <c r="D46" s="628"/>
      <c r="E46" s="628"/>
      <c r="F46" s="37"/>
      <c r="G46" s="37"/>
      <c r="H46" s="629"/>
      <c r="I46" s="629"/>
      <c r="J46" s="629"/>
      <c r="K46" s="629"/>
      <c r="L46" s="629"/>
      <c r="M46" s="629"/>
      <c r="N46" s="35"/>
    </row>
    <row r="47" spans="1:14" ht="18.2" customHeight="1" x14ac:dyDescent="0.25">
      <c r="A47" s="628" t="s">
        <v>115</v>
      </c>
      <c r="B47" s="628"/>
      <c r="C47" s="628"/>
      <c r="D47" s="628"/>
      <c r="E47" s="628"/>
      <c r="F47" s="37"/>
      <c r="G47" s="37"/>
      <c r="H47" s="629"/>
      <c r="I47" s="629"/>
      <c r="J47" s="629"/>
      <c r="K47" s="629"/>
      <c r="L47" s="629"/>
      <c r="M47" s="629"/>
      <c r="N47" s="35"/>
    </row>
    <row r="48" spans="1:14" ht="18.2" customHeight="1" x14ac:dyDescent="0.25">
      <c r="A48" s="628" t="s">
        <v>116</v>
      </c>
      <c r="B48" s="628"/>
      <c r="C48" s="628"/>
      <c r="D48" s="628"/>
      <c r="E48" s="628"/>
      <c r="F48" s="37"/>
      <c r="G48" s="37"/>
      <c r="H48" s="629"/>
      <c r="I48" s="629"/>
      <c r="J48" s="629"/>
      <c r="K48" s="629"/>
      <c r="L48" s="629"/>
      <c r="M48" s="629"/>
      <c r="N48" s="35"/>
    </row>
    <row r="49" spans="1:14" ht="18.2" customHeight="1" x14ac:dyDescent="0.25">
      <c r="A49" s="628" t="s">
        <v>117</v>
      </c>
      <c r="B49" s="628"/>
      <c r="C49" s="628"/>
      <c r="D49" s="628"/>
      <c r="E49" s="628"/>
      <c r="F49" s="37"/>
      <c r="G49" s="37"/>
      <c r="H49" s="629"/>
      <c r="I49" s="629"/>
      <c r="J49" s="629"/>
      <c r="K49" s="629"/>
      <c r="L49" s="629"/>
      <c r="M49" s="629"/>
      <c r="N49" s="35"/>
    </row>
    <row r="50" spans="1:14" ht="18.2" customHeight="1" x14ac:dyDescent="0.25">
      <c r="A50" s="628" t="s">
        <v>118</v>
      </c>
      <c r="B50" s="628"/>
      <c r="C50" s="628"/>
      <c r="D50" s="628"/>
      <c r="E50" s="628"/>
      <c r="F50" s="37"/>
      <c r="G50" s="37"/>
      <c r="H50" s="629"/>
      <c r="I50" s="629"/>
      <c r="J50" s="629"/>
      <c r="K50" s="629"/>
      <c r="L50" s="629"/>
      <c r="M50" s="629"/>
      <c r="N50" s="35"/>
    </row>
    <row r="51" spans="1:14" ht="18.2" customHeight="1" x14ac:dyDescent="0.25">
      <c r="A51" s="628"/>
      <c r="B51" s="628"/>
      <c r="C51" s="628"/>
      <c r="D51" s="628"/>
      <c r="E51" s="628"/>
      <c r="F51" s="37"/>
      <c r="G51" s="37"/>
      <c r="H51" s="629"/>
      <c r="I51" s="629"/>
      <c r="J51" s="629"/>
      <c r="K51" s="629"/>
      <c r="L51" s="629"/>
      <c r="M51" s="629"/>
      <c r="N51" s="35"/>
    </row>
    <row r="52" spans="1:14" ht="18.2" customHeight="1" x14ac:dyDescent="0.25">
      <c r="A52" s="628" t="s">
        <v>119</v>
      </c>
      <c r="B52" s="628"/>
      <c r="C52" s="628"/>
      <c r="D52" s="628"/>
      <c r="E52" s="628"/>
      <c r="F52" s="37"/>
      <c r="G52" s="37"/>
      <c r="H52" s="629"/>
      <c r="I52" s="629"/>
      <c r="J52" s="629"/>
      <c r="K52" s="629"/>
      <c r="L52" s="629"/>
      <c r="M52" s="629"/>
      <c r="N52" s="35"/>
    </row>
    <row r="53" spans="1:14" ht="18.2" customHeight="1" x14ac:dyDescent="0.25">
      <c r="A53" s="628" t="s">
        <v>120</v>
      </c>
      <c r="B53" s="628"/>
      <c r="C53" s="628"/>
      <c r="D53" s="628"/>
      <c r="E53" s="628"/>
      <c r="F53" s="37"/>
      <c r="G53" s="37"/>
      <c r="H53" s="629"/>
      <c r="I53" s="629"/>
      <c r="J53" s="629"/>
      <c r="K53" s="629"/>
      <c r="L53" s="629"/>
      <c r="M53" s="629"/>
      <c r="N53" s="35"/>
    </row>
    <row r="54" spans="1:14" ht="18.2" customHeight="1" x14ac:dyDescent="0.25">
      <c r="A54" s="628" t="s">
        <v>121</v>
      </c>
      <c r="B54" s="628"/>
      <c r="C54" s="628"/>
      <c r="D54" s="628"/>
      <c r="E54" s="628"/>
      <c r="F54" s="37"/>
      <c r="G54" s="37"/>
      <c r="H54" s="629"/>
      <c r="I54" s="629"/>
      <c r="J54" s="629"/>
      <c r="K54" s="629"/>
      <c r="L54" s="629"/>
      <c r="M54" s="629"/>
      <c r="N54" s="35"/>
    </row>
    <row r="55" spans="1:14" ht="18.2" customHeight="1" x14ac:dyDescent="0.25">
      <c r="A55" s="628" t="s">
        <v>122</v>
      </c>
      <c r="B55" s="628"/>
      <c r="C55" s="628"/>
      <c r="D55" s="628"/>
      <c r="E55" s="628"/>
      <c r="F55" s="37"/>
      <c r="G55" s="37"/>
      <c r="H55" s="629"/>
      <c r="I55" s="629"/>
      <c r="J55" s="629"/>
      <c r="K55" s="629"/>
      <c r="L55" s="629"/>
      <c r="M55" s="629"/>
      <c r="N55" s="35"/>
    </row>
    <row r="56" spans="1:14" ht="18.2" customHeight="1" x14ac:dyDescent="0.25">
      <c r="A56" s="628"/>
      <c r="B56" s="628"/>
      <c r="C56" s="628"/>
      <c r="D56" s="628"/>
      <c r="E56" s="628"/>
      <c r="F56" s="37"/>
      <c r="G56" s="37"/>
      <c r="H56" s="629"/>
      <c r="I56" s="629"/>
      <c r="J56" s="629"/>
      <c r="K56" s="629"/>
      <c r="L56" s="629"/>
      <c r="M56" s="629"/>
      <c r="N56" s="35"/>
    </row>
    <row r="57" spans="1:14" ht="18.2" customHeight="1" x14ac:dyDescent="0.25">
      <c r="A57" s="628" t="s">
        <v>123</v>
      </c>
      <c r="B57" s="628"/>
      <c r="C57" s="628"/>
      <c r="D57" s="628"/>
      <c r="E57" s="628"/>
      <c r="F57" s="37"/>
      <c r="G57" s="37"/>
      <c r="H57" s="629"/>
      <c r="I57" s="629"/>
      <c r="J57" s="629"/>
      <c r="K57" s="629"/>
      <c r="L57" s="629"/>
      <c r="M57" s="629"/>
      <c r="N57" s="35"/>
    </row>
    <row r="58" spans="1:14" ht="18.2" customHeight="1" x14ac:dyDescent="0.25">
      <c r="A58" s="628" t="s">
        <v>124</v>
      </c>
      <c r="B58" s="628"/>
      <c r="C58" s="628"/>
      <c r="D58" s="628"/>
      <c r="E58" s="628"/>
      <c r="F58" s="37"/>
      <c r="G58" s="37"/>
      <c r="H58" s="629"/>
      <c r="I58" s="629"/>
      <c r="J58" s="629"/>
      <c r="K58" s="629"/>
      <c r="L58" s="629"/>
      <c r="M58" s="629"/>
      <c r="N58" s="35"/>
    </row>
    <row r="59" spans="1:14" ht="18.2" customHeight="1" x14ac:dyDescent="0.25">
      <c r="A59" s="628" t="s">
        <v>125</v>
      </c>
      <c r="B59" s="628"/>
      <c r="C59" s="628"/>
      <c r="D59" s="628"/>
      <c r="E59" s="628"/>
      <c r="F59" s="37"/>
      <c r="G59" s="37"/>
      <c r="H59" s="629"/>
      <c r="I59" s="629"/>
      <c r="J59" s="629"/>
      <c r="K59" s="629"/>
      <c r="L59" s="629"/>
      <c r="M59" s="629"/>
      <c r="N59" s="35"/>
    </row>
    <row r="60" spans="1:14" ht="18.2" customHeight="1" x14ac:dyDescent="0.25">
      <c r="A60" s="628" t="s">
        <v>126</v>
      </c>
      <c r="B60" s="628"/>
      <c r="C60" s="628"/>
      <c r="D60" s="628"/>
      <c r="E60" s="628"/>
      <c r="F60" s="37"/>
      <c r="G60" s="37"/>
      <c r="H60" s="629"/>
      <c r="I60" s="629"/>
      <c r="J60" s="629"/>
      <c r="K60" s="629"/>
      <c r="L60" s="629"/>
      <c r="M60" s="629"/>
      <c r="N60" s="35"/>
    </row>
    <row r="61" spans="1:14" ht="18.2" customHeight="1" x14ac:dyDescent="0.25">
      <c r="A61" s="628"/>
      <c r="B61" s="628"/>
      <c r="C61" s="628"/>
      <c r="D61" s="628"/>
      <c r="E61" s="628"/>
      <c r="F61" s="37"/>
      <c r="G61" s="37"/>
      <c r="H61" s="629"/>
      <c r="I61" s="629"/>
      <c r="J61" s="629"/>
      <c r="K61" s="629"/>
      <c r="L61" s="629"/>
      <c r="M61" s="629"/>
      <c r="N61" s="35"/>
    </row>
    <row r="62" spans="1:14" ht="18.2" customHeight="1" x14ac:dyDescent="0.25">
      <c r="A62" s="628" t="s">
        <v>127</v>
      </c>
      <c r="B62" s="628"/>
      <c r="C62" s="628"/>
      <c r="D62" s="628"/>
      <c r="E62" s="628"/>
      <c r="F62" s="37"/>
      <c r="G62" s="37"/>
      <c r="H62" s="629"/>
      <c r="I62" s="629"/>
      <c r="J62" s="629"/>
      <c r="K62" s="629"/>
      <c r="L62" s="629"/>
      <c r="M62" s="629"/>
      <c r="N62" s="35"/>
    </row>
    <row r="63" spans="1:14" ht="18.2" customHeight="1" x14ac:dyDescent="0.25">
      <c r="A63" s="628" t="s">
        <v>128</v>
      </c>
      <c r="B63" s="628"/>
      <c r="C63" s="628"/>
      <c r="D63" s="628"/>
      <c r="E63" s="628"/>
      <c r="F63" s="37"/>
      <c r="G63" s="37"/>
      <c r="H63" s="629"/>
      <c r="I63" s="629"/>
      <c r="J63" s="629"/>
      <c r="K63" s="629"/>
      <c r="L63" s="629"/>
      <c r="M63" s="629"/>
      <c r="N63" s="35"/>
    </row>
    <row r="64" spans="1:14" ht="18.2" customHeight="1" x14ac:dyDescent="0.25">
      <c r="A64" s="628" t="s">
        <v>129</v>
      </c>
      <c r="B64" s="628"/>
      <c r="C64" s="628"/>
      <c r="D64" s="628"/>
      <c r="E64" s="628"/>
      <c r="F64" s="37"/>
      <c r="G64" s="37"/>
      <c r="H64" s="629"/>
      <c r="I64" s="629"/>
      <c r="J64" s="629"/>
      <c r="K64" s="629"/>
      <c r="L64" s="629"/>
      <c r="M64" s="629"/>
      <c r="N64" s="35"/>
    </row>
    <row r="65" spans="1:14" ht="18.2" customHeight="1" x14ac:dyDescent="0.25">
      <c r="A65" s="628" t="s">
        <v>130</v>
      </c>
      <c r="B65" s="628"/>
      <c r="C65" s="628"/>
      <c r="D65" s="628"/>
      <c r="E65" s="628"/>
      <c r="F65" s="37"/>
      <c r="G65" s="37"/>
      <c r="H65" s="629"/>
      <c r="I65" s="629"/>
      <c r="J65" s="629"/>
      <c r="K65" s="629"/>
      <c r="L65" s="629"/>
      <c r="M65" s="629"/>
      <c r="N65" s="35"/>
    </row>
    <row r="66" spans="1:14" ht="18.2" customHeight="1" x14ac:dyDescent="0.25">
      <c r="A66" s="628"/>
      <c r="B66" s="628"/>
      <c r="C66" s="628"/>
      <c r="D66" s="628"/>
      <c r="E66" s="628"/>
      <c r="F66" s="37"/>
      <c r="G66" s="37"/>
      <c r="H66" s="629"/>
      <c r="I66" s="629"/>
      <c r="J66" s="629"/>
      <c r="K66" s="629"/>
      <c r="L66" s="629"/>
      <c r="M66" s="629"/>
      <c r="N66" s="35"/>
    </row>
    <row r="67" spans="1:14" ht="18.2" customHeight="1" x14ac:dyDescent="0.25">
      <c r="A67" s="628" t="s">
        <v>131</v>
      </c>
      <c r="B67" s="628"/>
      <c r="C67" s="628"/>
      <c r="D67" s="628"/>
      <c r="E67" s="628"/>
      <c r="F67" s="37"/>
      <c r="G67" s="37"/>
      <c r="H67" s="629"/>
      <c r="I67" s="629"/>
      <c r="J67" s="629"/>
      <c r="K67" s="629"/>
      <c r="L67" s="629"/>
      <c r="M67" s="629"/>
      <c r="N67" s="35"/>
    </row>
    <row r="68" spans="1:14" ht="18.2" customHeight="1" x14ac:dyDescent="0.25">
      <c r="A68" s="628" t="s">
        <v>132</v>
      </c>
      <c r="B68" s="628"/>
      <c r="C68" s="628"/>
      <c r="D68" s="628"/>
      <c r="E68" s="628"/>
      <c r="F68" s="37"/>
      <c r="G68" s="37"/>
      <c r="H68" s="629"/>
      <c r="I68" s="629"/>
      <c r="J68" s="629"/>
      <c r="K68" s="629"/>
      <c r="L68" s="629"/>
      <c r="M68" s="629"/>
      <c r="N68" s="35"/>
    </row>
    <row r="69" spans="1:14" ht="18.2" customHeight="1" x14ac:dyDescent="0.25">
      <c r="A69" s="628" t="s">
        <v>133</v>
      </c>
      <c r="B69" s="628"/>
      <c r="C69" s="628"/>
      <c r="D69" s="628"/>
      <c r="E69" s="628"/>
      <c r="F69" s="37"/>
      <c r="G69" s="37"/>
      <c r="H69" s="629"/>
      <c r="I69" s="629"/>
      <c r="J69" s="629"/>
      <c r="K69" s="629"/>
      <c r="L69" s="629"/>
      <c r="M69" s="629"/>
      <c r="N69" s="35"/>
    </row>
    <row r="70" spans="1:14" ht="18.2" customHeight="1" x14ac:dyDescent="0.25">
      <c r="A70" s="628" t="s">
        <v>134</v>
      </c>
      <c r="B70" s="628"/>
      <c r="C70" s="628"/>
      <c r="D70" s="628"/>
      <c r="E70" s="628"/>
      <c r="F70" s="37"/>
      <c r="G70" s="37"/>
      <c r="H70" s="629"/>
      <c r="I70" s="629"/>
      <c r="J70" s="629"/>
      <c r="K70" s="629"/>
      <c r="L70" s="629"/>
      <c r="M70" s="629"/>
      <c r="N70" s="35"/>
    </row>
    <row r="71" spans="1:14" ht="18.2" customHeight="1" x14ac:dyDescent="0.25">
      <c r="A71" s="628"/>
      <c r="B71" s="628"/>
      <c r="C71" s="628"/>
      <c r="D71" s="628"/>
      <c r="E71" s="628"/>
      <c r="F71" s="37"/>
      <c r="G71" s="37"/>
      <c r="H71" s="629"/>
      <c r="I71" s="629"/>
      <c r="J71" s="629"/>
      <c r="K71" s="629"/>
      <c r="L71" s="629"/>
      <c r="M71" s="629"/>
      <c r="N71" s="35"/>
    </row>
    <row r="72" spans="1:14" ht="18.2" customHeight="1" x14ac:dyDescent="0.25">
      <c r="A72" s="628" t="s">
        <v>135</v>
      </c>
      <c r="B72" s="628"/>
      <c r="C72" s="628"/>
      <c r="D72" s="628"/>
      <c r="E72" s="628"/>
      <c r="F72" s="37"/>
      <c r="G72" s="37"/>
      <c r="H72" s="629"/>
      <c r="I72" s="629"/>
      <c r="J72" s="629"/>
      <c r="K72" s="629"/>
      <c r="L72" s="629"/>
      <c r="M72" s="629"/>
      <c r="N72" s="35"/>
    </row>
    <row r="73" spans="1:14" ht="18.2" customHeight="1" x14ac:dyDescent="0.25">
      <c r="A73" s="628" t="s">
        <v>136</v>
      </c>
      <c r="B73" s="628"/>
      <c r="C73" s="628"/>
      <c r="D73" s="628"/>
      <c r="E73" s="628"/>
      <c r="F73" s="37"/>
      <c r="G73" s="37"/>
      <c r="H73" s="629"/>
      <c r="I73" s="629"/>
      <c r="J73" s="629"/>
      <c r="K73" s="629"/>
      <c r="L73" s="629"/>
      <c r="M73" s="629"/>
      <c r="N73" s="35"/>
    </row>
    <row r="74" spans="1:14" ht="18.2" customHeight="1" x14ac:dyDescent="0.25">
      <c r="A74" s="628" t="s">
        <v>137</v>
      </c>
      <c r="B74" s="628"/>
      <c r="C74" s="628"/>
      <c r="D74" s="628"/>
      <c r="E74" s="628"/>
      <c r="F74" s="37"/>
      <c r="G74" s="37"/>
      <c r="H74" s="629"/>
      <c r="I74" s="629"/>
      <c r="J74" s="629"/>
      <c r="K74" s="629"/>
      <c r="L74" s="629"/>
      <c r="M74" s="629"/>
      <c r="N74" s="35"/>
    </row>
    <row r="75" spans="1:14" ht="18.2" customHeight="1" x14ac:dyDescent="0.25">
      <c r="A75" s="628" t="s">
        <v>138</v>
      </c>
      <c r="B75" s="628"/>
      <c r="C75" s="628"/>
      <c r="D75" s="628"/>
      <c r="E75" s="628"/>
      <c r="F75" s="37"/>
      <c r="G75" s="37"/>
      <c r="H75" s="629"/>
      <c r="I75" s="629"/>
      <c r="J75" s="629"/>
      <c r="K75" s="629"/>
      <c r="L75" s="629"/>
      <c r="M75" s="629"/>
      <c r="N75" s="35"/>
    </row>
    <row r="76" spans="1:14" ht="18.2" customHeight="1" x14ac:dyDescent="0.25">
      <c r="A76" s="628"/>
      <c r="B76" s="628"/>
      <c r="C76" s="628"/>
      <c r="D76" s="628"/>
      <c r="E76" s="628"/>
      <c r="F76" s="37"/>
      <c r="G76" s="37"/>
      <c r="H76" s="629"/>
      <c r="I76" s="629"/>
      <c r="J76" s="629"/>
      <c r="K76" s="629"/>
      <c r="L76" s="629"/>
      <c r="M76" s="629"/>
      <c r="N76" s="35"/>
    </row>
    <row r="77" spans="1:14" ht="18.2" customHeight="1" x14ac:dyDescent="0.25">
      <c r="A77" s="628" t="s">
        <v>139</v>
      </c>
      <c r="B77" s="628"/>
      <c r="C77" s="628"/>
      <c r="D77" s="628"/>
      <c r="E77" s="628"/>
      <c r="F77" s="37"/>
      <c r="G77" s="37"/>
      <c r="H77" s="629"/>
      <c r="I77" s="629"/>
      <c r="J77" s="629"/>
      <c r="K77" s="629"/>
      <c r="L77" s="629"/>
      <c r="M77" s="629"/>
      <c r="N77" s="35"/>
    </row>
    <row r="78" spans="1:14" ht="18.2" customHeight="1" x14ac:dyDescent="0.25">
      <c r="A78" s="628" t="s">
        <v>140</v>
      </c>
      <c r="B78" s="628"/>
      <c r="C78" s="628"/>
      <c r="D78" s="628"/>
      <c r="E78" s="628"/>
      <c r="F78" s="37"/>
      <c r="G78" s="37"/>
      <c r="H78" s="629"/>
      <c r="I78" s="629"/>
      <c r="J78" s="629"/>
      <c r="K78" s="629"/>
      <c r="L78" s="629"/>
      <c r="M78" s="629"/>
      <c r="N78" s="35"/>
    </row>
    <row r="79" spans="1:14" ht="18.2" customHeight="1" x14ac:dyDescent="0.25">
      <c r="A79" s="628" t="s">
        <v>141</v>
      </c>
      <c r="B79" s="628"/>
      <c r="C79" s="628"/>
      <c r="D79" s="628"/>
      <c r="E79" s="628"/>
      <c r="F79" s="37"/>
      <c r="G79" s="37"/>
      <c r="H79" s="629"/>
      <c r="I79" s="629"/>
      <c r="J79" s="629"/>
      <c r="K79" s="629"/>
      <c r="L79" s="629"/>
      <c r="M79" s="629"/>
      <c r="N79" s="35"/>
    </row>
    <row r="80" spans="1:14" ht="18.2" customHeight="1" x14ac:dyDescent="0.25">
      <c r="A80" s="628" t="s">
        <v>142</v>
      </c>
      <c r="B80" s="628"/>
      <c r="C80" s="628"/>
      <c r="D80" s="628"/>
      <c r="E80" s="628"/>
      <c r="F80" s="37"/>
      <c r="G80" s="37"/>
      <c r="H80" s="629"/>
      <c r="I80" s="629"/>
      <c r="J80" s="629"/>
      <c r="K80" s="629"/>
      <c r="L80" s="629"/>
      <c r="M80" s="629"/>
      <c r="N80" s="35"/>
    </row>
    <row r="81" spans="1:14" ht="18.2" customHeight="1" x14ac:dyDescent="0.25">
      <c r="A81" s="628"/>
      <c r="B81" s="628"/>
      <c r="C81" s="628"/>
      <c r="D81" s="628"/>
      <c r="E81" s="628"/>
      <c r="F81" s="37"/>
      <c r="G81" s="37"/>
      <c r="H81" s="629"/>
      <c r="I81" s="629"/>
      <c r="J81" s="629"/>
      <c r="K81" s="629"/>
      <c r="L81" s="629"/>
      <c r="M81" s="629"/>
      <c r="N81" s="35"/>
    </row>
    <row r="82" spans="1:14" ht="18.2" customHeight="1" x14ac:dyDescent="0.25">
      <c r="A82" s="628" t="s">
        <v>143</v>
      </c>
      <c r="B82" s="628"/>
      <c r="C82" s="628"/>
      <c r="D82" s="628"/>
      <c r="E82" s="628"/>
      <c r="F82" s="37"/>
      <c r="G82" s="37"/>
      <c r="H82" s="629"/>
      <c r="I82" s="629"/>
      <c r="J82" s="629"/>
      <c r="K82" s="629"/>
      <c r="L82" s="629"/>
      <c r="M82" s="629"/>
      <c r="N82" s="35"/>
    </row>
    <row r="83" spans="1:14" ht="18.2" customHeight="1" x14ac:dyDescent="0.25">
      <c r="A83" s="628" t="s">
        <v>144</v>
      </c>
      <c r="B83" s="628"/>
      <c r="C83" s="628"/>
      <c r="D83" s="628"/>
      <c r="E83" s="628"/>
      <c r="F83" s="37"/>
      <c r="G83" s="37"/>
      <c r="H83" s="629"/>
      <c r="I83" s="629"/>
      <c r="J83" s="629"/>
      <c r="K83" s="629"/>
      <c r="L83" s="629"/>
      <c r="M83" s="629"/>
      <c r="N83" s="35"/>
    </row>
    <row r="84" spans="1:14" ht="18.2" customHeight="1" x14ac:dyDescent="0.25">
      <c r="A84" s="628" t="s">
        <v>145</v>
      </c>
      <c r="B84" s="628"/>
      <c r="C84" s="628"/>
      <c r="D84" s="628"/>
      <c r="E84" s="628"/>
      <c r="F84" s="37"/>
      <c r="G84" s="37"/>
      <c r="H84" s="629"/>
      <c r="I84" s="629"/>
      <c r="J84" s="629"/>
      <c r="K84" s="629"/>
      <c r="L84" s="629"/>
      <c r="M84" s="629"/>
      <c r="N84" s="35"/>
    </row>
    <row r="85" spans="1:14" ht="18.2" customHeight="1" x14ac:dyDescent="0.25">
      <c r="A85" s="628" t="s">
        <v>146</v>
      </c>
      <c r="B85" s="628"/>
      <c r="C85" s="628"/>
      <c r="D85" s="628"/>
      <c r="E85" s="628"/>
      <c r="F85" s="37"/>
      <c r="G85" s="37"/>
      <c r="H85" s="629"/>
      <c r="I85" s="629"/>
      <c r="J85" s="629"/>
      <c r="K85" s="629"/>
      <c r="L85" s="629"/>
      <c r="M85" s="629"/>
      <c r="N85" s="35"/>
    </row>
    <row r="86" spans="1:14" ht="18.2" customHeight="1" x14ac:dyDescent="0.25">
      <c r="A86" s="628"/>
      <c r="B86" s="628"/>
      <c r="C86" s="628"/>
      <c r="D86" s="628"/>
      <c r="E86" s="628"/>
      <c r="F86" s="37"/>
      <c r="G86" s="37"/>
      <c r="H86" s="629"/>
      <c r="I86" s="629"/>
      <c r="J86" s="629"/>
      <c r="K86" s="629"/>
      <c r="L86" s="629"/>
      <c r="M86" s="629"/>
      <c r="N86" s="35"/>
    </row>
    <row r="87" spans="1:14" ht="18.2" customHeight="1" x14ac:dyDescent="0.25">
      <c r="A87" s="628" t="s">
        <v>147</v>
      </c>
      <c r="B87" s="628"/>
      <c r="C87" s="628"/>
      <c r="D87" s="628"/>
      <c r="E87" s="628"/>
      <c r="F87" s="37"/>
      <c r="G87" s="37"/>
      <c r="H87" s="629"/>
      <c r="I87" s="629"/>
      <c r="J87" s="629"/>
      <c r="K87" s="629"/>
      <c r="L87" s="629"/>
      <c r="M87" s="629"/>
      <c r="N87" s="35"/>
    </row>
    <row r="88" spans="1:14" ht="18.2" customHeight="1" x14ac:dyDescent="0.25">
      <c r="A88" s="628" t="s">
        <v>148</v>
      </c>
      <c r="B88" s="628"/>
      <c r="C88" s="628"/>
      <c r="D88" s="628"/>
      <c r="E88" s="628"/>
      <c r="F88" s="37"/>
      <c r="G88" s="37"/>
      <c r="H88" s="629"/>
      <c r="I88" s="629"/>
      <c r="J88" s="629"/>
      <c r="K88" s="629"/>
      <c r="L88" s="629"/>
      <c r="M88" s="629"/>
      <c r="N88" s="35"/>
    </row>
    <row r="89" spans="1:14" ht="18.2" customHeight="1" x14ac:dyDescent="0.25">
      <c r="A89" s="628" t="s">
        <v>149</v>
      </c>
      <c r="B89" s="628"/>
      <c r="C89" s="628"/>
      <c r="D89" s="628"/>
      <c r="E89" s="628"/>
      <c r="F89" s="37"/>
      <c r="G89" s="37"/>
      <c r="H89" s="629"/>
      <c r="I89" s="629"/>
      <c r="J89" s="629"/>
      <c r="K89" s="629"/>
      <c r="L89" s="629"/>
      <c r="M89" s="629"/>
      <c r="N89" s="35"/>
    </row>
    <row r="90" spans="1:14" ht="18.2" customHeight="1" x14ac:dyDescent="0.25">
      <c r="A90" s="628" t="s">
        <v>150</v>
      </c>
      <c r="B90" s="628"/>
      <c r="C90" s="628"/>
      <c r="D90" s="628"/>
      <c r="E90" s="628"/>
      <c r="F90" s="37"/>
      <c r="G90" s="37"/>
      <c r="H90" s="629"/>
      <c r="I90" s="629"/>
      <c r="J90" s="629"/>
      <c r="K90" s="629"/>
      <c r="L90" s="629"/>
      <c r="M90" s="629"/>
      <c r="N90" s="35"/>
    </row>
    <row r="91" spans="1:14" ht="18.2" customHeight="1" x14ac:dyDescent="0.25">
      <c r="A91" s="628"/>
      <c r="B91" s="628"/>
      <c r="C91" s="628"/>
      <c r="D91" s="628"/>
      <c r="E91" s="628"/>
      <c r="F91" s="37"/>
      <c r="G91" s="37"/>
      <c r="H91" s="629"/>
      <c r="I91" s="629"/>
      <c r="J91" s="629"/>
      <c r="K91" s="629"/>
      <c r="L91" s="629"/>
      <c r="M91" s="629"/>
      <c r="N91" s="35"/>
    </row>
    <row r="92" spans="1:14" ht="18.2" customHeight="1" x14ac:dyDescent="0.25">
      <c r="A92" s="628" t="s">
        <v>151</v>
      </c>
      <c r="B92" s="628"/>
      <c r="C92" s="628"/>
      <c r="D92" s="628"/>
      <c r="E92" s="628"/>
      <c r="F92" s="37"/>
      <c r="G92" s="37"/>
      <c r="H92" s="629"/>
      <c r="I92" s="629"/>
      <c r="J92" s="629"/>
      <c r="K92" s="629"/>
      <c r="L92" s="629"/>
      <c r="M92" s="629"/>
      <c r="N92" s="35"/>
    </row>
    <row r="93" spans="1:14" ht="18.2" customHeight="1" x14ac:dyDescent="0.25">
      <c r="A93" s="628" t="s">
        <v>152</v>
      </c>
      <c r="B93" s="628"/>
      <c r="C93" s="628"/>
      <c r="D93" s="628"/>
      <c r="E93" s="628"/>
      <c r="F93" s="37"/>
      <c r="G93" s="37"/>
      <c r="H93" s="629"/>
      <c r="I93" s="629"/>
      <c r="J93" s="629"/>
      <c r="K93" s="629"/>
      <c r="L93" s="629"/>
      <c r="M93" s="629"/>
      <c r="N93" s="35"/>
    </row>
    <row r="94" spans="1:14" ht="18.2" customHeight="1" x14ac:dyDescent="0.25">
      <c r="A94" s="628" t="s">
        <v>153</v>
      </c>
      <c r="B94" s="628"/>
      <c r="C94" s="628"/>
      <c r="D94" s="628"/>
      <c r="E94" s="628"/>
      <c r="F94" s="37"/>
      <c r="G94" s="37"/>
      <c r="H94" s="629"/>
      <c r="I94" s="629"/>
      <c r="J94" s="629"/>
      <c r="K94" s="629"/>
      <c r="L94" s="629"/>
      <c r="M94" s="629"/>
      <c r="N94" s="35"/>
    </row>
    <row r="95" spans="1:14" ht="18.2" customHeight="1" x14ac:dyDescent="0.25">
      <c r="A95" s="628" t="s">
        <v>154</v>
      </c>
      <c r="B95" s="628"/>
      <c r="C95" s="628"/>
      <c r="D95" s="628"/>
      <c r="E95" s="628"/>
      <c r="F95" s="37"/>
      <c r="G95" s="37"/>
      <c r="H95" s="629"/>
      <c r="I95" s="629"/>
      <c r="J95" s="629"/>
      <c r="K95" s="629"/>
      <c r="L95" s="629"/>
      <c r="M95" s="629"/>
      <c r="N95" s="35"/>
    </row>
    <row r="96" spans="1:14" ht="18.2" customHeight="1" x14ac:dyDescent="0.25">
      <c r="A96" s="628"/>
      <c r="B96" s="628"/>
      <c r="C96" s="628"/>
      <c r="D96" s="628"/>
      <c r="E96" s="628"/>
      <c r="F96" s="37"/>
      <c r="G96" s="37"/>
      <c r="H96" s="629"/>
      <c r="I96" s="629"/>
      <c r="J96" s="629"/>
      <c r="K96" s="629"/>
      <c r="L96" s="629"/>
      <c r="M96" s="629"/>
      <c r="N96" s="35"/>
    </row>
    <row r="97" spans="1:14" ht="18.2" customHeight="1" x14ac:dyDescent="0.25">
      <c r="A97" s="628" t="s">
        <v>155</v>
      </c>
      <c r="B97" s="628"/>
      <c r="C97" s="628"/>
      <c r="D97" s="628"/>
      <c r="E97" s="628"/>
      <c r="F97" s="37"/>
      <c r="G97" s="37"/>
      <c r="H97" s="629"/>
      <c r="I97" s="629"/>
      <c r="J97" s="629"/>
      <c r="K97" s="629"/>
      <c r="L97" s="629"/>
      <c r="M97" s="629"/>
      <c r="N97" s="35"/>
    </row>
    <row r="98" spans="1:14" ht="18.2" customHeight="1" x14ac:dyDescent="0.25">
      <c r="A98" s="628" t="s">
        <v>156</v>
      </c>
      <c r="B98" s="628"/>
      <c r="C98" s="628"/>
      <c r="D98" s="628"/>
      <c r="E98" s="628"/>
      <c r="F98" s="37"/>
      <c r="G98" s="37"/>
      <c r="H98" s="629"/>
      <c r="I98" s="629"/>
      <c r="J98" s="629"/>
      <c r="K98" s="629"/>
      <c r="L98" s="629"/>
      <c r="M98" s="629"/>
      <c r="N98" s="35"/>
    </row>
    <row r="99" spans="1:14" ht="18.2" customHeight="1" x14ac:dyDescent="0.25">
      <c r="A99" s="628" t="s">
        <v>157</v>
      </c>
      <c r="B99" s="628"/>
      <c r="C99" s="628"/>
      <c r="D99" s="628"/>
      <c r="E99" s="628"/>
      <c r="F99" s="37"/>
      <c r="G99" s="37"/>
      <c r="H99" s="629"/>
      <c r="I99" s="629"/>
      <c r="J99" s="629"/>
      <c r="K99" s="629"/>
      <c r="L99" s="629"/>
      <c r="M99" s="629"/>
      <c r="N99" s="35"/>
    </row>
    <row r="100" spans="1:14" ht="18.2" customHeight="1" x14ac:dyDescent="0.25">
      <c r="A100" s="628" t="s">
        <v>158</v>
      </c>
      <c r="B100" s="628"/>
      <c r="C100" s="628"/>
      <c r="D100" s="628"/>
      <c r="E100" s="628"/>
      <c r="F100" s="37"/>
      <c r="G100" s="37"/>
      <c r="H100" s="629"/>
      <c r="I100" s="629"/>
      <c r="J100" s="629"/>
      <c r="K100" s="629"/>
      <c r="L100" s="629"/>
      <c r="M100" s="629"/>
      <c r="N100" s="35"/>
    </row>
    <row r="101" spans="1:14" ht="18.2" customHeight="1" x14ac:dyDescent="0.25">
      <c r="A101" s="628"/>
      <c r="B101" s="628"/>
      <c r="C101" s="628"/>
      <c r="D101" s="628"/>
      <c r="E101" s="628"/>
      <c r="F101" s="37"/>
      <c r="G101" s="37"/>
      <c r="H101" s="629"/>
      <c r="I101" s="629"/>
      <c r="J101" s="629"/>
      <c r="K101" s="629"/>
      <c r="L101" s="629"/>
      <c r="M101" s="629"/>
      <c r="N101" s="35"/>
    </row>
    <row r="102" spans="1:14" ht="18.2" customHeight="1" x14ac:dyDescent="0.25">
      <c r="A102" s="628" t="s">
        <v>159</v>
      </c>
      <c r="B102" s="628"/>
      <c r="C102" s="628"/>
      <c r="D102" s="628"/>
      <c r="E102" s="628"/>
      <c r="F102" s="37"/>
      <c r="G102" s="37"/>
      <c r="H102" s="629"/>
      <c r="I102" s="629"/>
      <c r="J102" s="629"/>
      <c r="K102" s="629"/>
      <c r="L102" s="629"/>
      <c r="M102" s="629"/>
      <c r="N102" s="35"/>
    </row>
    <row r="103" spans="1:14" ht="18.2" customHeight="1" x14ac:dyDescent="0.25">
      <c r="A103" s="628" t="s">
        <v>160</v>
      </c>
      <c r="B103" s="628"/>
      <c r="C103" s="628"/>
      <c r="D103" s="628"/>
      <c r="E103" s="628"/>
      <c r="F103" s="37"/>
      <c r="G103" s="37"/>
      <c r="H103" s="629"/>
      <c r="I103" s="629"/>
      <c r="J103" s="629"/>
      <c r="K103" s="629"/>
      <c r="L103" s="629"/>
      <c r="M103" s="629"/>
      <c r="N103" s="35"/>
    </row>
    <row r="104" spans="1:14" ht="18.2" customHeight="1" x14ac:dyDescent="0.25">
      <c r="A104" s="628" t="s">
        <v>161</v>
      </c>
      <c r="B104" s="628"/>
      <c r="C104" s="628"/>
      <c r="D104" s="628"/>
      <c r="E104" s="628"/>
      <c r="F104" s="37"/>
      <c r="G104" s="37"/>
      <c r="H104" s="629"/>
      <c r="I104" s="629"/>
      <c r="J104" s="629"/>
      <c r="K104" s="629"/>
      <c r="L104" s="629"/>
      <c r="M104" s="629"/>
      <c r="N104" s="35"/>
    </row>
    <row r="105" spans="1:14" ht="18.2" customHeight="1" x14ac:dyDescent="0.25">
      <c r="A105" s="628" t="s">
        <v>162</v>
      </c>
      <c r="B105" s="628"/>
      <c r="C105" s="628"/>
      <c r="D105" s="628"/>
      <c r="E105" s="628"/>
      <c r="F105" s="37"/>
      <c r="G105" s="37"/>
      <c r="H105" s="629"/>
      <c r="I105" s="629"/>
      <c r="J105" s="629"/>
      <c r="K105" s="629"/>
      <c r="L105" s="629"/>
      <c r="M105" s="629"/>
      <c r="N105" s="35"/>
    </row>
    <row r="106" spans="1:14" ht="18.2" customHeight="1" x14ac:dyDescent="0.25">
      <c r="A106" s="628"/>
      <c r="B106" s="628"/>
      <c r="C106" s="628"/>
      <c r="D106" s="628"/>
      <c r="E106" s="628"/>
      <c r="F106" s="37"/>
      <c r="G106" s="37"/>
      <c r="H106" s="629"/>
      <c r="I106" s="629"/>
      <c r="J106" s="629"/>
      <c r="K106" s="629"/>
      <c r="L106" s="629"/>
      <c r="M106" s="629"/>
      <c r="N106" s="35"/>
    </row>
    <row r="107" spans="1:14" ht="18.2" customHeight="1" x14ac:dyDescent="0.25">
      <c r="A107" s="628" t="s">
        <v>163</v>
      </c>
      <c r="B107" s="628"/>
      <c r="C107" s="628"/>
      <c r="D107" s="628"/>
      <c r="E107" s="628"/>
      <c r="F107" s="37"/>
      <c r="G107" s="37"/>
      <c r="H107" s="629"/>
      <c r="I107" s="629"/>
      <c r="J107" s="629"/>
      <c r="K107" s="629"/>
      <c r="L107" s="629"/>
      <c r="M107" s="629"/>
      <c r="N107" s="35"/>
    </row>
    <row r="108" spans="1:14" ht="18.2" customHeight="1" x14ac:dyDescent="0.25">
      <c r="A108" s="628" t="s">
        <v>164</v>
      </c>
      <c r="B108" s="628"/>
      <c r="C108" s="628"/>
      <c r="D108" s="628"/>
      <c r="E108" s="628"/>
      <c r="F108" s="37"/>
      <c r="G108" s="37"/>
      <c r="H108" s="629"/>
      <c r="I108" s="629"/>
      <c r="J108" s="629"/>
      <c r="K108" s="629"/>
      <c r="L108" s="629"/>
      <c r="M108" s="629"/>
      <c r="N108" s="35"/>
    </row>
    <row r="109" spans="1:14" ht="18.2" customHeight="1" x14ac:dyDescent="0.25">
      <c r="A109" s="628" t="s">
        <v>165</v>
      </c>
      <c r="B109" s="628"/>
      <c r="C109" s="628"/>
      <c r="D109" s="628"/>
      <c r="E109" s="628"/>
      <c r="F109" s="37"/>
      <c r="G109" s="37"/>
      <c r="H109" s="629"/>
      <c r="I109" s="629"/>
      <c r="J109" s="629"/>
      <c r="K109" s="629"/>
      <c r="L109" s="629"/>
      <c r="M109" s="629"/>
      <c r="N109" s="35"/>
    </row>
    <row r="110" spans="1:14" ht="18.2" customHeight="1" x14ac:dyDescent="0.25">
      <c r="A110" s="628" t="s">
        <v>166</v>
      </c>
      <c r="B110" s="628"/>
      <c r="C110" s="628"/>
      <c r="D110" s="628"/>
      <c r="E110" s="628"/>
      <c r="F110" s="37"/>
      <c r="G110" s="37"/>
      <c r="H110" s="629"/>
      <c r="I110" s="629"/>
      <c r="J110" s="629"/>
      <c r="K110" s="629"/>
      <c r="L110" s="629"/>
      <c r="M110" s="629"/>
      <c r="N110" s="35"/>
    </row>
    <row r="111" spans="1:14" ht="18.2" customHeight="1" x14ac:dyDescent="0.25">
      <c r="A111" s="628"/>
      <c r="B111" s="628"/>
      <c r="C111" s="628"/>
      <c r="D111" s="628"/>
      <c r="E111" s="628"/>
      <c r="F111" s="37"/>
      <c r="G111" s="37"/>
      <c r="H111" s="629"/>
      <c r="I111" s="629"/>
      <c r="J111" s="629"/>
      <c r="K111" s="629"/>
      <c r="L111" s="629"/>
      <c r="M111" s="629"/>
      <c r="N111" s="35"/>
    </row>
    <row r="112" spans="1:14" ht="18.2" customHeight="1" x14ac:dyDescent="0.25">
      <c r="A112" s="628" t="s">
        <v>167</v>
      </c>
      <c r="B112" s="628"/>
      <c r="C112" s="628"/>
      <c r="D112" s="628"/>
      <c r="E112" s="628"/>
      <c r="F112" s="37"/>
      <c r="G112" s="37"/>
      <c r="H112" s="629"/>
      <c r="I112" s="629"/>
      <c r="J112" s="629"/>
      <c r="K112" s="629"/>
      <c r="L112" s="629"/>
      <c r="M112" s="629"/>
      <c r="N112" s="35"/>
    </row>
    <row r="113" spans="1:14" ht="18.2" customHeight="1" x14ac:dyDescent="0.25">
      <c r="A113" s="628" t="s">
        <v>168</v>
      </c>
      <c r="B113" s="628"/>
      <c r="C113" s="628"/>
      <c r="D113" s="628"/>
      <c r="E113" s="628"/>
      <c r="F113" s="37"/>
      <c r="G113" s="37"/>
      <c r="H113" s="629"/>
      <c r="I113" s="629"/>
      <c r="J113" s="629"/>
      <c r="K113" s="629"/>
      <c r="L113" s="629"/>
      <c r="M113" s="629"/>
      <c r="N113" s="35"/>
    </row>
    <row r="114" spans="1:14" ht="18.2" customHeight="1" x14ac:dyDescent="0.25">
      <c r="A114" s="628"/>
      <c r="B114" s="628"/>
      <c r="C114" s="628"/>
      <c r="D114" s="628"/>
      <c r="E114" s="628"/>
      <c r="F114" s="37"/>
      <c r="G114" s="37"/>
      <c r="H114" s="629"/>
      <c r="I114" s="629"/>
      <c r="J114" s="629"/>
      <c r="K114" s="629"/>
      <c r="L114" s="629"/>
      <c r="M114" s="629"/>
      <c r="N114" s="35"/>
    </row>
    <row r="115" spans="1:14" ht="64.150000000000006" customHeight="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</row>
    <row r="116" spans="1:14" ht="3.75" customHeight="1" x14ac:dyDescent="0.25">
      <c r="A116" s="35"/>
      <c r="B116" s="35"/>
      <c r="C116" s="35"/>
      <c r="D116" s="35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</row>
    <row r="117" spans="1:14" ht="9.75" customHeight="1" x14ac:dyDescent="0.25">
      <c r="A117" s="185"/>
      <c r="B117" s="185"/>
      <c r="C117" s="35"/>
      <c r="D117" s="35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</row>
    <row r="118" spans="1:14" ht="6.75" customHeight="1" x14ac:dyDescent="0.25">
      <c r="A118" s="185"/>
      <c r="B118" s="18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</row>
  </sheetData>
  <sheetProtection algorithmName="SHA-512" hashValue="OU+AKLR5j59s0HOPm2/A4uUIDea4r9ZUa0fpBCaGi3SBdt8azGj6RX7M8KwKBou7j/nWZYSU6KaVVdEXfAGgkQ==" saltValue="J4FQAOlbaOqcgsCOWjDXIA==" spinCount="100000" sheet="1" objects="1" scenarios="1"/>
  <mergeCells count="220">
    <mergeCell ref="A16:E16"/>
    <mergeCell ref="H16:M16"/>
    <mergeCell ref="A17:E17"/>
    <mergeCell ref="H17:M17"/>
    <mergeCell ref="A18:E18"/>
    <mergeCell ref="H18:M18"/>
    <mergeCell ref="A22:E22"/>
    <mergeCell ref="H22:M22"/>
    <mergeCell ref="A23:E23"/>
    <mergeCell ref="H23:M23"/>
    <mergeCell ref="A24:E24"/>
    <mergeCell ref="H24:M24"/>
    <mergeCell ref="A19:E19"/>
    <mergeCell ref="H19:M19"/>
    <mergeCell ref="A20:E20"/>
    <mergeCell ref="H20:M20"/>
    <mergeCell ref="A21:E21"/>
    <mergeCell ref="H21:M21"/>
    <mergeCell ref="A28:E28"/>
    <mergeCell ref="H28:M28"/>
    <mergeCell ref="A29:E29"/>
    <mergeCell ref="H29:M29"/>
    <mergeCell ref="A30:E30"/>
    <mergeCell ref="H30:M30"/>
    <mergeCell ref="A25:E25"/>
    <mergeCell ref="H25:M25"/>
    <mergeCell ref="A26:E26"/>
    <mergeCell ref="H26:M26"/>
    <mergeCell ref="A27:E27"/>
    <mergeCell ref="H27:M27"/>
    <mergeCell ref="A34:E34"/>
    <mergeCell ref="H34:M34"/>
    <mergeCell ref="A35:E35"/>
    <mergeCell ref="H35:M35"/>
    <mergeCell ref="A36:E36"/>
    <mergeCell ref="H36:M36"/>
    <mergeCell ref="A31:E31"/>
    <mergeCell ref="H31:M31"/>
    <mergeCell ref="A32:E32"/>
    <mergeCell ref="H32:M32"/>
    <mergeCell ref="A33:E33"/>
    <mergeCell ref="H33:M33"/>
    <mergeCell ref="A40:E40"/>
    <mergeCell ref="H40:M40"/>
    <mergeCell ref="A41:E41"/>
    <mergeCell ref="H41:M41"/>
    <mergeCell ref="A42:E42"/>
    <mergeCell ref="H42:M42"/>
    <mergeCell ref="A37:E37"/>
    <mergeCell ref="H37:M37"/>
    <mergeCell ref="A38:E38"/>
    <mergeCell ref="H38:M38"/>
    <mergeCell ref="A39:E39"/>
    <mergeCell ref="H39:M39"/>
    <mergeCell ref="A46:E46"/>
    <mergeCell ref="H46:M46"/>
    <mergeCell ref="A47:E47"/>
    <mergeCell ref="H47:M47"/>
    <mergeCell ref="A48:E48"/>
    <mergeCell ref="H48:M48"/>
    <mergeCell ref="A43:E43"/>
    <mergeCell ref="H43:M43"/>
    <mergeCell ref="A44:E44"/>
    <mergeCell ref="H44:M44"/>
    <mergeCell ref="A45:E45"/>
    <mergeCell ref="H45:M45"/>
    <mergeCell ref="A52:E52"/>
    <mergeCell ref="H52:M52"/>
    <mergeCell ref="A53:E53"/>
    <mergeCell ref="H53:M53"/>
    <mergeCell ref="A54:E54"/>
    <mergeCell ref="H54:M54"/>
    <mergeCell ref="A49:E49"/>
    <mergeCell ref="H49:M49"/>
    <mergeCell ref="A50:E50"/>
    <mergeCell ref="H50:M50"/>
    <mergeCell ref="A51:E51"/>
    <mergeCell ref="H51:M51"/>
    <mergeCell ref="A58:E58"/>
    <mergeCell ref="H58:M58"/>
    <mergeCell ref="A59:E59"/>
    <mergeCell ref="H59:M59"/>
    <mergeCell ref="A60:E60"/>
    <mergeCell ref="H60:M60"/>
    <mergeCell ref="A55:E55"/>
    <mergeCell ref="H55:M55"/>
    <mergeCell ref="A56:E56"/>
    <mergeCell ref="H56:M56"/>
    <mergeCell ref="A57:E57"/>
    <mergeCell ref="H57:M57"/>
    <mergeCell ref="A64:E64"/>
    <mergeCell ref="H64:M64"/>
    <mergeCell ref="A65:E65"/>
    <mergeCell ref="H65:M65"/>
    <mergeCell ref="A66:E66"/>
    <mergeCell ref="H66:M66"/>
    <mergeCell ref="A61:E61"/>
    <mergeCell ref="H61:M61"/>
    <mergeCell ref="A62:E62"/>
    <mergeCell ref="H62:M62"/>
    <mergeCell ref="A63:E63"/>
    <mergeCell ref="H63:M63"/>
    <mergeCell ref="A70:E70"/>
    <mergeCell ref="H70:M70"/>
    <mergeCell ref="A71:E71"/>
    <mergeCell ref="H71:M71"/>
    <mergeCell ref="A72:E72"/>
    <mergeCell ref="H72:M72"/>
    <mergeCell ref="A67:E67"/>
    <mergeCell ref="H67:M67"/>
    <mergeCell ref="A68:E68"/>
    <mergeCell ref="H68:M68"/>
    <mergeCell ref="A69:E69"/>
    <mergeCell ref="H69:M69"/>
    <mergeCell ref="A76:E76"/>
    <mergeCell ref="H76:M76"/>
    <mergeCell ref="A77:E77"/>
    <mergeCell ref="H77:M77"/>
    <mergeCell ref="A78:E78"/>
    <mergeCell ref="H78:M78"/>
    <mergeCell ref="A73:E73"/>
    <mergeCell ref="H73:M73"/>
    <mergeCell ref="A74:E74"/>
    <mergeCell ref="H74:M74"/>
    <mergeCell ref="A75:E75"/>
    <mergeCell ref="H75:M75"/>
    <mergeCell ref="A82:E82"/>
    <mergeCell ref="H82:M82"/>
    <mergeCell ref="A83:E83"/>
    <mergeCell ref="H83:M83"/>
    <mergeCell ref="A84:E84"/>
    <mergeCell ref="H84:M84"/>
    <mergeCell ref="A79:E79"/>
    <mergeCell ref="H79:M79"/>
    <mergeCell ref="A80:E80"/>
    <mergeCell ref="H80:M80"/>
    <mergeCell ref="A81:E81"/>
    <mergeCell ref="H81:M81"/>
    <mergeCell ref="A88:E88"/>
    <mergeCell ref="H88:M88"/>
    <mergeCell ref="A89:E89"/>
    <mergeCell ref="H89:M89"/>
    <mergeCell ref="A90:E90"/>
    <mergeCell ref="H90:M90"/>
    <mergeCell ref="A85:E85"/>
    <mergeCell ref="H85:M85"/>
    <mergeCell ref="A86:E86"/>
    <mergeCell ref="H86:M86"/>
    <mergeCell ref="A87:E87"/>
    <mergeCell ref="H87:M87"/>
    <mergeCell ref="A94:E94"/>
    <mergeCell ref="H94:M94"/>
    <mergeCell ref="A95:E95"/>
    <mergeCell ref="H95:M95"/>
    <mergeCell ref="A96:E96"/>
    <mergeCell ref="H96:M96"/>
    <mergeCell ref="A91:E91"/>
    <mergeCell ref="H91:M91"/>
    <mergeCell ref="A92:E92"/>
    <mergeCell ref="H92:M92"/>
    <mergeCell ref="A93:E93"/>
    <mergeCell ref="H93:M93"/>
    <mergeCell ref="A101:E101"/>
    <mergeCell ref="H101:M101"/>
    <mergeCell ref="A102:E102"/>
    <mergeCell ref="H102:M102"/>
    <mergeCell ref="A97:E97"/>
    <mergeCell ref="H97:M97"/>
    <mergeCell ref="A98:E98"/>
    <mergeCell ref="H98:M98"/>
    <mergeCell ref="A99:E99"/>
    <mergeCell ref="H99:M99"/>
    <mergeCell ref="B2:C2"/>
    <mergeCell ref="E2:I2"/>
    <mergeCell ref="K2:L2"/>
    <mergeCell ref="M2:N2"/>
    <mergeCell ref="A3:A4"/>
    <mergeCell ref="B3:C4"/>
    <mergeCell ref="E3:I3"/>
    <mergeCell ref="A112:E112"/>
    <mergeCell ref="H112:M112"/>
    <mergeCell ref="A106:E106"/>
    <mergeCell ref="H106:M106"/>
    <mergeCell ref="A15:E15"/>
    <mergeCell ref="H15:M15"/>
    <mergeCell ref="A12:E12"/>
    <mergeCell ref="H12:M12"/>
    <mergeCell ref="A13:E13"/>
    <mergeCell ref="H13:M13"/>
    <mergeCell ref="A14:E14"/>
    <mergeCell ref="H14:M14"/>
    <mergeCell ref="K3:L4"/>
    <mergeCell ref="M3:N3"/>
    <mergeCell ref="E5:I5"/>
    <mergeCell ref="A7:N7"/>
    <mergeCell ref="E9:I9"/>
    <mergeCell ref="A11:E11"/>
    <mergeCell ref="H11:M11"/>
    <mergeCell ref="A113:E113"/>
    <mergeCell ref="H113:M113"/>
    <mergeCell ref="A114:E114"/>
    <mergeCell ref="H114:M114"/>
    <mergeCell ref="A109:E109"/>
    <mergeCell ref="H109:M109"/>
    <mergeCell ref="A110:E110"/>
    <mergeCell ref="H110:M110"/>
    <mergeCell ref="A111:E111"/>
    <mergeCell ref="H111:M111"/>
    <mergeCell ref="A107:E107"/>
    <mergeCell ref="H107:M107"/>
    <mergeCell ref="A108:E108"/>
    <mergeCell ref="H108:M108"/>
    <mergeCell ref="A103:E103"/>
    <mergeCell ref="H103:M103"/>
    <mergeCell ref="A104:E104"/>
    <mergeCell ref="H104:M104"/>
    <mergeCell ref="A105:E105"/>
    <mergeCell ref="H105:M105"/>
    <mergeCell ref="A100:E100"/>
    <mergeCell ref="H100:M100"/>
  </mergeCells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ascieMAR"/>
  <dimension ref="A1:N118"/>
  <sheetViews>
    <sheetView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36"/>
      <c r="C2" s="36"/>
      <c r="D2" s="35"/>
      <c r="E2" s="183"/>
      <c r="F2" s="183"/>
      <c r="G2" s="183"/>
      <c r="H2" s="183"/>
      <c r="I2" s="183"/>
      <c r="J2" s="35"/>
      <c r="K2" s="36"/>
      <c r="L2" s="36"/>
      <c r="M2" s="184"/>
      <c r="N2" s="184"/>
    </row>
    <row r="3" spans="1:14" ht="12.95" customHeight="1" x14ac:dyDescent="0.25">
      <c r="A3" s="36"/>
      <c r="B3" s="36"/>
      <c r="C3" s="36"/>
      <c r="D3" s="35"/>
      <c r="E3" s="183"/>
      <c r="F3" s="183"/>
      <c r="G3" s="183"/>
      <c r="H3" s="183"/>
      <c r="I3" s="183"/>
      <c r="J3" s="35"/>
      <c r="K3" s="36"/>
      <c r="L3" s="36"/>
      <c r="M3" s="186"/>
      <c r="N3" s="186"/>
    </row>
    <row r="4" spans="1:14" ht="0.75" customHeight="1" x14ac:dyDescent="0.25">
      <c r="A4" s="36"/>
      <c r="B4" s="36"/>
      <c r="C4" s="36"/>
      <c r="D4" s="35"/>
      <c r="E4" s="35"/>
      <c r="F4" s="35"/>
      <c r="G4" s="35"/>
      <c r="H4" s="35"/>
      <c r="I4" s="35"/>
      <c r="J4" s="35"/>
      <c r="K4" s="36"/>
      <c r="L4" s="36"/>
      <c r="M4" s="35"/>
      <c r="N4" s="35"/>
    </row>
    <row r="5" spans="1:14" ht="12.95" customHeight="1" x14ac:dyDescent="0.25">
      <c r="A5" s="35"/>
      <c r="B5" s="35"/>
      <c r="C5" s="35"/>
      <c r="D5" s="35"/>
      <c r="E5" s="183"/>
      <c r="F5" s="183"/>
      <c r="G5" s="183"/>
      <c r="H5" s="183"/>
      <c r="I5" s="183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185"/>
      <c r="B7" s="185"/>
      <c r="C7" s="185"/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187"/>
      <c r="F9" s="187"/>
      <c r="G9" s="187"/>
      <c r="H9" s="187"/>
      <c r="I9" s="187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188" t="s">
        <v>86</v>
      </c>
      <c r="B11" s="188"/>
      <c r="C11" s="188"/>
      <c r="D11" s="188"/>
      <c r="E11" s="188"/>
      <c r="F11" s="329" t="s">
        <v>330</v>
      </c>
      <c r="G11" s="329" t="s">
        <v>299</v>
      </c>
      <c r="H11" s="173"/>
      <c r="I11" s="173"/>
      <c r="J11" s="173"/>
      <c r="K11" s="173"/>
      <c r="L11" s="173"/>
      <c r="M11" s="173"/>
      <c r="N11" s="35"/>
    </row>
    <row r="12" spans="1:14" ht="18.2" customHeight="1" x14ac:dyDescent="0.25">
      <c r="A12" s="182" t="s">
        <v>87</v>
      </c>
      <c r="B12" s="182"/>
      <c r="C12" s="182"/>
      <c r="D12" s="182"/>
      <c r="E12" s="182"/>
      <c r="F12" s="37"/>
      <c r="G12" s="37"/>
      <c r="H12" s="37"/>
      <c r="I12" s="37"/>
      <c r="J12" s="37"/>
      <c r="K12" s="37"/>
      <c r="L12" s="37"/>
      <c r="M12" s="37"/>
      <c r="N12" s="35"/>
    </row>
    <row r="13" spans="1:14" ht="18.2" customHeight="1" x14ac:dyDescent="0.25">
      <c r="A13" s="182" t="s">
        <v>88</v>
      </c>
      <c r="B13" s="182"/>
      <c r="C13" s="182"/>
      <c r="D13" s="182"/>
      <c r="E13" s="182"/>
      <c r="F13" s="37"/>
      <c r="G13" s="37"/>
      <c r="H13" s="37"/>
      <c r="I13" s="37"/>
      <c r="J13" s="37"/>
      <c r="K13" s="37"/>
      <c r="L13" s="37"/>
      <c r="M13" s="37"/>
      <c r="N13" s="35"/>
    </row>
    <row r="14" spans="1:14" ht="18.2" customHeight="1" x14ac:dyDescent="0.25">
      <c r="A14" s="182" t="s">
        <v>89</v>
      </c>
      <c r="B14" s="182"/>
      <c r="C14" s="182"/>
      <c r="D14" s="182"/>
      <c r="E14" s="182"/>
      <c r="F14" s="37"/>
      <c r="G14" s="37"/>
      <c r="H14" s="37"/>
      <c r="I14" s="37"/>
      <c r="J14" s="37"/>
      <c r="K14" s="37"/>
      <c r="L14" s="37"/>
      <c r="M14" s="37"/>
      <c r="N14" s="35"/>
    </row>
    <row r="15" spans="1:14" ht="18.2" customHeight="1" x14ac:dyDescent="0.25">
      <c r="A15" s="182" t="s">
        <v>90</v>
      </c>
      <c r="B15" s="182"/>
      <c r="C15" s="182"/>
      <c r="D15" s="182"/>
      <c r="E15" s="182"/>
      <c r="F15" s="37"/>
      <c r="G15" s="37"/>
      <c r="H15" s="37"/>
      <c r="I15" s="37"/>
      <c r="J15" s="37"/>
      <c r="K15" s="37"/>
      <c r="L15" s="37"/>
      <c r="M15" s="37"/>
      <c r="N15" s="35"/>
    </row>
    <row r="16" spans="1:14" ht="18.2" customHeight="1" x14ac:dyDescent="0.25">
      <c r="A16" s="182"/>
      <c r="B16" s="182"/>
      <c r="C16" s="182"/>
      <c r="D16" s="182"/>
      <c r="E16" s="182"/>
      <c r="F16" s="37"/>
      <c r="G16" s="37"/>
      <c r="H16" s="37"/>
      <c r="I16" s="37"/>
      <c r="J16" s="37"/>
      <c r="K16" s="37"/>
      <c r="L16" s="37"/>
      <c r="M16" s="37"/>
      <c r="N16" s="35"/>
    </row>
    <row r="17" spans="1:14" ht="18.2" customHeight="1" x14ac:dyDescent="0.25">
      <c r="A17" s="182" t="s">
        <v>91</v>
      </c>
      <c r="B17" s="182"/>
      <c r="C17" s="182"/>
      <c r="D17" s="182"/>
      <c r="E17" s="182"/>
      <c r="F17" s="37"/>
      <c r="G17" s="37"/>
      <c r="H17" s="37"/>
      <c r="I17" s="37"/>
      <c r="J17" s="37"/>
      <c r="K17" s="37"/>
      <c r="L17" s="37"/>
      <c r="M17" s="37"/>
      <c r="N17" s="35"/>
    </row>
    <row r="18" spans="1:14" ht="18.2" customHeight="1" x14ac:dyDescent="0.25">
      <c r="A18" s="182" t="s">
        <v>92</v>
      </c>
      <c r="B18" s="182"/>
      <c r="C18" s="182"/>
      <c r="D18" s="182"/>
      <c r="E18" s="182"/>
      <c r="F18" s="37"/>
      <c r="G18" s="37"/>
      <c r="H18" s="37"/>
      <c r="I18" s="37"/>
      <c r="J18" s="37"/>
      <c r="K18" s="37"/>
      <c r="L18" s="37"/>
      <c r="M18" s="37"/>
      <c r="N18" s="35"/>
    </row>
    <row r="19" spans="1:14" ht="18.2" customHeight="1" x14ac:dyDescent="0.25">
      <c r="A19" s="182" t="s">
        <v>93</v>
      </c>
      <c r="B19" s="182"/>
      <c r="C19" s="182"/>
      <c r="D19" s="182"/>
      <c r="E19" s="182"/>
      <c r="F19" s="37"/>
      <c r="G19" s="37"/>
      <c r="H19" s="37"/>
      <c r="I19" s="37"/>
      <c r="J19" s="37"/>
      <c r="K19" s="37"/>
      <c r="L19" s="37"/>
      <c r="M19" s="37"/>
      <c r="N19" s="35"/>
    </row>
    <row r="20" spans="1:14" ht="18.2" customHeight="1" x14ac:dyDescent="0.25">
      <c r="A20" s="182" t="s">
        <v>94</v>
      </c>
      <c r="B20" s="182"/>
      <c r="C20" s="182"/>
      <c r="D20" s="182"/>
      <c r="E20" s="182"/>
      <c r="F20" s="37"/>
      <c r="G20" s="37"/>
      <c r="H20" s="37"/>
      <c r="I20" s="37"/>
      <c r="J20" s="37"/>
      <c r="K20" s="37"/>
      <c r="L20" s="37"/>
      <c r="M20" s="37"/>
      <c r="N20" s="35"/>
    </row>
    <row r="21" spans="1:14" ht="18.2" customHeight="1" x14ac:dyDescent="0.25">
      <c r="A21" s="182"/>
      <c r="B21" s="182"/>
      <c r="C21" s="182"/>
      <c r="D21" s="182"/>
      <c r="E21" s="182"/>
      <c r="F21" s="37"/>
      <c r="G21" s="37"/>
      <c r="H21" s="37"/>
      <c r="I21" s="37"/>
      <c r="J21" s="37"/>
      <c r="K21" s="37"/>
      <c r="L21" s="37"/>
      <c r="M21" s="37"/>
      <c r="N21" s="35"/>
    </row>
    <row r="22" spans="1:14" ht="18.2" customHeight="1" x14ac:dyDescent="0.25">
      <c r="A22" s="182" t="s">
        <v>95</v>
      </c>
      <c r="B22" s="182"/>
      <c r="C22" s="182"/>
      <c r="D22" s="182"/>
      <c r="E22" s="182"/>
      <c r="F22" s="37"/>
      <c r="G22" s="37"/>
      <c r="H22" s="37"/>
      <c r="I22" s="37"/>
      <c r="J22" s="37"/>
      <c r="K22" s="37"/>
      <c r="L22" s="37"/>
      <c r="M22" s="37"/>
      <c r="N22" s="35"/>
    </row>
    <row r="23" spans="1:14" ht="18.2" customHeight="1" x14ac:dyDescent="0.25">
      <c r="A23" s="182" t="s">
        <v>96</v>
      </c>
      <c r="B23" s="182"/>
      <c r="C23" s="182"/>
      <c r="D23" s="182"/>
      <c r="E23" s="182"/>
      <c r="F23" s="37"/>
      <c r="G23" s="37"/>
      <c r="H23" s="37"/>
      <c r="I23" s="37"/>
      <c r="J23" s="37"/>
      <c r="K23" s="37"/>
      <c r="L23" s="37"/>
      <c r="M23" s="37"/>
      <c r="N23" s="35"/>
    </row>
    <row r="24" spans="1:14" ht="18.2" customHeight="1" x14ac:dyDescent="0.25">
      <c r="A24" s="182" t="s">
        <v>97</v>
      </c>
      <c r="B24" s="182"/>
      <c r="C24" s="182"/>
      <c r="D24" s="182"/>
      <c r="E24" s="182"/>
      <c r="F24" s="37"/>
      <c r="G24" s="37"/>
      <c r="H24" s="37"/>
      <c r="I24" s="37"/>
      <c r="J24" s="37"/>
      <c r="K24" s="37"/>
      <c r="L24" s="37"/>
      <c r="M24" s="37"/>
      <c r="N24" s="35"/>
    </row>
    <row r="25" spans="1:14" ht="18.2" customHeight="1" x14ac:dyDescent="0.25">
      <c r="A25" s="182" t="s">
        <v>98</v>
      </c>
      <c r="B25" s="182"/>
      <c r="C25" s="182"/>
      <c r="D25" s="182"/>
      <c r="E25" s="182"/>
      <c r="F25" s="37"/>
      <c r="G25" s="37"/>
      <c r="H25" s="37"/>
      <c r="I25" s="37"/>
      <c r="J25" s="37"/>
      <c r="K25" s="37"/>
      <c r="L25" s="37"/>
      <c r="M25" s="37"/>
      <c r="N25" s="35"/>
    </row>
    <row r="26" spans="1:14" ht="18.2" customHeight="1" x14ac:dyDescent="0.25">
      <c r="A26" s="182"/>
      <c r="B26" s="182"/>
      <c r="C26" s="182"/>
      <c r="D26" s="182"/>
      <c r="E26" s="182"/>
      <c r="F26" s="37"/>
      <c r="G26" s="37"/>
      <c r="H26" s="37"/>
      <c r="I26" s="37"/>
      <c r="J26" s="37"/>
      <c r="K26" s="37"/>
      <c r="L26" s="37"/>
      <c r="M26" s="37"/>
      <c r="N26" s="35"/>
    </row>
    <row r="27" spans="1:14" ht="18.2" customHeight="1" x14ac:dyDescent="0.25">
      <c r="A27" s="182" t="s">
        <v>99</v>
      </c>
      <c r="B27" s="182"/>
      <c r="C27" s="182"/>
      <c r="D27" s="182"/>
      <c r="E27" s="182"/>
      <c r="F27" s="37"/>
      <c r="G27" s="37"/>
      <c r="H27" s="37"/>
      <c r="I27" s="37"/>
      <c r="J27" s="37"/>
      <c r="K27" s="37"/>
      <c r="L27" s="37"/>
      <c r="M27" s="37"/>
      <c r="N27" s="35"/>
    </row>
    <row r="28" spans="1:14" ht="18.2" customHeight="1" x14ac:dyDescent="0.25">
      <c r="A28" s="182" t="s">
        <v>100</v>
      </c>
      <c r="B28" s="182"/>
      <c r="C28" s="182"/>
      <c r="D28" s="182"/>
      <c r="E28" s="182"/>
      <c r="F28" s="37"/>
      <c r="G28" s="37"/>
      <c r="H28" s="37"/>
      <c r="I28" s="37"/>
      <c r="J28" s="37"/>
      <c r="K28" s="37"/>
      <c r="L28" s="37"/>
      <c r="M28" s="37"/>
      <c r="N28" s="35"/>
    </row>
    <row r="29" spans="1:14" ht="18.2" customHeight="1" x14ac:dyDescent="0.25">
      <c r="A29" s="182" t="s">
        <v>101</v>
      </c>
      <c r="B29" s="182"/>
      <c r="C29" s="182"/>
      <c r="D29" s="182"/>
      <c r="E29" s="182"/>
      <c r="F29" s="37"/>
      <c r="G29" s="37"/>
      <c r="H29" s="37"/>
      <c r="I29" s="37"/>
      <c r="J29" s="37"/>
      <c r="K29" s="37"/>
      <c r="L29" s="37"/>
      <c r="M29" s="37"/>
      <c r="N29" s="35"/>
    </row>
    <row r="30" spans="1:14" ht="18.2" customHeight="1" x14ac:dyDescent="0.25">
      <c r="A30" s="182" t="s">
        <v>102</v>
      </c>
      <c r="B30" s="182"/>
      <c r="C30" s="182"/>
      <c r="D30" s="182"/>
      <c r="E30" s="182"/>
      <c r="F30" s="37"/>
      <c r="G30" s="37"/>
      <c r="H30" s="37"/>
      <c r="I30" s="37"/>
      <c r="J30" s="37"/>
      <c r="K30" s="37"/>
      <c r="L30" s="37"/>
      <c r="M30" s="37"/>
      <c r="N30" s="35"/>
    </row>
    <row r="31" spans="1:14" ht="18.2" customHeight="1" x14ac:dyDescent="0.25">
      <c r="A31" s="182"/>
      <c r="B31" s="182"/>
      <c r="C31" s="182"/>
      <c r="D31" s="182"/>
      <c r="E31" s="182"/>
      <c r="F31" s="37"/>
      <c r="G31" s="37"/>
      <c r="H31" s="37"/>
      <c r="I31" s="37"/>
      <c r="J31" s="37"/>
      <c r="K31" s="37"/>
      <c r="L31" s="37"/>
      <c r="M31" s="37"/>
      <c r="N31" s="35"/>
    </row>
    <row r="32" spans="1:14" ht="18.2" customHeight="1" x14ac:dyDescent="0.25">
      <c r="A32" s="182" t="s">
        <v>103</v>
      </c>
      <c r="B32" s="182"/>
      <c r="C32" s="182"/>
      <c r="D32" s="182"/>
      <c r="E32" s="182"/>
      <c r="F32" s="37"/>
      <c r="G32" s="37"/>
      <c r="H32" s="37"/>
      <c r="I32" s="37"/>
      <c r="J32" s="37"/>
      <c r="K32" s="37"/>
      <c r="L32" s="37"/>
      <c r="M32" s="37"/>
      <c r="N32" s="35"/>
    </row>
    <row r="33" spans="1:14" ht="18.2" customHeight="1" x14ac:dyDescent="0.25">
      <c r="A33" s="182" t="s">
        <v>104</v>
      </c>
      <c r="B33" s="182"/>
      <c r="C33" s="182"/>
      <c r="D33" s="182"/>
      <c r="E33" s="182"/>
      <c r="F33" s="37"/>
      <c r="G33" s="37"/>
      <c r="H33" s="37"/>
      <c r="I33" s="37"/>
      <c r="J33" s="37"/>
      <c r="K33" s="37"/>
      <c r="L33" s="37"/>
      <c r="M33" s="37"/>
      <c r="N33" s="35"/>
    </row>
    <row r="34" spans="1:14" ht="18.2" customHeight="1" x14ac:dyDescent="0.25">
      <c r="A34" s="182" t="s">
        <v>105</v>
      </c>
      <c r="B34" s="182"/>
      <c r="C34" s="182"/>
      <c r="D34" s="182"/>
      <c r="E34" s="182"/>
      <c r="F34" s="37"/>
      <c r="G34" s="37"/>
      <c r="H34" s="37"/>
      <c r="I34" s="37"/>
      <c r="J34" s="37"/>
      <c r="K34" s="37"/>
      <c r="L34" s="37"/>
      <c r="M34" s="37"/>
      <c r="N34" s="35"/>
    </row>
    <row r="35" spans="1:14" ht="18.2" customHeight="1" x14ac:dyDescent="0.25">
      <c r="A35" s="182" t="s">
        <v>106</v>
      </c>
      <c r="B35" s="182"/>
      <c r="C35" s="182"/>
      <c r="D35" s="182"/>
      <c r="E35" s="182"/>
      <c r="F35" s="37"/>
      <c r="G35" s="37"/>
      <c r="H35" s="37"/>
      <c r="I35" s="37"/>
      <c r="J35" s="37"/>
      <c r="K35" s="37"/>
      <c r="L35" s="37"/>
      <c r="M35" s="37"/>
      <c r="N35" s="35"/>
    </row>
    <row r="36" spans="1:14" ht="18.2" customHeight="1" x14ac:dyDescent="0.25">
      <c r="A36" s="182"/>
      <c r="B36" s="182"/>
      <c r="C36" s="182"/>
      <c r="D36" s="182"/>
      <c r="E36" s="182"/>
      <c r="F36" s="37"/>
      <c r="G36" s="37"/>
      <c r="H36" s="37"/>
      <c r="I36" s="37"/>
      <c r="J36" s="37"/>
      <c r="K36" s="37"/>
      <c r="L36" s="37"/>
      <c r="M36" s="37"/>
      <c r="N36" s="35"/>
    </row>
    <row r="37" spans="1:14" ht="18.2" customHeight="1" x14ac:dyDescent="0.25">
      <c r="A37" s="182" t="s">
        <v>107</v>
      </c>
      <c r="B37" s="182"/>
      <c r="C37" s="182"/>
      <c r="D37" s="182"/>
      <c r="E37" s="182"/>
      <c r="F37" s="37"/>
      <c r="G37" s="37"/>
      <c r="H37" s="37"/>
      <c r="I37" s="37"/>
      <c r="J37" s="37"/>
      <c r="K37" s="37"/>
      <c r="L37" s="37"/>
      <c r="M37" s="37"/>
      <c r="N37" s="35"/>
    </row>
    <row r="38" spans="1:14" ht="18.2" customHeight="1" x14ac:dyDescent="0.25">
      <c r="A38" s="182" t="s">
        <v>108</v>
      </c>
      <c r="B38" s="182"/>
      <c r="C38" s="182"/>
      <c r="D38" s="182"/>
      <c r="E38" s="182"/>
      <c r="F38" s="37"/>
      <c r="G38" s="37"/>
      <c r="H38" s="37"/>
      <c r="I38" s="37"/>
      <c r="J38" s="37"/>
      <c r="K38" s="37"/>
      <c r="L38" s="37"/>
      <c r="M38" s="37"/>
      <c r="N38" s="35"/>
    </row>
    <row r="39" spans="1:14" ht="18.2" customHeight="1" x14ac:dyDescent="0.25">
      <c r="A39" s="182" t="s">
        <v>109</v>
      </c>
      <c r="B39" s="182"/>
      <c r="C39" s="182"/>
      <c r="D39" s="182"/>
      <c r="E39" s="182"/>
      <c r="F39" s="37"/>
      <c r="G39" s="37"/>
      <c r="H39" s="37"/>
      <c r="I39" s="37"/>
      <c r="J39" s="37"/>
      <c r="K39" s="37"/>
      <c r="L39" s="37"/>
      <c r="M39" s="37"/>
      <c r="N39" s="35"/>
    </row>
    <row r="40" spans="1:14" ht="18.2" customHeight="1" x14ac:dyDescent="0.25">
      <c r="A40" s="182" t="s">
        <v>110</v>
      </c>
      <c r="B40" s="182"/>
      <c r="C40" s="182"/>
      <c r="D40" s="182"/>
      <c r="E40" s="182"/>
      <c r="F40" s="37"/>
      <c r="G40" s="37"/>
      <c r="H40" s="37"/>
      <c r="I40" s="37"/>
      <c r="J40" s="37"/>
      <c r="K40" s="37"/>
      <c r="L40" s="37"/>
      <c r="M40" s="37"/>
      <c r="N40" s="35"/>
    </row>
    <row r="41" spans="1:14" ht="18.2" customHeight="1" x14ac:dyDescent="0.25">
      <c r="A41" s="182"/>
      <c r="B41" s="182"/>
      <c r="C41" s="182"/>
      <c r="D41" s="182"/>
      <c r="E41" s="182"/>
      <c r="F41" s="37"/>
      <c r="G41" s="37"/>
      <c r="H41" s="37"/>
      <c r="I41" s="37"/>
      <c r="J41" s="37"/>
      <c r="K41" s="37"/>
      <c r="L41" s="37"/>
      <c r="M41" s="37"/>
      <c r="N41" s="35"/>
    </row>
    <row r="42" spans="1:14" ht="18.2" customHeight="1" x14ac:dyDescent="0.25">
      <c r="A42" s="182" t="s">
        <v>111</v>
      </c>
      <c r="B42" s="182"/>
      <c r="C42" s="182"/>
      <c r="D42" s="182"/>
      <c r="E42" s="182"/>
      <c r="F42" s="37"/>
      <c r="G42" s="37"/>
      <c r="H42" s="37"/>
      <c r="I42" s="37"/>
      <c r="J42" s="37"/>
      <c r="K42" s="37"/>
      <c r="L42" s="37"/>
      <c r="M42" s="37"/>
      <c r="N42" s="35"/>
    </row>
    <row r="43" spans="1:14" ht="18.2" customHeight="1" x14ac:dyDescent="0.25">
      <c r="A43" s="182" t="s">
        <v>112</v>
      </c>
      <c r="B43" s="182"/>
      <c r="C43" s="182"/>
      <c r="D43" s="182"/>
      <c r="E43" s="182"/>
      <c r="F43" s="37"/>
      <c r="G43" s="37"/>
      <c r="H43" s="37"/>
      <c r="I43" s="37"/>
      <c r="J43" s="37"/>
      <c r="K43" s="37"/>
      <c r="L43" s="37"/>
      <c r="M43" s="37"/>
      <c r="N43" s="35"/>
    </row>
    <row r="44" spans="1:14" ht="18.2" customHeight="1" x14ac:dyDescent="0.25">
      <c r="A44" s="182" t="s">
        <v>113</v>
      </c>
      <c r="B44" s="182"/>
      <c r="C44" s="182"/>
      <c r="D44" s="182"/>
      <c r="E44" s="182"/>
      <c r="F44" s="37"/>
      <c r="G44" s="37"/>
      <c r="H44" s="37"/>
      <c r="I44" s="37"/>
      <c r="J44" s="37"/>
      <c r="K44" s="37"/>
      <c r="L44" s="37"/>
      <c r="M44" s="37"/>
      <c r="N44" s="35"/>
    </row>
    <row r="45" spans="1:14" ht="18.2" customHeight="1" x14ac:dyDescent="0.25">
      <c r="A45" s="182" t="s">
        <v>114</v>
      </c>
      <c r="B45" s="182"/>
      <c r="C45" s="182"/>
      <c r="D45" s="182"/>
      <c r="E45" s="182"/>
      <c r="F45" s="37"/>
      <c r="G45" s="37"/>
      <c r="H45" s="37"/>
      <c r="I45" s="37"/>
      <c r="J45" s="37"/>
      <c r="K45" s="37"/>
      <c r="L45" s="37"/>
      <c r="M45" s="37"/>
      <c r="N45" s="35"/>
    </row>
    <row r="46" spans="1:14" ht="18.2" customHeight="1" x14ac:dyDescent="0.25">
      <c r="A46" s="182"/>
      <c r="B46" s="182"/>
      <c r="C46" s="182"/>
      <c r="D46" s="182"/>
      <c r="E46" s="182"/>
      <c r="F46" s="37"/>
      <c r="G46" s="37"/>
      <c r="H46" s="37"/>
      <c r="I46" s="37"/>
      <c r="J46" s="37"/>
      <c r="K46" s="37"/>
      <c r="L46" s="37"/>
      <c r="M46" s="37"/>
      <c r="N46" s="35"/>
    </row>
    <row r="47" spans="1:14" ht="18.2" customHeight="1" x14ac:dyDescent="0.25">
      <c r="A47" s="182" t="s">
        <v>115</v>
      </c>
      <c r="B47" s="182"/>
      <c r="C47" s="182"/>
      <c r="D47" s="182"/>
      <c r="E47" s="182"/>
      <c r="F47" s="37"/>
      <c r="G47" s="37"/>
      <c r="H47" s="37"/>
      <c r="I47" s="37"/>
      <c r="J47" s="37"/>
      <c r="K47" s="37"/>
      <c r="L47" s="37"/>
      <c r="M47" s="37"/>
      <c r="N47" s="35"/>
    </row>
    <row r="48" spans="1:14" ht="18.2" customHeight="1" x14ac:dyDescent="0.25">
      <c r="A48" s="182" t="s">
        <v>116</v>
      </c>
      <c r="B48" s="182"/>
      <c r="C48" s="182"/>
      <c r="D48" s="182"/>
      <c r="E48" s="182"/>
      <c r="F48" s="37"/>
      <c r="G48" s="37"/>
      <c r="H48" s="37"/>
      <c r="I48" s="37"/>
      <c r="J48" s="37"/>
      <c r="K48" s="37"/>
      <c r="L48" s="37"/>
      <c r="M48" s="37"/>
      <c r="N48" s="35"/>
    </row>
    <row r="49" spans="1:14" ht="18.2" customHeight="1" x14ac:dyDescent="0.25">
      <c r="A49" s="182" t="s">
        <v>117</v>
      </c>
      <c r="B49" s="182"/>
      <c r="C49" s="182"/>
      <c r="D49" s="182"/>
      <c r="E49" s="182"/>
      <c r="F49" s="37"/>
      <c r="G49" s="37"/>
      <c r="H49" s="37"/>
      <c r="I49" s="37"/>
      <c r="J49" s="37"/>
      <c r="K49" s="37"/>
      <c r="L49" s="37"/>
      <c r="M49" s="37"/>
      <c r="N49" s="35"/>
    </row>
    <row r="50" spans="1:14" ht="18.2" customHeight="1" x14ac:dyDescent="0.25">
      <c r="A50" s="182" t="s">
        <v>118</v>
      </c>
      <c r="B50" s="182"/>
      <c r="C50" s="182"/>
      <c r="D50" s="182"/>
      <c r="E50" s="182"/>
      <c r="F50" s="37"/>
      <c r="G50" s="37"/>
      <c r="H50" s="37"/>
      <c r="I50" s="37"/>
      <c r="J50" s="37"/>
      <c r="K50" s="37"/>
      <c r="L50" s="37"/>
      <c r="M50" s="37"/>
      <c r="N50" s="35"/>
    </row>
    <row r="51" spans="1:14" ht="18.2" customHeight="1" x14ac:dyDescent="0.25">
      <c r="A51" s="182"/>
      <c r="B51" s="182"/>
      <c r="C51" s="182"/>
      <c r="D51" s="182"/>
      <c r="E51" s="182"/>
      <c r="F51" s="37"/>
      <c r="G51" s="37"/>
      <c r="H51" s="37"/>
      <c r="I51" s="37"/>
      <c r="J51" s="37"/>
      <c r="K51" s="37"/>
      <c r="L51" s="37"/>
      <c r="M51" s="37"/>
      <c r="N51" s="35"/>
    </row>
    <row r="52" spans="1:14" ht="18.2" customHeight="1" x14ac:dyDescent="0.25">
      <c r="A52" s="182" t="s">
        <v>119</v>
      </c>
      <c r="B52" s="182"/>
      <c r="C52" s="182"/>
      <c r="D52" s="182"/>
      <c r="E52" s="182"/>
      <c r="F52" s="37"/>
      <c r="G52" s="37"/>
      <c r="H52" s="37"/>
      <c r="I52" s="37"/>
      <c r="J52" s="37"/>
      <c r="K52" s="37"/>
      <c r="L52" s="37"/>
      <c r="M52" s="37"/>
      <c r="N52" s="35"/>
    </row>
    <row r="53" spans="1:14" ht="18.2" customHeight="1" x14ac:dyDescent="0.25">
      <c r="A53" s="182" t="s">
        <v>120</v>
      </c>
      <c r="B53" s="182"/>
      <c r="C53" s="182"/>
      <c r="D53" s="182"/>
      <c r="E53" s="182"/>
      <c r="F53" s="37"/>
      <c r="G53" s="37"/>
      <c r="H53" s="37"/>
      <c r="I53" s="37"/>
      <c r="J53" s="37"/>
      <c r="K53" s="37"/>
      <c r="L53" s="37"/>
      <c r="M53" s="37"/>
      <c r="N53" s="35"/>
    </row>
    <row r="54" spans="1:14" ht="18.2" customHeight="1" x14ac:dyDescent="0.25">
      <c r="A54" s="182" t="s">
        <v>121</v>
      </c>
      <c r="B54" s="182"/>
      <c r="C54" s="182"/>
      <c r="D54" s="182"/>
      <c r="E54" s="182"/>
      <c r="F54" s="37"/>
      <c r="G54" s="37"/>
      <c r="H54" s="37"/>
      <c r="I54" s="37"/>
      <c r="J54" s="37"/>
      <c r="K54" s="37"/>
      <c r="L54" s="37"/>
      <c r="M54" s="37"/>
      <c r="N54" s="35"/>
    </row>
    <row r="55" spans="1:14" ht="18.2" customHeight="1" x14ac:dyDescent="0.25">
      <c r="A55" s="182" t="s">
        <v>122</v>
      </c>
      <c r="B55" s="182"/>
      <c r="C55" s="182"/>
      <c r="D55" s="182"/>
      <c r="E55" s="182"/>
      <c r="F55" s="37"/>
      <c r="G55" s="37"/>
      <c r="H55" s="37"/>
      <c r="I55" s="37"/>
      <c r="J55" s="37"/>
      <c r="K55" s="37"/>
      <c r="L55" s="37"/>
      <c r="M55" s="37"/>
      <c r="N55" s="35"/>
    </row>
    <row r="56" spans="1:14" ht="18.2" customHeight="1" x14ac:dyDescent="0.25">
      <c r="A56" s="182"/>
      <c r="B56" s="182"/>
      <c r="C56" s="182"/>
      <c r="D56" s="182"/>
      <c r="E56" s="182"/>
      <c r="F56" s="37"/>
      <c r="G56" s="37"/>
      <c r="H56" s="37"/>
      <c r="I56" s="37"/>
      <c r="J56" s="37"/>
      <c r="K56" s="37"/>
      <c r="L56" s="37"/>
      <c r="M56" s="37"/>
      <c r="N56" s="35"/>
    </row>
    <row r="57" spans="1:14" ht="18.2" customHeight="1" x14ac:dyDescent="0.25">
      <c r="A57" s="182" t="s">
        <v>123</v>
      </c>
      <c r="B57" s="182"/>
      <c r="C57" s="182"/>
      <c r="D57" s="182"/>
      <c r="E57" s="182"/>
      <c r="F57" s="37"/>
      <c r="G57" s="37"/>
      <c r="H57" s="37"/>
      <c r="I57" s="37"/>
      <c r="J57" s="37"/>
      <c r="K57" s="37"/>
      <c r="L57" s="37"/>
      <c r="M57" s="37"/>
      <c r="N57" s="35"/>
    </row>
    <row r="58" spans="1:14" ht="18.2" customHeight="1" x14ac:dyDescent="0.25">
      <c r="A58" s="182" t="s">
        <v>124</v>
      </c>
      <c r="B58" s="182"/>
      <c r="C58" s="182"/>
      <c r="D58" s="182"/>
      <c r="E58" s="182"/>
      <c r="F58" s="37"/>
      <c r="G58" s="37"/>
      <c r="H58" s="37"/>
      <c r="I58" s="37"/>
      <c r="J58" s="37"/>
      <c r="K58" s="37"/>
      <c r="L58" s="37"/>
      <c r="M58" s="37"/>
      <c r="N58" s="35"/>
    </row>
    <row r="59" spans="1:14" ht="18.2" customHeight="1" x14ac:dyDescent="0.25">
      <c r="A59" s="182" t="s">
        <v>125</v>
      </c>
      <c r="B59" s="182"/>
      <c r="C59" s="182"/>
      <c r="D59" s="182"/>
      <c r="E59" s="182"/>
      <c r="F59" s="37"/>
      <c r="G59" s="37"/>
      <c r="H59" s="37"/>
      <c r="I59" s="37"/>
      <c r="J59" s="37"/>
      <c r="K59" s="37"/>
      <c r="L59" s="37"/>
      <c r="M59" s="37"/>
      <c r="N59" s="35"/>
    </row>
    <row r="60" spans="1:14" ht="18.2" customHeight="1" x14ac:dyDescent="0.25">
      <c r="A60" s="182" t="s">
        <v>126</v>
      </c>
      <c r="B60" s="182"/>
      <c r="C60" s="182"/>
      <c r="D60" s="182"/>
      <c r="E60" s="182"/>
      <c r="F60" s="37"/>
      <c r="G60" s="37"/>
      <c r="H60" s="37"/>
      <c r="I60" s="37"/>
      <c r="J60" s="37"/>
      <c r="K60" s="37"/>
      <c r="L60" s="37"/>
      <c r="M60" s="37"/>
      <c r="N60" s="35"/>
    </row>
    <row r="61" spans="1:14" ht="18.2" customHeight="1" x14ac:dyDescent="0.25">
      <c r="A61" s="182"/>
      <c r="B61" s="182"/>
      <c r="C61" s="182"/>
      <c r="D61" s="182"/>
      <c r="E61" s="182"/>
      <c r="F61" s="37"/>
      <c r="G61" s="37"/>
      <c r="H61" s="37"/>
      <c r="I61" s="37"/>
      <c r="J61" s="37"/>
      <c r="K61" s="37"/>
      <c r="L61" s="37"/>
      <c r="M61" s="37"/>
      <c r="N61" s="35"/>
    </row>
    <row r="62" spans="1:14" ht="18.2" customHeight="1" x14ac:dyDescent="0.25">
      <c r="A62" s="182" t="s">
        <v>127</v>
      </c>
      <c r="B62" s="182"/>
      <c r="C62" s="182"/>
      <c r="D62" s="182"/>
      <c r="E62" s="182"/>
      <c r="F62" s="37"/>
      <c r="G62" s="37"/>
      <c r="H62" s="37"/>
      <c r="I62" s="37"/>
      <c r="J62" s="37"/>
      <c r="K62" s="37"/>
      <c r="L62" s="37"/>
      <c r="M62" s="37"/>
      <c r="N62" s="35"/>
    </row>
    <row r="63" spans="1:14" ht="18.2" customHeight="1" x14ac:dyDescent="0.25">
      <c r="A63" s="182" t="s">
        <v>128</v>
      </c>
      <c r="B63" s="182"/>
      <c r="C63" s="182"/>
      <c r="D63" s="182"/>
      <c r="E63" s="182"/>
      <c r="F63" s="37"/>
      <c r="G63" s="37"/>
      <c r="H63" s="37"/>
      <c r="I63" s="37"/>
      <c r="J63" s="37"/>
      <c r="K63" s="37"/>
      <c r="L63" s="37"/>
      <c r="M63" s="37"/>
      <c r="N63" s="35"/>
    </row>
    <row r="64" spans="1:14" ht="18.2" customHeight="1" x14ac:dyDescent="0.25">
      <c r="A64" s="182" t="s">
        <v>129</v>
      </c>
      <c r="B64" s="182"/>
      <c r="C64" s="182"/>
      <c r="D64" s="182"/>
      <c r="E64" s="182"/>
      <c r="F64" s="37"/>
      <c r="G64" s="37"/>
      <c r="H64" s="37"/>
      <c r="I64" s="37"/>
      <c r="J64" s="37"/>
      <c r="K64" s="37"/>
      <c r="L64" s="37"/>
      <c r="M64" s="37"/>
      <c r="N64" s="35"/>
    </row>
    <row r="65" spans="1:14" ht="18.2" customHeight="1" x14ac:dyDescent="0.25">
      <c r="A65" s="182" t="s">
        <v>130</v>
      </c>
      <c r="B65" s="182"/>
      <c r="C65" s="182"/>
      <c r="D65" s="182"/>
      <c r="E65" s="182"/>
      <c r="F65" s="37"/>
      <c r="G65" s="37"/>
      <c r="H65" s="37"/>
      <c r="I65" s="37"/>
      <c r="J65" s="37"/>
      <c r="K65" s="37"/>
      <c r="L65" s="37"/>
      <c r="M65" s="37"/>
      <c r="N65" s="35"/>
    </row>
    <row r="66" spans="1:14" ht="18.2" customHeight="1" x14ac:dyDescent="0.25">
      <c r="A66" s="182"/>
      <c r="B66" s="182"/>
      <c r="C66" s="182"/>
      <c r="D66" s="182"/>
      <c r="E66" s="182"/>
      <c r="F66" s="37"/>
      <c r="G66" s="37"/>
      <c r="H66" s="37"/>
      <c r="I66" s="37"/>
      <c r="J66" s="37"/>
      <c r="K66" s="37"/>
      <c r="L66" s="37"/>
      <c r="M66" s="37"/>
      <c r="N66" s="35"/>
    </row>
    <row r="67" spans="1:14" ht="18.2" customHeight="1" x14ac:dyDescent="0.25">
      <c r="A67" s="182" t="s">
        <v>131</v>
      </c>
      <c r="B67" s="182"/>
      <c r="C67" s="182"/>
      <c r="D67" s="182"/>
      <c r="E67" s="182"/>
      <c r="F67" s="37"/>
      <c r="G67" s="37"/>
      <c r="H67" s="37"/>
      <c r="I67" s="37"/>
      <c r="J67" s="37"/>
      <c r="K67" s="37"/>
      <c r="L67" s="37"/>
      <c r="M67" s="37"/>
      <c r="N67" s="35"/>
    </row>
    <row r="68" spans="1:14" ht="18.2" customHeight="1" x14ac:dyDescent="0.25">
      <c r="A68" s="182" t="s">
        <v>132</v>
      </c>
      <c r="B68" s="182"/>
      <c r="C68" s="182"/>
      <c r="D68" s="182"/>
      <c r="E68" s="182"/>
      <c r="F68" s="37"/>
      <c r="G68" s="37"/>
      <c r="H68" s="37"/>
      <c r="I68" s="37"/>
      <c r="J68" s="37"/>
      <c r="K68" s="37"/>
      <c r="L68" s="37"/>
      <c r="M68" s="37"/>
      <c r="N68" s="35"/>
    </row>
    <row r="69" spans="1:14" ht="18.2" customHeight="1" x14ac:dyDescent="0.25">
      <c r="A69" s="182" t="s">
        <v>133</v>
      </c>
      <c r="B69" s="182"/>
      <c r="C69" s="182"/>
      <c r="D69" s="182"/>
      <c r="E69" s="182"/>
      <c r="F69" s="37"/>
      <c r="G69" s="37"/>
      <c r="H69" s="37"/>
      <c r="I69" s="37"/>
      <c r="J69" s="37"/>
      <c r="K69" s="37"/>
      <c r="L69" s="37"/>
      <c r="M69" s="37"/>
      <c r="N69" s="35"/>
    </row>
    <row r="70" spans="1:14" ht="18.2" customHeight="1" x14ac:dyDescent="0.25">
      <c r="A70" s="182" t="s">
        <v>134</v>
      </c>
      <c r="B70" s="182"/>
      <c r="C70" s="182"/>
      <c r="D70" s="182"/>
      <c r="E70" s="182"/>
      <c r="F70" s="37"/>
      <c r="G70" s="37"/>
      <c r="H70" s="37"/>
      <c r="I70" s="37"/>
      <c r="J70" s="37"/>
      <c r="K70" s="37"/>
      <c r="L70" s="37"/>
      <c r="M70" s="37"/>
      <c r="N70" s="35"/>
    </row>
    <row r="71" spans="1:14" ht="18.2" customHeight="1" x14ac:dyDescent="0.25">
      <c r="A71" s="182"/>
      <c r="B71" s="182"/>
      <c r="C71" s="182"/>
      <c r="D71" s="182"/>
      <c r="E71" s="182"/>
      <c r="F71" s="37"/>
      <c r="G71" s="37"/>
      <c r="H71" s="37"/>
      <c r="I71" s="37"/>
      <c r="J71" s="37"/>
      <c r="K71" s="37"/>
      <c r="L71" s="37"/>
      <c r="M71" s="37"/>
      <c r="N71" s="35"/>
    </row>
    <row r="72" spans="1:14" ht="18.2" customHeight="1" x14ac:dyDescent="0.25">
      <c r="A72" s="182" t="s">
        <v>135</v>
      </c>
      <c r="B72" s="182"/>
      <c r="C72" s="182"/>
      <c r="D72" s="182"/>
      <c r="E72" s="182"/>
      <c r="F72" s="37"/>
      <c r="G72" s="37"/>
      <c r="H72" s="37"/>
      <c r="I72" s="37"/>
      <c r="J72" s="37"/>
      <c r="K72" s="37"/>
      <c r="L72" s="37"/>
      <c r="M72" s="37"/>
      <c r="N72" s="35"/>
    </row>
    <row r="73" spans="1:14" ht="18.2" customHeight="1" x14ac:dyDescent="0.25">
      <c r="A73" s="182" t="s">
        <v>136</v>
      </c>
      <c r="B73" s="182"/>
      <c r="C73" s="182"/>
      <c r="D73" s="182"/>
      <c r="E73" s="182"/>
      <c r="F73" s="37"/>
      <c r="G73" s="37"/>
      <c r="H73" s="37"/>
      <c r="I73" s="37"/>
      <c r="J73" s="37"/>
      <c r="K73" s="37"/>
      <c r="L73" s="37"/>
      <c r="M73" s="37"/>
      <c r="N73" s="35"/>
    </row>
    <row r="74" spans="1:14" ht="18.2" customHeight="1" x14ac:dyDescent="0.25">
      <c r="A74" s="182" t="s">
        <v>137</v>
      </c>
      <c r="B74" s="182"/>
      <c r="C74" s="182"/>
      <c r="D74" s="182"/>
      <c r="E74" s="182"/>
      <c r="F74" s="37"/>
      <c r="G74" s="37"/>
      <c r="H74" s="37"/>
      <c r="I74" s="37"/>
      <c r="J74" s="37"/>
      <c r="K74" s="37"/>
      <c r="L74" s="37"/>
      <c r="M74" s="37"/>
      <c r="N74" s="35"/>
    </row>
    <row r="75" spans="1:14" ht="18.2" customHeight="1" x14ac:dyDescent="0.25">
      <c r="A75" s="182" t="s">
        <v>138</v>
      </c>
      <c r="B75" s="182"/>
      <c r="C75" s="182"/>
      <c r="D75" s="182"/>
      <c r="E75" s="182"/>
      <c r="F75" s="37"/>
      <c r="G75" s="37"/>
      <c r="H75" s="37"/>
      <c r="I75" s="37"/>
      <c r="J75" s="37"/>
      <c r="K75" s="37"/>
      <c r="L75" s="37"/>
      <c r="M75" s="37"/>
      <c r="N75" s="35"/>
    </row>
    <row r="76" spans="1:14" ht="18.2" customHeight="1" x14ac:dyDescent="0.25">
      <c r="A76" s="182"/>
      <c r="B76" s="182"/>
      <c r="C76" s="182"/>
      <c r="D76" s="182"/>
      <c r="E76" s="182"/>
      <c r="F76" s="37"/>
      <c r="G76" s="37"/>
      <c r="H76" s="37"/>
      <c r="I76" s="37"/>
      <c r="J76" s="37"/>
      <c r="K76" s="37"/>
      <c r="L76" s="37"/>
      <c r="M76" s="37"/>
      <c r="N76" s="35"/>
    </row>
    <row r="77" spans="1:14" ht="18.2" customHeight="1" x14ac:dyDescent="0.25">
      <c r="A77" s="182" t="s">
        <v>139</v>
      </c>
      <c r="B77" s="182"/>
      <c r="C77" s="182"/>
      <c r="D77" s="182"/>
      <c r="E77" s="182"/>
      <c r="F77" s="37"/>
      <c r="G77" s="37"/>
      <c r="H77" s="37"/>
      <c r="I77" s="37"/>
      <c r="J77" s="37"/>
      <c r="K77" s="37"/>
      <c r="L77" s="37"/>
      <c r="M77" s="37"/>
      <c r="N77" s="35"/>
    </row>
    <row r="78" spans="1:14" ht="18.2" customHeight="1" x14ac:dyDescent="0.25">
      <c r="A78" s="182" t="s">
        <v>140</v>
      </c>
      <c r="B78" s="182"/>
      <c r="C78" s="182"/>
      <c r="D78" s="182"/>
      <c r="E78" s="182"/>
      <c r="F78" s="37"/>
      <c r="G78" s="37"/>
      <c r="H78" s="37"/>
      <c r="I78" s="37"/>
      <c r="J78" s="37"/>
      <c r="K78" s="37"/>
      <c r="L78" s="37"/>
      <c r="M78" s="37"/>
      <c r="N78" s="35"/>
    </row>
    <row r="79" spans="1:14" ht="18.2" customHeight="1" x14ac:dyDescent="0.25">
      <c r="A79" s="182" t="s">
        <v>141</v>
      </c>
      <c r="B79" s="182"/>
      <c r="C79" s="182"/>
      <c r="D79" s="182"/>
      <c r="E79" s="182"/>
      <c r="F79" s="37"/>
      <c r="G79" s="37"/>
      <c r="H79" s="37"/>
      <c r="I79" s="37"/>
      <c r="J79" s="37"/>
      <c r="K79" s="37"/>
      <c r="L79" s="37"/>
      <c r="M79" s="37"/>
      <c r="N79" s="35"/>
    </row>
    <row r="80" spans="1:14" ht="18.2" customHeight="1" x14ac:dyDescent="0.25">
      <c r="A80" s="182" t="s">
        <v>142</v>
      </c>
      <c r="B80" s="182"/>
      <c r="C80" s="182"/>
      <c r="D80" s="182"/>
      <c r="E80" s="182"/>
      <c r="F80" s="37"/>
      <c r="G80" s="37"/>
      <c r="H80" s="37"/>
      <c r="I80" s="37"/>
      <c r="J80" s="37"/>
      <c r="K80" s="37"/>
      <c r="L80" s="37"/>
      <c r="M80" s="37"/>
      <c r="N80" s="35"/>
    </row>
    <row r="81" spans="1:14" ht="18.2" customHeight="1" x14ac:dyDescent="0.25">
      <c r="A81" s="182"/>
      <c r="B81" s="182"/>
      <c r="C81" s="182"/>
      <c r="D81" s="182"/>
      <c r="E81" s="182"/>
      <c r="F81" s="37"/>
      <c r="G81" s="37"/>
      <c r="H81" s="37"/>
      <c r="I81" s="37"/>
      <c r="J81" s="37"/>
      <c r="K81" s="37"/>
      <c r="L81" s="37"/>
      <c r="M81" s="37"/>
      <c r="N81" s="35"/>
    </row>
    <row r="82" spans="1:14" ht="18.2" customHeight="1" x14ac:dyDescent="0.25">
      <c r="A82" s="182" t="s">
        <v>143</v>
      </c>
      <c r="B82" s="182"/>
      <c r="C82" s="182"/>
      <c r="D82" s="182"/>
      <c r="E82" s="182"/>
      <c r="F82" s="37"/>
      <c r="G82" s="37"/>
      <c r="H82" s="37"/>
      <c r="I82" s="37"/>
      <c r="J82" s="37"/>
      <c r="K82" s="37"/>
      <c r="L82" s="37"/>
      <c r="M82" s="37"/>
      <c r="N82" s="35"/>
    </row>
    <row r="83" spans="1:14" ht="18.2" customHeight="1" x14ac:dyDescent="0.25">
      <c r="A83" s="182" t="s">
        <v>144</v>
      </c>
      <c r="B83" s="182"/>
      <c r="C83" s="182"/>
      <c r="D83" s="182"/>
      <c r="E83" s="182"/>
      <c r="F83" s="37"/>
      <c r="G83" s="37"/>
      <c r="H83" s="37"/>
      <c r="I83" s="37"/>
      <c r="J83" s="37"/>
      <c r="K83" s="37"/>
      <c r="L83" s="37"/>
      <c r="M83" s="37"/>
      <c r="N83" s="35"/>
    </row>
    <row r="84" spans="1:14" ht="18.2" customHeight="1" x14ac:dyDescent="0.25">
      <c r="A84" s="182" t="s">
        <v>145</v>
      </c>
      <c r="B84" s="182"/>
      <c r="C84" s="182"/>
      <c r="D84" s="182"/>
      <c r="E84" s="182"/>
      <c r="F84" s="37"/>
      <c r="G84" s="37"/>
      <c r="H84" s="37"/>
      <c r="I84" s="37"/>
      <c r="J84" s="37"/>
      <c r="K84" s="37"/>
      <c r="L84" s="37"/>
      <c r="M84" s="37"/>
      <c r="N84" s="35"/>
    </row>
    <row r="85" spans="1:14" ht="18.2" customHeight="1" x14ac:dyDescent="0.25">
      <c r="A85" s="182" t="s">
        <v>146</v>
      </c>
      <c r="B85" s="182"/>
      <c r="C85" s="182"/>
      <c r="D85" s="182"/>
      <c r="E85" s="182"/>
      <c r="F85" s="37"/>
      <c r="G85" s="37"/>
      <c r="H85" s="37"/>
      <c r="I85" s="37"/>
      <c r="J85" s="37"/>
      <c r="K85" s="37"/>
      <c r="L85" s="37"/>
      <c r="M85" s="37"/>
      <c r="N85" s="35"/>
    </row>
    <row r="86" spans="1:14" ht="18.2" customHeight="1" x14ac:dyDescent="0.25">
      <c r="A86" s="182"/>
      <c r="B86" s="182"/>
      <c r="C86" s="182"/>
      <c r="D86" s="182"/>
      <c r="E86" s="182"/>
      <c r="F86" s="37"/>
      <c r="G86" s="37"/>
      <c r="H86" s="37"/>
      <c r="I86" s="37"/>
      <c r="J86" s="37"/>
      <c r="K86" s="37"/>
      <c r="L86" s="37"/>
      <c r="M86" s="37"/>
      <c r="N86" s="35"/>
    </row>
    <row r="87" spans="1:14" ht="18.2" customHeight="1" x14ac:dyDescent="0.25">
      <c r="A87" s="182" t="s">
        <v>147</v>
      </c>
      <c r="B87" s="182"/>
      <c r="C87" s="182"/>
      <c r="D87" s="182"/>
      <c r="E87" s="182"/>
      <c r="F87" s="37"/>
      <c r="G87" s="37"/>
      <c r="H87" s="37"/>
      <c r="I87" s="37"/>
      <c r="J87" s="37"/>
      <c r="K87" s="37"/>
      <c r="L87" s="37"/>
      <c r="M87" s="37"/>
      <c r="N87" s="35"/>
    </row>
    <row r="88" spans="1:14" ht="18.2" customHeight="1" x14ac:dyDescent="0.25">
      <c r="A88" s="182" t="s">
        <v>148</v>
      </c>
      <c r="B88" s="182"/>
      <c r="C88" s="182"/>
      <c r="D88" s="182"/>
      <c r="E88" s="182"/>
      <c r="F88" s="37"/>
      <c r="G88" s="37"/>
      <c r="H88" s="37"/>
      <c r="I88" s="37"/>
      <c r="J88" s="37"/>
      <c r="K88" s="37"/>
      <c r="L88" s="37"/>
      <c r="M88" s="37"/>
      <c r="N88" s="35"/>
    </row>
    <row r="89" spans="1:14" ht="18.2" customHeight="1" x14ac:dyDescent="0.25">
      <c r="A89" s="182" t="s">
        <v>149</v>
      </c>
      <c r="B89" s="182"/>
      <c r="C89" s="182"/>
      <c r="D89" s="182"/>
      <c r="E89" s="182"/>
      <c r="F89" s="37"/>
      <c r="G89" s="37"/>
      <c r="H89" s="37"/>
      <c r="I89" s="37"/>
      <c r="J89" s="37"/>
      <c r="K89" s="37"/>
      <c r="L89" s="37"/>
      <c r="M89" s="37"/>
      <c r="N89" s="35"/>
    </row>
    <row r="90" spans="1:14" ht="18.2" customHeight="1" x14ac:dyDescent="0.25">
      <c r="A90" s="182" t="s">
        <v>150</v>
      </c>
      <c r="B90" s="182"/>
      <c r="C90" s="182"/>
      <c r="D90" s="182"/>
      <c r="E90" s="182"/>
      <c r="F90" s="37"/>
      <c r="G90" s="37"/>
      <c r="H90" s="37"/>
      <c r="I90" s="37"/>
      <c r="J90" s="37"/>
      <c r="K90" s="37"/>
      <c r="L90" s="37"/>
      <c r="M90" s="37"/>
      <c r="N90" s="35"/>
    </row>
    <row r="91" spans="1:14" ht="18.2" customHeight="1" x14ac:dyDescent="0.25">
      <c r="A91" s="182"/>
      <c r="B91" s="182"/>
      <c r="C91" s="182"/>
      <c r="D91" s="182"/>
      <c r="E91" s="182"/>
      <c r="F91" s="37"/>
      <c r="G91" s="37"/>
      <c r="H91" s="37"/>
      <c r="I91" s="37"/>
      <c r="J91" s="37"/>
      <c r="K91" s="37"/>
      <c r="L91" s="37"/>
      <c r="M91" s="37"/>
      <c r="N91" s="35"/>
    </row>
    <row r="92" spans="1:14" ht="18.2" customHeight="1" x14ac:dyDescent="0.25">
      <c r="A92" s="182" t="s">
        <v>151</v>
      </c>
      <c r="B92" s="182"/>
      <c r="C92" s="182"/>
      <c r="D92" s="182"/>
      <c r="E92" s="182"/>
      <c r="F92" s="37"/>
      <c r="G92" s="37"/>
      <c r="H92" s="37"/>
      <c r="I92" s="37"/>
      <c r="J92" s="37"/>
      <c r="K92" s="37"/>
      <c r="L92" s="37"/>
      <c r="M92" s="37"/>
      <c r="N92" s="35"/>
    </row>
    <row r="93" spans="1:14" ht="18.2" customHeight="1" x14ac:dyDescent="0.25">
      <c r="A93" s="182" t="s">
        <v>152</v>
      </c>
      <c r="B93" s="182"/>
      <c r="C93" s="182"/>
      <c r="D93" s="182"/>
      <c r="E93" s="182"/>
      <c r="F93" s="37"/>
      <c r="G93" s="37"/>
      <c r="H93" s="37"/>
      <c r="I93" s="37"/>
      <c r="J93" s="37"/>
      <c r="K93" s="37"/>
      <c r="L93" s="37"/>
      <c r="M93" s="37"/>
      <c r="N93" s="35"/>
    </row>
    <row r="94" spans="1:14" ht="18.2" customHeight="1" x14ac:dyDescent="0.25">
      <c r="A94" s="182" t="s">
        <v>153</v>
      </c>
      <c r="B94" s="182"/>
      <c r="C94" s="182"/>
      <c r="D94" s="182"/>
      <c r="E94" s="182"/>
      <c r="F94" s="37"/>
      <c r="G94" s="37"/>
      <c r="H94" s="37"/>
      <c r="I94" s="37"/>
      <c r="J94" s="37"/>
      <c r="K94" s="37"/>
      <c r="L94" s="37"/>
      <c r="M94" s="37"/>
      <c r="N94" s="35"/>
    </row>
    <row r="95" spans="1:14" ht="18.2" customHeight="1" x14ac:dyDescent="0.25">
      <c r="A95" s="182" t="s">
        <v>154</v>
      </c>
      <c r="B95" s="182"/>
      <c r="C95" s="182"/>
      <c r="D95" s="182"/>
      <c r="E95" s="182"/>
      <c r="F95" s="37"/>
      <c r="G95" s="37"/>
      <c r="H95" s="37"/>
      <c r="I95" s="37"/>
      <c r="J95" s="37"/>
      <c r="K95" s="37"/>
      <c r="L95" s="37"/>
      <c r="M95" s="37"/>
      <c r="N95" s="35"/>
    </row>
    <row r="96" spans="1:14" ht="18.2" customHeight="1" x14ac:dyDescent="0.25">
      <c r="A96" s="182"/>
      <c r="B96" s="182"/>
      <c r="C96" s="182"/>
      <c r="D96" s="182"/>
      <c r="E96" s="182"/>
      <c r="F96" s="37"/>
      <c r="G96" s="37"/>
      <c r="H96" s="37"/>
      <c r="I96" s="37"/>
      <c r="J96" s="37"/>
      <c r="K96" s="37"/>
      <c r="L96" s="37"/>
      <c r="M96" s="37"/>
      <c r="N96" s="35"/>
    </row>
    <row r="97" spans="1:14" ht="18.2" customHeight="1" x14ac:dyDescent="0.25">
      <c r="A97" s="182" t="s">
        <v>155</v>
      </c>
      <c r="B97" s="182"/>
      <c r="C97" s="182"/>
      <c r="D97" s="182"/>
      <c r="E97" s="182"/>
      <c r="F97" s="37"/>
      <c r="G97" s="37"/>
      <c r="H97" s="37"/>
      <c r="I97" s="37"/>
      <c r="J97" s="37"/>
      <c r="K97" s="37"/>
      <c r="L97" s="37"/>
      <c r="M97" s="37"/>
      <c r="N97" s="35"/>
    </row>
    <row r="98" spans="1:14" ht="18.2" customHeight="1" x14ac:dyDescent="0.25">
      <c r="A98" s="182" t="s">
        <v>156</v>
      </c>
      <c r="B98" s="182"/>
      <c r="C98" s="182"/>
      <c r="D98" s="182"/>
      <c r="E98" s="182"/>
      <c r="F98" s="37"/>
      <c r="G98" s="37"/>
      <c r="H98" s="37"/>
      <c r="I98" s="37"/>
      <c r="J98" s="37"/>
      <c r="K98" s="37"/>
      <c r="L98" s="37"/>
      <c r="M98" s="37"/>
      <c r="N98" s="35"/>
    </row>
    <row r="99" spans="1:14" ht="18.2" customHeight="1" x14ac:dyDescent="0.25">
      <c r="A99" s="182" t="s">
        <v>157</v>
      </c>
      <c r="B99" s="182"/>
      <c r="C99" s="182"/>
      <c r="D99" s="182"/>
      <c r="E99" s="182"/>
      <c r="F99" s="37"/>
      <c r="G99" s="37"/>
      <c r="H99" s="37"/>
      <c r="I99" s="37"/>
      <c r="J99" s="37"/>
      <c r="K99" s="37"/>
      <c r="L99" s="37"/>
      <c r="M99" s="37"/>
      <c r="N99" s="35"/>
    </row>
    <row r="100" spans="1:14" ht="18.2" customHeight="1" x14ac:dyDescent="0.25">
      <c r="A100" s="182" t="s">
        <v>158</v>
      </c>
      <c r="B100" s="182"/>
      <c r="C100" s="182"/>
      <c r="D100" s="182"/>
      <c r="E100" s="182"/>
      <c r="F100" s="37"/>
      <c r="G100" s="37"/>
      <c r="H100" s="37"/>
      <c r="I100" s="37"/>
      <c r="J100" s="37"/>
      <c r="K100" s="37"/>
      <c r="L100" s="37"/>
      <c r="M100" s="37"/>
      <c r="N100" s="35"/>
    </row>
    <row r="101" spans="1:14" ht="18.2" customHeight="1" x14ac:dyDescent="0.25">
      <c r="A101" s="182"/>
      <c r="B101" s="182"/>
      <c r="C101" s="182"/>
      <c r="D101" s="182"/>
      <c r="E101" s="182"/>
      <c r="F101" s="37"/>
      <c r="G101" s="37"/>
      <c r="H101" s="37"/>
      <c r="I101" s="37"/>
      <c r="J101" s="37"/>
      <c r="K101" s="37"/>
      <c r="L101" s="37"/>
      <c r="M101" s="37"/>
      <c r="N101" s="35"/>
    </row>
    <row r="102" spans="1:14" ht="18.2" customHeight="1" x14ac:dyDescent="0.25">
      <c r="A102" s="182" t="s">
        <v>159</v>
      </c>
      <c r="B102" s="182"/>
      <c r="C102" s="182"/>
      <c r="D102" s="182"/>
      <c r="E102" s="182"/>
      <c r="F102" s="37"/>
      <c r="G102" s="37"/>
      <c r="H102" s="37"/>
      <c r="I102" s="37"/>
      <c r="J102" s="37"/>
      <c r="K102" s="37"/>
      <c r="L102" s="37"/>
      <c r="M102" s="37"/>
      <c r="N102" s="35"/>
    </row>
    <row r="103" spans="1:14" ht="18.2" customHeight="1" x14ac:dyDescent="0.25">
      <c r="A103" s="182" t="s">
        <v>160</v>
      </c>
      <c r="B103" s="182"/>
      <c r="C103" s="182"/>
      <c r="D103" s="182"/>
      <c r="E103" s="182"/>
      <c r="F103" s="37"/>
      <c r="G103" s="37"/>
      <c r="H103" s="37"/>
      <c r="I103" s="37"/>
      <c r="J103" s="37"/>
      <c r="K103" s="37"/>
      <c r="L103" s="37"/>
      <c r="M103" s="37"/>
      <c r="N103" s="35"/>
    </row>
    <row r="104" spans="1:14" ht="18.2" customHeight="1" x14ac:dyDescent="0.25">
      <c r="A104" s="182" t="s">
        <v>161</v>
      </c>
      <c r="B104" s="182"/>
      <c r="C104" s="182"/>
      <c r="D104" s="182"/>
      <c r="E104" s="182"/>
      <c r="F104" s="37"/>
      <c r="G104" s="37"/>
      <c r="H104" s="37"/>
      <c r="I104" s="37"/>
      <c r="J104" s="37"/>
      <c r="K104" s="37"/>
      <c r="L104" s="37"/>
      <c r="M104" s="37"/>
      <c r="N104" s="35"/>
    </row>
    <row r="105" spans="1:14" ht="18.2" customHeight="1" x14ac:dyDescent="0.25">
      <c r="A105" s="182" t="s">
        <v>162</v>
      </c>
      <c r="B105" s="182"/>
      <c r="C105" s="182"/>
      <c r="D105" s="182"/>
      <c r="E105" s="182"/>
      <c r="F105" s="37"/>
      <c r="G105" s="37"/>
      <c r="H105" s="37"/>
      <c r="I105" s="37"/>
      <c r="J105" s="37"/>
      <c r="K105" s="37"/>
      <c r="L105" s="37"/>
      <c r="M105" s="37"/>
      <c r="N105" s="35"/>
    </row>
    <row r="106" spans="1:14" ht="18.2" customHeight="1" x14ac:dyDescent="0.25">
      <c r="A106" s="182"/>
      <c r="B106" s="182"/>
      <c r="C106" s="182"/>
      <c r="D106" s="182"/>
      <c r="E106" s="182"/>
      <c r="F106" s="37"/>
      <c r="G106" s="37"/>
      <c r="H106" s="37"/>
      <c r="I106" s="37"/>
      <c r="J106" s="37"/>
      <c r="K106" s="37"/>
      <c r="L106" s="37"/>
      <c r="M106" s="37"/>
      <c r="N106" s="35"/>
    </row>
    <row r="107" spans="1:14" ht="18.2" customHeight="1" x14ac:dyDescent="0.25">
      <c r="A107" s="182" t="s">
        <v>163</v>
      </c>
      <c r="B107" s="182"/>
      <c r="C107" s="182"/>
      <c r="D107" s="182"/>
      <c r="E107" s="182"/>
      <c r="F107" s="37"/>
      <c r="G107" s="37"/>
      <c r="H107" s="37"/>
      <c r="I107" s="37"/>
      <c r="J107" s="37"/>
      <c r="K107" s="37"/>
      <c r="L107" s="37"/>
      <c r="M107" s="37"/>
      <c r="N107" s="35"/>
    </row>
    <row r="108" spans="1:14" ht="18.2" customHeight="1" x14ac:dyDescent="0.25">
      <c r="A108" s="182" t="s">
        <v>164</v>
      </c>
      <c r="B108" s="182"/>
      <c r="C108" s="182"/>
      <c r="D108" s="182"/>
      <c r="E108" s="182"/>
      <c r="F108" s="37"/>
      <c r="G108" s="37"/>
      <c r="H108" s="37"/>
      <c r="I108" s="37"/>
      <c r="J108" s="37"/>
      <c r="K108" s="37"/>
      <c r="L108" s="37"/>
      <c r="M108" s="37"/>
      <c r="N108" s="35"/>
    </row>
    <row r="109" spans="1:14" ht="18.2" customHeight="1" x14ac:dyDescent="0.25">
      <c r="A109" s="182" t="s">
        <v>165</v>
      </c>
      <c r="B109" s="182"/>
      <c r="C109" s="182"/>
      <c r="D109" s="182"/>
      <c r="E109" s="182"/>
      <c r="F109" s="37"/>
      <c r="G109" s="37"/>
      <c r="H109" s="37"/>
      <c r="I109" s="37"/>
      <c r="J109" s="37"/>
      <c r="K109" s="37"/>
      <c r="L109" s="37"/>
      <c r="M109" s="37"/>
      <c r="N109" s="35"/>
    </row>
    <row r="110" spans="1:14" ht="18.2" customHeight="1" x14ac:dyDescent="0.25">
      <c r="A110" s="182" t="s">
        <v>166</v>
      </c>
      <c r="B110" s="182"/>
      <c r="C110" s="182"/>
      <c r="D110" s="182"/>
      <c r="E110" s="182"/>
      <c r="F110" s="37"/>
      <c r="G110" s="37"/>
      <c r="H110" s="37"/>
      <c r="I110" s="37"/>
      <c r="J110" s="37"/>
      <c r="K110" s="37"/>
      <c r="L110" s="37"/>
      <c r="M110" s="37"/>
      <c r="N110" s="35"/>
    </row>
    <row r="111" spans="1:14" ht="18.2" customHeight="1" x14ac:dyDescent="0.25">
      <c r="A111" s="182"/>
      <c r="B111" s="182"/>
      <c r="C111" s="182"/>
      <c r="D111" s="182"/>
      <c r="E111" s="182"/>
      <c r="F111" s="37"/>
      <c r="G111" s="37"/>
      <c r="H111" s="37"/>
      <c r="I111" s="37"/>
      <c r="J111" s="37"/>
      <c r="K111" s="37"/>
      <c r="L111" s="37"/>
      <c r="M111" s="37"/>
      <c r="N111" s="35"/>
    </row>
    <row r="112" spans="1:14" ht="18.2" customHeight="1" x14ac:dyDescent="0.25">
      <c r="A112" s="182" t="s">
        <v>167</v>
      </c>
      <c r="B112" s="182"/>
      <c r="C112" s="182"/>
      <c r="D112" s="182"/>
      <c r="E112" s="182"/>
      <c r="F112" s="37"/>
      <c r="G112" s="37"/>
      <c r="H112" s="37"/>
      <c r="I112" s="37"/>
      <c r="J112" s="37"/>
      <c r="K112" s="37"/>
      <c r="L112" s="37"/>
      <c r="M112" s="37"/>
      <c r="N112" s="35"/>
    </row>
    <row r="113" spans="1:14" ht="18.2" customHeight="1" x14ac:dyDescent="0.25">
      <c r="A113" s="182" t="s">
        <v>168</v>
      </c>
      <c r="B113" s="182"/>
      <c r="C113" s="182"/>
      <c r="D113" s="182"/>
      <c r="E113" s="182"/>
      <c r="F113" s="37"/>
      <c r="G113" s="37"/>
      <c r="H113" s="37"/>
      <c r="I113" s="37"/>
      <c r="J113" s="37"/>
      <c r="K113" s="37"/>
      <c r="L113" s="37"/>
      <c r="M113" s="37"/>
      <c r="N113" s="35"/>
    </row>
    <row r="114" spans="1:14" ht="18.2" customHeight="1" x14ac:dyDescent="0.25">
      <c r="A114" s="182"/>
      <c r="B114" s="182"/>
      <c r="C114" s="182"/>
      <c r="D114" s="182"/>
      <c r="E114" s="182"/>
      <c r="F114" s="37"/>
      <c r="G114" s="37"/>
      <c r="H114" s="37"/>
      <c r="I114" s="37"/>
      <c r="J114" s="37"/>
      <c r="K114" s="37"/>
      <c r="L114" s="37"/>
      <c r="M114" s="37"/>
      <c r="N114" s="35"/>
    </row>
    <row r="115" spans="1:14" ht="64.150000000000006" customHeight="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</row>
    <row r="116" spans="1:14" ht="3.75" customHeight="1" x14ac:dyDescent="0.25">
      <c r="A116" s="35"/>
      <c r="B116" s="35"/>
      <c r="C116" s="35"/>
      <c r="D116" s="35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</row>
    <row r="117" spans="1:14" ht="9.75" customHeight="1" x14ac:dyDescent="0.25">
      <c r="A117" s="185"/>
      <c r="B117" s="185"/>
      <c r="C117" s="35"/>
      <c r="D117" s="35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</row>
    <row r="118" spans="1:14" ht="6.75" customHeight="1" x14ac:dyDescent="0.25">
      <c r="A118" s="185"/>
      <c r="B118" s="18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</row>
  </sheetData>
  <sheetProtection algorithmName="SHA-512" hashValue="w3zGqfR1Fw+9DQAc6L+Pg0ji5/K6T4ihe8t3OO+J/f0RpG+/i9sQzavTOMnaSaBZyu0INk8q8a1tdrIM3MJxnA==" saltValue="n1HT2BPfT66CPS2vxsLw/g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ascieMER"/>
  <dimension ref="A1:N118"/>
  <sheetViews>
    <sheetView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630"/>
      <c r="C2" s="630"/>
      <c r="D2" s="35"/>
      <c r="E2" s="631"/>
      <c r="F2" s="631"/>
      <c r="G2" s="631"/>
      <c r="H2" s="631"/>
      <c r="I2" s="631"/>
      <c r="J2" s="35"/>
      <c r="K2" s="630"/>
      <c r="L2" s="630"/>
      <c r="M2" s="632"/>
      <c r="N2" s="632"/>
    </row>
    <row r="3" spans="1:14" ht="12.95" customHeight="1" x14ac:dyDescent="0.25">
      <c r="A3" s="630"/>
      <c r="B3" s="630"/>
      <c r="C3" s="630"/>
      <c r="D3" s="35"/>
      <c r="E3" s="631"/>
      <c r="F3" s="631"/>
      <c r="G3" s="631"/>
      <c r="H3" s="631"/>
      <c r="I3" s="631"/>
      <c r="J3" s="35"/>
      <c r="K3" s="630"/>
      <c r="L3" s="630"/>
      <c r="M3" s="633"/>
      <c r="N3" s="633"/>
    </row>
    <row r="4" spans="1:14" ht="0.75" customHeight="1" x14ac:dyDescent="0.25">
      <c r="A4" s="630"/>
      <c r="B4" s="630"/>
      <c r="C4" s="630"/>
      <c r="D4" s="35"/>
      <c r="E4" s="35"/>
      <c r="F4" s="35"/>
      <c r="G4" s="35"/>
      <c r="H4" s="35"/>
      <c r="I4" s="35"/>
      <c r="J4" s="35"/>
      <c r="K4" s="630"/>
      <c r="L4" s="630"/>
      <c r="M4" s="35"/>
      <c r="N4" s="35"/>
    </row>
    <row r="5" spans="1:14" ht="12.95" customHeight="1" x14ac:dyDescent="0.25">
      <c r="A5" s="35"/>
      <c r="B5" s="35"/>
      <c r="C5" s="35"/>
      <c r="D5" s="35"/>
      <c r="E5" s="631"/>
      <c r="F5" s="631"/>
      <c r="G5" s="631"/>
      <c r="H5" s="631"/>
      <c r="I5" s="631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634"/>
      <c r="B7" s="634"/>
      <c r="C7" s="634"/>
      <c r="D7" s="634"/>
      <c r="E7" s="634"/>
      <c r="F7" s="634"/>
      <c r="G7" s="634"/>
      <c r="H7" s="634"/>
      <c r="I7" s="634"/>
      <c r="J7" s="634"/>
      <c r="K7" s="634"/>
      <c r="L7" s="634"/>
      <c r="M7" s="634"/>
      <c r="N7" s="634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635"/>
      <c r="F9" s="635"/>
      <c r="G9" s="635"/>
      <c r="H9" s="635"/>
      <c r="I9" s="635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626" t="s">
        <v>86</v>
      </c>
      <c r="B11" s="626"/>
      <c r="C11" s="626"/>
      <c r="D11" s="626"/>
      <c r="E11" s="626"/>
      <c r="F11" s="329" t="s">
        <v>330</v>
      </c>
      <c r="G11" s="329" t="s">
        <v>299</v>
      </c>
      <c r="H11" s="627"/>
      <c r="I11" s="627"/>
      <c r="J11" s="627"/>
      <c r="K11" s="627"/>
      <c r="L11" s="627"/>
      <c r="M11" s="627"/>
      <c r="N11" s="35"/>
    </row>
    <row r="12" spans="1:14" ht="18.2" customHeight="1" x14ac:dyDescent="0.25">
      <c r="A12" s="628" t="s">
        <v>87</v>
      </c>
      <c r="B12" s="628"/>
      <c r="C12" s="628"/>
      <c r="D12" s="628"/>
      <c r="E12" s="628"/>
      <c r="F12" s="37"/>
      <c r="G12" s="37"/>
      <c r="H12" s="629"/>
      <c r="I12" s="629"/>
      <c r="J12" s="629"/>
      <c r="K12" s="629"/>
      <c r="L12" s="629"/>
      <c r="M12" s="629"/>
      <c r="N12" s="35"/>
    </row>
    <row r="13" spans="1:14" ht="18.2" customHeight="1" x14ac:dyDescent="0.25">
      <c r="A13" s="628" t="s">
        <v>88</v>
      </c>
      <c r="B13" s="628"/>
      <c r="C13" s="628"/>
      <c r="D13" s="628"/>
      <c r="E13" s="628"/>
      <c r="F13" s="37"/>
      <c r="G13" s="37"/>
      <c r="H13" s="629"/>
      <c r="I13" s="629"/>
      <c r="J13" s="629"/>
      <c r="K13" s="629"/>
      <c r="L13" s="629"/>
      <c r="M13" s="629"/>
      <c r="N13" s="35"/>
    </row>
    <row r="14" spans="1:14" ht="18.2" customHeight="1" x14ac:dyDescent="0.25">
      <c r="A14" s="628" t="s">
        <v>89</v>
      </c>
      <c r="B14" s="628"/>
      <c r="C14" s="628"/>
      <c r="D14" s="628"/>
      <c r="E14" s="628"/>
      <c r="F14" s="37"/>
      <c r="G14" s="37"/>
      <c r="H14" s="629"/>
      <c r="I14" s="629"/>
      <c r="J14" s="629"/>
      <c r="K14" s="629"/>
      <c r="L14" s="629"/>
      <c r="M14" s="629"/>
      <c r="N14" s="35"/>
    </row>
    <row r="15" spans="1:14" ht="18.2" customHeight="1" x14ac:dyDescent="0.25">
      <c r="A15" s="628" t="s">
        <v>90</v>
      </c>
      <c r="B15" s="628"/>
      <c r="C15" s="628"/>
      <c r="D15" s="628"/>
      <c r="E15" s="628"/>
      <c r="F15" s="37"/>
      <c r="G15" s="37"/>
      <c r="H15" s="629"/>
      <c r="I15" s="629"/>
      <c r="J15" s="629"/>
      <c r="K15" s="629"/>
      <c r="L15" s="629"/>
      <c r="M15" s="629"/>
      <c r="N15" s="35"/>
    </row>
    <row r="16" spans="1:14" ht="18.2" customHeight="1" x14ac:dyDescent="0.25">
      <c r="A16" s="628"/>
      <c r="B16" s="628"/>
      <c r="C16" s="628"/>
      <c r="D16" s="628"/>
      <c r="E16" s="628"/>
      <c r="F16" s="37"/>
      <c r="G16" s="37"/>
      <c r="H16" s="629"/>
      <c r="I16" s="629"/>
      <c r="J16" s="629"/>
      <c r="K16" s="629"/>
      <c r="L16" s="629"/>
      <c r="M16" s="629"/>
      <c r="N16" s="35"/>
    </row>
    <row r="17" spans="1:14" ht="18.2" customHeight="1" x14ac:dyDescent="0.25">
      <c r="A17" s="628" t="s">
        <v>91</v>
      </c>
      <c r="B17" s="628"/>
      <c r="C17" s="628"/>
      <c r="D17" s="628"/>
      <c r="E17" s="628"/>
      <c r="F17" s="37"/>
      <c r="G17" s="37"/>
      <c r="H17" s="629"/>
      <c r="I17" s="629"/>
      <c r="J17" s="629"/>
      <c r="K17" s="629"/>
      <c r="L17" s="629"/>
      <c r="M17" s="629"/>
      <c r="N17" s="35"/>
    </row>
    <row r="18" spans="1:14" ht="18.2" customHeight="1" x14ac:dyDescent="0.25">
      <c r="A18" s="628" t="s">
        <v>92</v>
      </c>
      <c r="B18" s="628"/>
      <c r="C18" s="628"/>
      <c r="D18" s="628"/>
      <c r="E18" s="628"/>
      <c r="F18" s="37"/>
      <c r="G18" s="37"/>
      <c r="H18" s="629"/>
      <c r="I18" s="629"/>
      <c r="J18" s="629"/>
      <c r="K18" s="629"/>
      <c r="L18" s="629"/>
      <c r="M18" s="629"/>
      <c r="N18" s="35"/>
    </row>
    <row r="19" spans="1:14" ht="18.2" customHeight="1" x14ac:dyDescent="0.25">
      <c r="A19" s="628" t="s">
        <v>93</v>
      </c>
      <c r="B19" s="628"/>
      <c r="C19" s="628"/>
      <c r="D19" s="628"/>
      <c r="E19" s="628"/>
      <c r="F19" s="37"/>
      <c r="G19" s="37"/>
      <c r="H19" s="629"/>
      <c r="I19" s="629"/>
      <c r="J19" s="629"/>
      <c r="K19" s="629"/>
      <c r="L19" s="629"/>
      <c r="M19" s="629"/>
      <c r="N19" s="35"/>
    </row>
    <row r="20" spans="1:14" ht="18.2" customHeight="1" x14ac:dyDescent="0.25">
      <c r="A20" s="628" t="s">
        <v>94</v>
      </c>
      <c r="B20" s="628"/>
      <c r="C20" s="628"/>
      <c r="D20" s="628"/>
      <c r="E20" s="628"/>
      <c r="F20" s="37"/>
      <c r="G20" s="37"/>
      <c r="H20" s="629"/>
      <c r="I20" s="629"/>
      <c r="J20" s="629"/>
      <c r="K20" s="629"/>
      <c r="L20" s="629"/>
      <c r="M20" s="629"/>
      <c r="N20" s="35"/>
    </row>
    <row r="21" spans="1:14" ht="18.2" customHeight="1" x14ac:dyDescent="0.25">
      <c r="A21" s="628"/>
      <c r="B21" s="628"/>
      <c r="C21" s="628"/>
      <c r="D21" s="628"/>
      <c r="E21" s="628"/>
      <c r="F21" s="37"/>
      <c r="G21" s="37"/>
      <c r="H21" s="629"/>
      <c r="I21" s="629"/>
      <c r="J21" s="629"/>
      <c r="K21" s="629"/>
      <c r="L21" s="629"/>
      <c r="M21" s="629"/>
      <c r="N21" s="35"/>
    </row>
    <row r="22" spans="1:14" ht="18.2" customHeight="1" x14ac:dyDescent="0.25">
      <c r="A22" s="628" t="s">
        <v>95</v>
      </c>
      <c r="B22" s="628"/>
      <c r="C22" s="628"/>
      <c r="D22" s="628"/>
      <c r="E22" s="628"/>
      <c r="F22" s="37"/>
      <c r="G22" s="37"/>
      <c r="H22" s="629"/>
      <c r="I22" s="629"/>
      <c r="J22" s="629"/>
      <c r="K22" s="629"/>
      <c r="L22" s="629"/>
      <c r="M22" s="629"/>
      <c r="N22" s="35"/>
    </row>
    <row r="23" spans="1:14" ht="18.2" customHeight="1" x14ac:dyDescent="0.25">
      <c r="A23" s="628" t="s">
        <v>96</v>
      </c>
      <c r="B23" s="628"/>
      <c r="C23" s="628"/>
      <c r="D23" s="628"/>
      <c r="E23" s="628"/>
      <c r="F23" s="37"/>
      <c r="G23" s="37"/>
      <c r="H23" s="629"/>
      <c r="I23" s="629"/>
      <c r="J23" s="629"/>
      <c r="K23" s="629"/>
      <c r="L23" s="629"/>
      <c r="M23" s="629"/>
      <c r="N23" s="35"/>
    </row>
    <row r="24" spans="1:14" ht="18.2" customHeight="1" x14ac:dyDescent="0.25">
      <c r="A24" s="628" t="s">
        <v>97</v>
      </c>
      <c r="B24" s="628"/>
      <c r="C24" s="628"/>
      <c r="D24" s="628"/>
      <c r="E24" s="628"/>
      <c r="F24" s="37"/>
      <c r="G24" s="37"/>
      <c r="H24" s="629"/>
      <c r="I24" s="629"/>
      <c r="J24" s="629"/>
      <c r="K24" s="629"/>
      <c r="L24" s="629"/>
      <c r="M24" s="629"/>
      <c r="N24" s="35"/>
    </row>
    <row r="25" spans="1:14" ht="18.2" customHeight="1" x14ac:dyDescent="0.25">
      <c r="A25" s="628" t="s">
        <v>98</v>
      </c>
      <c r="B25" s="628"/>
      <c r="C25" s="628"/>
      <c r="D25" s="628"/>
      <c r="E25" s="628"/>
      <c r="F25" s="37"/>
      <c r="G25" s="37"/>
      <c r="H25" s="629"/>
      <c r="I25" s="629"/>
      <c r="J25" s="629"/>
      <c r="K25" s="629"/>
      <c r="L25" s="629"/>
      <c r="M25" s="629"/>
      <c r="N25" s="35"/>
    </row>
    <row r="26" spans="1:14" ht="18.2" customHeight="1" x14ac:dyDescent="0.25">
      <c r="A26" s="628"/>
      <c r="B26" s="628"/>
      <c r="C26" s="628"/>
      <c r="D26" s="628"/>
      <c r="E26" s="628"/>
      <c r="F26" s="37"/>
      <c r="G26" s="37"/>
      <c r="H26" s="629"/>
      <c r="I26" s="629"/>
      <c r="J26" s="629"/>
      <c r="K26" s="629"/>
      <c r="L26" s="629"/>
      <c r="M26" s="629"/>
      <c r="N26" s="35"/>
    </row>
    <row r="27" spans="1:14" ht="18.2" customHeight="1" x14ac:dyDescent="0.25">
      <c r="A27" s="628" t="s">
        <v>99</v>
      </c>
      <c r="B27" s="628"/>
      <c r="C27" s="628"/>
      <c r="D27" s="628"/>
      <c r="E27" s="628"/>
      <c r="F27" s="37"/>
      <c r="G27" s="37"/>
      <c r="H27" s="629"/>
      <c r="I27" s="629"/>
      <c r="J27" s="629"/>
      <c r="K27" s="629"/>
      <c r="L27" s="629"/>
      <c r="M27" s="629"/>
      <c r="N27" s="35"/>
    </row>
    <row r="28" spans="1:14" ht="18.2" customHeight="1" x14ac:dyDescent="0.25">
      <c r="A28" s="628" t="s">
        <v>100</v>
      </c>
      <c r="B28" s="628"/>
      <c r="C28" s="628"/>
      <c r="D28" s="628"/>
      <c r="E28" s="628"/>
      <c r="F28" s="37"/>
      <c r="G28" s="37"/>
      <c r="H28" s="629"/>
      <c r="I28" s="629"/>
      <c r="J28" s="629"/>
      <c r="K28" s="629"/>
      <c r="L28" s="629"/>
      <c r="M28" s="629"/>
      <c r="N28" s="35"/>
    </row>
    <row r="29" spans="1:14" ht="18.2" customHeight="1" x14ac:dyDescent="0.25">
      <c r="A29" s="628" t="s">
        <v>101</v>
      </c>
      <c r="B29" s="628"/>
      <c r="C29" s="628"/>
      <c r="D29" s="628"/>
      <c r="E29" s="628"/>
      <c r="F29" s="37"/>
      <c r="G29" s="37"/>
      <c r="H29" s="629"/>
      <c r="I29" s="629"/>
      <c r="J29" s="629"/>
      <c r="K29" s="629"/>
      <c r="L29" s="629"/>
      <c r="M29" s="629"/>
      <c r="N29" s="35"/>
    </row>
    <row r="30" spans="1:14" ht="18.2" customHeight="1" x14ac:dyDescent="0.25">
      <c r="A30" s="628" t="s">
        <v>102</v>
      </c>
      <c r="B30" s="628"/>
      <c r="C30" s="628"/>
      <c r="D30" s="628"/>
      <c r="E30" s="628"/>
      <c r="F30" s="37"/>
      <c r="G30" s="37"/>
      <c r="H30" s="629"/>
      <c r="I30" s="629"/>
      <c r="J30" s="629"/>
      <c r="K30" s="629"/>
      <c r="L30" s="629"/>
      <c r="M30" s="629"/>
      <c r="N30" s="35"/>
    </row>
    <row r="31" spans="1:14" ht="18.2" customHeight="1" x14ac:dyDescent="0.25">
      <c r="A31" s="628"/>
      <c r="B31" s="628"/>
      <c r="C31" s="628"/>
      <c r="D31" s="628"/>
      <c r="E31" s="628"/>
      <c r="F31" s="37"/>
      <c r="G31" s="37"/>
      <c r="H31" s="629"/>
      <c r="I31" s="629"/>
      <c r="J31" s="629"/>
      <c r="K31" s="629"/>
      <c r="L31" s="629"/>
      <c r="M31" s="629"/>
      <c r="N31" s="35"/>
    </row>
    <row r="32" spans="1:14" ht="18.2" customHeight="1" x14ac:dyDescent="0.25">
      <c r="A32" s="628" t="s">
        <v>103</v>
      </c>
      <c r="B32" s="628"/>
      <c r="C32" s="628"/>
      <c r="D32" s="628"/>
      <c r="E32" s="628"/>
      <c r="F32" s="37"/>
      <c r="G32" s="37"/>
      <c r="H32" s="629"/>
      <c r="I32" s="629"/>
      <c r="J32" s="629"/>
      <c r="K32" s="629"/>
      <c r="L32" s="629"/>
      <c r="M32" s="629"/>
      <c r="N32" s="35"/>
    </row>
    <row r="33" spans="1:14" ht="18.2" customHeight="1" x14ac:dyDescent="0.25">
      <c r="A33" s="628" t="s">
        <v>104</v>
      </c>
      <c r="B33" s="628"/>
      <c r="C33" s="628"/>
      <c r="D33" s="628"/>
      <c r="E33" s="628"/>
      <c r="F33" s="37"/>
      <c r="G33" s="37"/>
      <c r="H33" s="629"/>
      <c r="I33" s="629"/>
      <c r="J33" s="629"/>
      <c r="K33" s="629"/>
      <c r="L33" s="629"/>
      <c r="M33" s="629"/>
      <c r="N33" s="35"/>
    </row>
    <row r="34" spans="1:14" ht="18.2" customHeight="1" x14ac:dyDescent="0.25">
      <c r="A34" s="628" t="s">
        <v>105</v>
      </c>
      <c r="B34" s="628"/>
      <c r="C34" s="628"/>
      <c r="D34" s="628"/>
      <c r="E34" s="628"/>
      <c r="F34" s="37"/>
      <c r="G34" s="37"/>
      <c r="H34" s="629"/>
      <c r="I34" s="629"/>
      <c r="J34" s="629"/>
      <c r="K34" s="629"/>
      <c r="L34" s="629"/>
      <c r="M34" s="629"/>
      <c r="N34" s="35"/>
    </row>
    <row r="35" spans="1:14" ht="18.2" customHeight="1" x14ac:dyDescent="0.25">
      <c r="A35" s="628" t="s">
        <v>106</v>
      </c>
      <c r="B35" s="628"/>
      <c r="C35" s="628"/>
      <c r="D35" s="628"/>
      <c r="E35" s="628"/>
      <c r="F35" s="37"/>
      <c r="G35" s="37"/>
      <c r="H35" s="629"/>
      <c r="I35" s="629"/>
      <c r="J35" s="629"/>
      <c r="K35" s="629"/>
      <c r="L35" s="629"/>
      <c r="M35" s="629"/>
      <c r="N35" s="35"/>
    </row>
    <row r="36" spans="1:14" ht="18.2" customHeight="1" x14ac:dyDescent="0.25">
      <c r="A36" s="628"/>
      <c r="B36" s="628"/>
      <c r="C36" s="628"/>
      <c r="D36" s="628"/>
      <c r="E36" s="628"/>
      <c r="F36" s="37"/>
      <c r="G36" s="37"/>
      <c r="H36" s="629"/>
      <c r="I36" s="629"/>
      <c r="J36" s="629"/>
      <c r="K36" s="629"/>
      <c r="L36" s="629"/>
      <c r="M36" s="629"/>
      <c r="N36" s="35"/>
    </row>
    <row r="37" spans="1:14" ht="18.2" customHeight="1" x14ac:dyDescent="0.25">
      <c r="A37" s="628" t="s">
        <v>107</v>
      </c>
      <c r="B37" s="628"/>
      <c r="C37" s="628"/>
      <c r="D37" s="628"/>
      <c r="E37" s="628"/>
      <c r="F37" s="37"/>
      <c r="G37" s="37"/>
      <c r="H37" s="629"/>
      <c r="I37" s="629"/>
      <c r="J37" s="629"/>
      <c r="K37" s="629"/>
      <c r="L37" s="629"/>
      <c r="M37" s="629"/>
      <c r="N37" s="35"/>
    </row>
    <row r="38" spans="1:14" ht="18.2" customHeight="1" x14ac:dyDescent="0.25">
      <c r="A38" s="628" t="s">
        <v>108</v>
      </c>
      <c r="B38" s="628"/>
      <c r="C38" s="628"/>
      <c r="D38" s="628"/>
      <c r="E38" s="628"/>
      <c r="F38" s="37"/>
      <c r="G38" s="37"/>
      <c r="H38" s="629"/>
      <c r="I38" s="629"/>
      <c r="J38" s="629"/>
      <c r="K38" s="629"/>
      <c r="L38" s="629"/>
      <c r="M38" s="629"/>
      <c r="N38" s="35"/>
    </row>
    <row r="39" spans="1:14" ht="18.2" customHeight="1" x14ac:dyDescent="0.25">
      <c r="A39" s="628" t="s">
        <v>109</v>
      </c>
      <c r="B39" s="628"/>
      <c r="C39" s="628"/>
      <c r="D39" s="628"/>
      <c r="E39" s="628"/>
      <c r="F39" s="37"/>
      <c r="G39" s="37"/>
      <c r="H39" s="629"/>
      <c r="I39" s="629"/>
      <c r="J39" s="629"/>
      <c r="K39" s="629"/>
      <c r="L39" s="629"/>
      <c r="M39" s="629"/>
      <c r="N39" s="35"/>
    </row>
    <row r="40" spans="1:14" ht="18.2" customHeight="1" x14ac:dyDescent="0.25">
      <c r="A40" s="628" t="s">
        <v>110</v>
      </c>
      <c r="B40" s="628"/>
      <c r="C40" s="628"/>
      <c r="D40" s="628"/>
      <c r="E40" s="628"/>
      <c r="F40" s="37"/>
      <c r="G40" s="37"/>
      <c r="H40" s="629"/>
      <c r="I40" s="629"/>
      <c r="J40" s="629"/>
      <c r="K40" s="629"/>
      <c r="L40" s="629"/>
      <c r="M40" s="629"/>
      <c r="N40" s="35"/>
    </row>
    <row r="41" spans="1:14" ht="18.2" customHeight="1" x14ac:dyDescent="0.25">
      <c r="A41" s="628"/>
      <c r="B41" s="628"/>
      <c r="C41" s="628"/>
      <c r="D41" s="628"/>
      <c r="E41" s="628"/>
      <c r="F41" s="37"/>
      <c r="G41" s="37"/>
      <c r="H41" s="629"/>
      <c r="I41" s="629"/>
      <c r="J41" s="629"/>
      <c r="K41" s="629"/>
      <c r="L41" s="629"/>
      <c r="M41" s="629"/>
      <c r="N41" s="35"/>
    </row>
    <row r="42" spans="1:14" ht="18.2" customHeight="1" x14ac:dyDescent="0.25">
      <c r="A42" s="628" t="s">
        <v>111</v>
      </c>
      <c r="B42" s="628"/>
      <c r="C42" s="628"/>
      <c r="D42" s="628"/>
      <c r="E42" s="628"/>
      <c r="F42" s="37"/>
      <c r="G42" s="37"/>
      <c r="H42" s="629"/>
      <c r="I42" s="629"/>
      <c r="J42" s="629"/>
      <c r="K42" s="629"/>
      <c r="L42" s="629"/>
      <c r="M42" s="629"/>
      <c r="N42" s="35"/>
    </row>
    <row r="43" spans="1:14" ht="18.2" customHeight="1" x14ac:dyDescent="0.25">
      <c r="A43" s="628" t="s">
        <v>112</v>
      </c>
      <c r="B43" s="628"/>
      <c r="C43" s="628"/>
      <c r="D43" s="628"/>
      <c r="E43" s="628"/>
      <c r="F43" s="37"/>
      <c r="G43" s="37"/>
      <c r="H43" s="629"/>
      <c r="I43" s="629"/>
      <c r="J43" s="629"/>
      <c r="K43" s="629"/>
      <c r="L43" s="629"/>
      <c r="M43" s="629"/>
      <c r="N43" s="35"/>
    </row>
    <row r="44" spans="1:14" ht="18.2" customHeight="1" x14ac:dyDescent="0.25">
      <c r="A44" s="628" t="s">
        <v>113</v>
      </c>
      <c r="B44" s="628"/>
      <c r="C44" s="628"/>
      <c r="D44" s="628"/>
      <c r="E44" s="628"/>
      <c r="F44" s="37"/>
      <c r="G44" s="37"/>
      <c r="H44" s="629"/>
      <c r="I44" s="629"/>
      <c r="J44" s="629"/>
      <c r="K44" s="629"/>
      <c r="L44" s="629"/>
      <c r="M44" s="629"/>
      <c r="N44" s="35"/>
    </row>
    <row r="45" spans="1:14" ht="18.2" customHeight="1" x14ac:dyDescent="0.25">
      <c r="A45" s="628" t="s">
        <v>114</v>
      </c>
      <c r="B45" s="628"/>
      <c r="C45" s="628"/>
      <c r="D45" s="628"/>
      <c r="E45" s="628"/>
      <c r="F45" s="37"/>
      <c r="G45" s="37"/>
      <c r="H45" s="629"/>
      <c r="I45" s="629"/>
      <c r="J45" s="629"/>
      <c r="K45" s="629"/>
      <c r="L45" s="629"/>
      <c r="M45" s="629"/>
      <c r="N45" s="35"/>
    </row>
    <row r="46" spans="1:14" ht="18.2" customHeight="1" x14ac:dyDescent="0.25">
      <c r="A46" s="628"/>
      <c r="B46" s="628"/>
      <c r="C46" s="628"/>
      <c r="D46" s="628"/>
      <c r="E46" s="628"/>
      <c r="F46" s="37"/>
      <c r="G46" s="37"/>
      <c r="H46" s="629"/>
      <c r="I46" s="629"/>
      <c r="J46" s="629"/>
      <c r="K46" s="629"/>
      <c r="L46" s="629"/>
      <c r="M46" s="629"/>
      <c r="N46" s="35"/>
    </row>
    <row r="47" spans="1:14" ht="18.2" customHeight="1" x14ac:dyDescent="0.25">
      <c r="A47" s="628" t="s">
        <v>115</v>
      </c>
      <c r="B47" s="628"/>
      <c r="C47" s="628"/>
      <c r="D47" s="628"/>
      <c r="E47" s="628"/>
      <c r="F47" s="37"/>
      <c r="G47" s="37"/>
      <c r="H47" s="629"/>
      <c r="I47" s="629"/>
      <c r="J47" s="629"/>
      <c r="K47" s="629"/>
      <c r="L47" s="629"/>
      <c r="M47" s="629"/>
      <c r="N47" s="35"/>
    </row>
    <row r="48" spans="1:14" ht="18.2" customHeight="1" x14ac:dyDescent="0.25">
      <c r="A48" s="628" t="s">
        <v>116</v>
      </c>
      <c r="B48" s="628"/>
      <c r="C48" s="628"/>
      <c r="D48" s="628"/>
      <c r="E48" s="628"/>
      <c r="F48" s="37"/>
      <c r="G48" s="37"/>
      <c r="H48" s="629"/>
      <c r="I48" s="629"/>
      <c r="J48" s="629"/>
      <c r="K48" s="629"/>
      <c r="L48" s="629"/>
      <c r="M48" s="629"/>
      <c r="N48" s="35"/>
    </row>
    <row r="49" spans="1:14" ht="18.2" customHeight="1" x14ac:dyDescent="0.25">
      <c r="A49" s="628" t="s">
        <v>117</v>
      </c>
      <c r="B49" s="628"/>
      <c r="C49" s="628"/>
      <c r="D49" s="628"/>
      <c r="E49" s="628"/>
      <c r="F49" s="37"/>
      <c r="G49" s="37"/>
      <c r="H49" s="629"/>
      <c r="I49" s="629"/>
      <c r="J49" s="629"/>
      <c r="K49" s="629"/>
      <c r="L49" s="629"/>
      <c r="M49" s="629"/>
      <c r="N49" s="35"/>
    </row>
    <row r="50" spans="1:14" ht="18.2" customHeight="1" x14ac:dyDescent="0.25">
      <c r="A50" s="628" t="s">
        <v>118</v>
      </c>
      <c r="B50" s="628"/>
      <c r="C50" s="628"/>
      <c r="D50" s="628"/>
      <c r="E50" s="628"/>
      <c r="F50" s="37"/>
      <c r="G50" s="37"/>
      <c r="H50" s="629"/>
      <c r="I50" s="629"/>
      <c r="J50" s="629"/>
      <c r="K50" s="629"/>
      <c r="L50" s="629"/>
      <c r="M50" s="629"/>
      <c r="N50" s="35"/>
    </row>
    <row r="51" spans="1:14" ht="18.2" customHeight="1" x14ac:dyDescent="0.25">
      <c r="A51" s="628"/>
      <c r="B51" s="628"/>
      <c r="C51" s="628"/>
      <c r="D51" s="628"/>
      <c r="E51" s="628"/>
      <c r="F51" s="37"/>
      <c r="G51" s="37"/>
      <c r="H51" s="629"/>
      <c r="I51" s="629"/>
      <c r="J51" s="629"/>
      <c r="K51" s="629"/>
      <c r="L51" s="629"/>
      <c r="M51" s="629"/>
      <c r="N51" s="35"/>
    </row>
    <row r="52" spans="1:14" ht="18.2" customHeight="1" x14ac:dyDescent="0.25">
      <c r="A52" s="628" t="s">
        <v>119</v>
      </c>
      <c r="B52" s="628"/>
      <c r="C52" s="628"/>
      <c r="D52" s="628"/>
      <c r="E52" s="628"/>
      <c r="F52" s="37"/>
      <c r="G52" s="37"/>
      <c r="H52" s="629"/>
      <c r="I52" s="629"/>
      <c r="J52" s="629"/>
      <c r="K52" s="629"/>
      <c r="L52" s="629"/>
      <c r="M52" s="629"/>
      <c r="N52" s="35"/>
    </row>
    <row r="53" spans="1:14" ht="18.2" customHeight="1" x14ac:dyDescent="0.25">
      <c r="A53" s="628" t="s">
        <v>120</v>
      </c>
      <c r="B53" s="628"/>
      <c r="C53" s="628"/>
      <c r="D53" s="628"/>
      <c r="E53" s="628"/>
      <c r="F53" s="37"/>
      <c r="G53" s="37"/>
      <c r="H53" s="629"/>
      <c r="I53" s="629"/>
      <c r="J53" s="629"/>
      <c r="K53" s="629"/>
      <c r="L53" s="629"/>
      <c r="M53" s="629"/>
      <c r="N53" s="35"/>
    </row>
    <row r="54" spans="1:14" ht="18.2" customHeight="1" x14ac:dyDescent="0.25">
      <c r="A54" s="628" t="s">
        <v>121</v>
      </c>
      <c r="B54" s="628"/>
      <c r="C54" s="628"/>
      <c r="D54" s="628"/>
      <c r="E54" s="628"/>
      <c r="F54" s="37"/>
      <c r="G54" s="37"/>
      <c r="H54" s="629"/>
      <c r="I54" s="629"/>
      <c r="J54" s="629"/>
      <c r="K54" s="629"/>
      <c r="L54" s="629"/>
      <c r="M54" s="629"/>
      <c r="N54" s="35"/>
    </row>
    <row r="55" spans="1:14" ht="18.2" customHeight="1" x14ac:dyDescent="0.25">
      <c r="A55" s="628" t="s">
        <v>122</v>
      </c>
      <c r="B55" s="628"/>
      <c r="C55" s="628"/>
      <c r="D55" s="628"/>
      <c r="E55" s="628"/>
      <c r="F55" s="37"/>
      <c r="G55" s="37"/>
      <c r="H55" s="629"/>
      <c r="I55" s="629"/>
      <c r="J55" s="629"/>
      <c r="K55" s="629"/>
      <c r="L55" s="629"/>
      <c r="M55" s="629"/>
      <c r="N55" s="35"/>
    </row>
    <row r="56" spans="1:14" ht="18.2" customHeight="1" x14ac:dyDescent="0.25">
      <c r="A56" s="628"/>
      <c r="B56" s="628"/>
      <c r="C56" s="628"/>
      <c r="D56" s="628"/>
      <c r="E56" s="628"/>
      <c r="F56" s="37"/>
      <c r="G56" s="37"/>
      <c r="H56" s="629"/>
      <c r="I56" s="629"/>
      <c r="J56" s="629"/>
      <c r="K56" s="629"/>
      <c r="L56" s="629"/>
      <c r="M56" s="629"/>
      <c r="N56" s="35"/>
    </row>
    <row r="57" spans="1:14" ht="18.2" customHeight="1" x14ac:dyDescent="0.25">
      <c r="A57" s="628" t="s">
        <v>123</v>
      </c>
      <c r="B57" s="628"/>
      <c r="C57" s="628"/>
      <c r="D57" s="628"/>
      <c r="E57" s="628"/>
      <c r="F57" s="37"/>
      <c r="G57" s="37"/>
      <c r="H57" s="629"/>
      <c r="I57" s="629"/>
      <c r="J57" s="629"/>
      <c r="K57" s="629"/>
      <c r="L57" s="629"/>
      <c r="M57" s="629"/>
      <c r="N57" s="35"/>
    </row>
    <row r="58" spans="1:14" ht="18.2" customHeight="1" x14ac:dyDescent="0.25">
      <c r="A58" s="628" t="s">
        <v>124</v>
      </c>
      <c r="B58" s="628"/>
      <c r="C58" s="628"/>
      <c r="D58" s="628"/>
      <c r="E58" s="628"/>
      <c r="F58" s="37"/>
      <c r="G58" s="37"/>
      <c r="H58" s="629"/>
      <c r="I58" s="629"/>
      <c r="J58" s="629"/>
      <c r="K58" s="629"/>
      <c r="L58" s="629"/>
      <c r="M58" s="629"/>
      <c r="N58" s="35"/>
    </row>
    <row r="59" spans="1:14" ht="18.2" customHeight="1" x14ac:dyDescent="0.25">
      <c r="A59" s="628" t="s">
        <v>125</v>
      </c>
      <c r="B59" s="628"/>
      <c r="C59" s="628"/>
      <c r="D59" s="628"/>
      <c r="E59" s="628"/>
      <c r="F59" s="37"/>
      <c r="G59" s="37"/>
      <c r="H59" s="629"/>
      <c r="I59" s="629"/>
      <c r="J59" s="629"/>
      <c r="K59" s="629"/>
      <c r="L59" s="629"/>
      <c r="M59" s="629"/>
      <c r="N59" s="35"/>
    </row>
    <row r="60" spans="1:14" ht="18.2" customHeight="1" x14ac:dyDescent="0.25">
      <c r="A60" s="628" t="s">
        <v>126</v>
      </c>
      <c r="B60" s="628"/>
      <c r="C60" s="628"/>
      <c r="D60" s="628"/>
      <c r="E60" s="628"/>
      <c r="F60" s="37"/>
      <c r="G60" s="37"/>
      <c r="H60" s="629"/>
      <c r="I60" s="629"/>
      <c r="J60" s="629"/>
      <c r="K60" s="629"/>
      <c r="L60" s="629"/>
      <c r="M60" s="629"/>
      <c r="N60" s="35"/>
    </row>
    <row r="61" spans="1:14" ht="18.2" customHeight="1" x14ac:dyDescent="0.25">
      <c r="A61" s="628"/>
      <c r="B61" s="628"/>
      <c r="C61" s="628"/>
      <c r="D61" s="628"/>
      <c r="E61" s="628"/>
      <c r="F61" s="37"/>
      <c r="G61" s="37"/>
      <c r="H61" s="629"/>
      <c r="I61" s="629"/>
      <c r="J61" s="629"/>
      <c r="K61" s="629"/>
      <c r="L61" s="629"/>
      <c r="M61" s="629"/>
      <c r="N61" s="35"/>
    </row>
    <row r="62" spans="1:14" ht="18.2" customHeight="1" x14ac:dyDescent="0.25">
      <c r="A62" s="628" t="s">
        <v>127</v>
      </c>
      <c r="B62" s="628"/>
      <c r="C62" s="628"/>
      <c r="D62" s="628"/>
      <c r="E62" s="628"/>
      <c r="F62" s="37"/>
      <c r="G62" s="37"/>
      <c r="H62" s="629"/>
      <c r="I62" s="629"/>
      <c r="J62" s="629"/>
      <c r="K62" s="629"/>
      <c r="L62" s="629"/>
      <c r="M62" s="629"/>
      <c r="N62" s="35"/>
    </row>
    <row r="63" spans="1:14" ht="18.2" customHeight="1" x14ac:dyDescent="0.25">
      <c r="A63" s="628" t="s">
        <v>128</v>
      </c>
      <c r="B63" s="628"/>
      <c r="C63" s="628"/>
      <c r="D63" s="628"/>
      <c r="E63" s="628"/>
      <c r="F63" s="37"/>
      <c r="G63" s="37"/>
      <c r="H63" s="629"/>
      <c r="I63" s="629"/>
      <c r="J63" s="629"/>
      <c r="K63" s="629"/>
      <c r="L63" s="629"/>
      <c r="M63" s="629"/>
      <c r="N63" s="35"/>
    </row>
    <row r="64" spans="1:14" ht="18.2" customHeight="1" x14ac:dyDescent="0.25">
      <c r="A64" s="628" t="s">
        <v>129</v>
      </c>
      <c r="B64" s="628"/>
      <c r="C64" s="628"/>
      <c r="D64" s="628"/>
      <c r="E64" s="628"/>
      <c r="F64" s="37"/>
      <c r="G64" s="37"/>
      <c r="H64" s="629"/>
      <c r="I64" s="629"/>
      <c r="J64" s="629"/>
      <c r="K64" s="629"/>
      <c r="L64" s="629"/>
      <c r="M64" s="629"/>
      <c r="N64" s="35"/>
    </row>
    <row r="65" spans="1:14" ht="18.2" customHeight="1" x14ac:dyDescent="0.25">
      <c r="A65" s="628" t="s">
        <v>130</v>
      </c>
      <c r="B65" s="628"/>
      <c r="C65" s="628"/>
      <c r="D65" s="628"/>
      <c r="E65" s="628"/>
      <c r="F65" s="37"/>
      <c r="G65" s="37"/>
      <c r="H65" s="629"/>
      <c r="I65" s="629"/>
      <c r="J65" s="629"/>
      <c r="K65" s="629"/>
      <c r="L65" s="629"/>
      <c r="M65" s="629"/>
      <c r="N65" s="35"/>
    </row>
    <row r="66" spans="1:14" ht="18.2" customHeight="1" x14ac:dyDescent="0.25">
      <c r="A66" s="628"/>
      <c r="B66" s="628"/>
      <c r="C66" s="628"/>
      <c r="D66" s="628"/>
      <c r="E66" s="628"/>
      <c r="F66" s="37"/>
      <c r="G66" s="37"/>
      <c r="H66" s="629"/>
      <c r="I66" s="629"/>
      <c r="J66" s="629"/>
      <c r="K66" s="629"/>
      <c r="L66" s="629"/>
      <c r="M66" s="629"/>
      <c r="N66" s="35"/>
    </row>
    <row r="67" spans="1:14" ht="18.2" customHeight="1" x14ac:dyDescent="0.25">
      <c r="A67" s="628" t="s">
        <v>131</v>
      </c>
      <c r="B67" s="628"/>
      <c r="C67" s="628"/>
      <c r="D67" s="628"/>
      <c r="E67" s="628"/>
      <c r="F67" s="37"/>
      <c r="G67" s="37"/>
      <c r="H67" s="629"/>
      <c r="I67" s="629"/>
      <c r="J67" s="629"/>
      <c r="K67" s="629"/>
      <c r="L67" s="629"/>
      <c r="M67" s="629"/>
      <c r="N67" s="35"/>
    </row>
    <row r="68" spans="1:14" ht="18.2" customHeight="1" x14ac:dyDescent="0.25">
      <c r="A68" s="628" t="s">
        <v>132</v>
      </c>
      <c r="B68" s="628"/>
      <c r="C68" s="628"/>
      <c r="D68" s="628"/>
      <c r="E68" s="628"/>
      <c r="F68" s="37"/>
      <c r="G68" s="37"/>
      <c r="H68" s="629"/>
      <c r="I68" s="629"/>
      <c r="J68" s="629"/>
      <c r="K68" s="629"/>
      <c r="L68" s="629"/>
      <c r="M68" s="629"/>
      <c r="N68" s="35"/>
    </row>
    <row r="69" spans="1:14" ht="18.2" customHeight="1" x14ac:dyDescent="0.25">
      <c r="A69" s="628" t="s">
        <v>133</v>
      </c>
      <c r="B69" s="628"/>
      <c r="C69" s="628"/>
      <c r="D69" s="628"/>
      <c r="E69" s="628"/>
      <c r="F69" s="37"/>
      <c r="G69" s="37"/>
      <c r="H69" s="629"/>
      <c r="I69" s="629"/>
      <c r="J69" s="629"/>
      <c r="K69" s="629"/>
      <c r="L69" s="629"/>
      <c r="M69" s="629"/>
      <c r="N69" s="35"/>
    </row>
    <row r="70" spans="1:14" ht="18.2" customHeight="1" x14ac:dyDescent="0.25">
      <c r="A70" s="628" t="s">
        <v>134</v>
      </c>
      <c r="B70" s="628"/>
      <c r="C70" s="628"/>
      <c r="D70" s="628"/>
      <c r="E70" s="628"/>
      <c r="F70" s="37"/>
      <c r="G70" s="37"/>
      <c r="H70" s="629"/>
      <c r="I70" s="629"/>
      <c r="J70" s="629"/>
      <c r="K70" s="629"/>
      <c r="L70" s="629"/>
      <c r="M70" s="629"/>
      <c r="N70" s="35"/>
    </row>
    <row r="71" spans="1:14" ht="18.2" customHeight="1" x14ac:dyDescent="0.25">
      <c r="A71" s="628"/>
      <c r="B71" s="628"/>
      <c r="C71" s="628"/>
      <c r="D71" s="628"/>
      <c r="E71" s="628"/>
      <c r="F71" s="37"/>
      <c r="G71" s="37"/>
      <c r="H71" s="629"/>
      <c r="I71" s="629"/>
      <c r="J71" s="629"/>
      <c r="K71" s="629"/>
      <c r="L71" s="629"/>
      <c r="M71" s="629"/>
      <c r="N71" s="35"/>
    </row>
    <row r="72" spans="1:14" ht="18.2" customHeight="1" x14ac:dyDescent="0.25">
      <c r="A72" s="628" t="s">
        <v>135</v>
      </c>
      <c r="B72" s="628"/>
      <c r="C72" s="628"/>
      <c r="D72" s="628"/>
      <c r="E72" s="628"/>
      <c r="F72" s="37"/>
      <c r="G72" s="37"/>
      <c r="H72" s="629"/>
      <c r="I72" s="629"/>
      <c r="J72" s="629"/>
      <c r="K72" s="629"/>
      <c r="L72" s="629"/>
      <c r="M72" s="629"/>
      <c r="N72" s="35"/>
    </row>
    <row r="73" spans="1:14" ht="18.2" customHeight="1" x14ac:dyDescent="0.25">
      <c r="A73" s="628" t="s">
        <v>136</v>
      </c>
      <c r="B73" s="628"/>
      <c r="C73" s="628"/>
      <c r="D73" s="628"/>
      <c r="E73" s="628"/>
      <c r="F73" s="37"/>
      <c r="G73" s="37"/>
      <c r="H73" s="629"/>
      <c r="I73" s="629"/>
      <c r="J73" s="629"/>
      <c r="K73" s="629"/>
      <c r="L73" s="629"/>
      <c r="M73" s="629"/>
      <c r="N73" s="35"/>
    </row>
    <row r="74" spans="1:14" ht="18.2" customHeight="1" x14ac:dyDescent="0.25">
      <c r="A74" s="628" t="s">
        <v>137</v>
      </c>
      <c r="B74" s="628"/>
      <c r="C74" s="628"/>
      <c r="D74" s="628"/>
      <c r="E74" s="628"/>
      <c r="F74" s="37"/>
      <c r="G74" s="37"/>
      <c r="H74" s="629"/>
      <c r="I74" s="629"/>
      <c r="J74" s="629"/>
      <c r="K74" s="629"/>
      <c r="L74" s="629"/>
      <c r="M74" s="629"/>
      <c r="N74" s="35"/>
    </row>
    <row r="75" spans="1:14" ht="18.2" customHeight="1" x14ac:dyDescent="0.25">
      <c r="A75" s="628" t="s">
        <v>138</v>
      </c>
      <c r="B75" s="628"/>
      <c r="C75" s="628"/>
      <c r="D75" s="628"/>
      <c r="E75" s="628"/>
      <c r="F75" s="37"/>
      <c r="G75" s="37"/>
      <c r="H75" s="629"/>
      <c r="I75" s="629"/>
      <c r="J75" s="629"/>
      <c r="K75" s="629"/>
      <c r="L75" s="629"/>
      <c r="M75" s="629"/>
      <c r="N75" s="35"/>
    </row>
    <row r="76" spans="1:14" ht="18.2" customHeight="1" x14ac:dyDescent="0.25">
      <c r="A76" s="628"/>
      <c r="B76" s="628"/>
      <c r="C76" s="628"/>
      <c r="D76" s="628"/>
      <c r="E76" s="628"/>
      <c r="F76" s="37"/>
      <c r="G76" s="37"/>
      <c r="H76" s="629"/>
      <c r="I76" s="629"/>
      <c r="J76" s="629"/>
      <c r="K76" s="629"/>
      <c r="L76" s="629"/>
      <c r="M76" s="629"/>
      <c r="N76" s="35"/>
    </row>
    <row r="77" spans="1:14" ht="18.2" customHeight="1" x14ac:dyDescent="0.25">
      <c r="A77" s="628" t="s">
        <v>139</v>
      </c>
      <c r="B77" s="628"/>
      <c r="C77" s="628"/>
      <c r="D77" s="628"/>
      <c r="E77" s="628"/>
      <c r="F77" s="37"/>
      <c r="G77" s="37"/>
      <c r="H77" s="629"/>
      <c r="I77" s="629"/>
      <c r="J77" s="629"/>
      <c r="K77" s="629"/>
      <c r="L77" s="629"/>
      <c r="M77" s="629"/>
      <c r="N77" s="35"/>
    </row>
    <row r="78" spans="1:14" ht="18.2" customHeight="1" x14ac:dyDescent="0.25">
      <c r="A78" s="628" t="s">
        <v>140</v>
      </c>
      <c r="B78" s="628"/>
      <c r="C78" s="628"/>
      <c r="D78" s="628"/>
      <c r="E78" s="628"/>
      <c r="F78" s="37"/>
      <c r="G78" s="37"/>
      <c r="H78" s="629"/>
      <c r="I78" s="629"/>
      <c r="J78" s="629"/>
      <c r="K78" s="629"/>
      <c r="L78" s="629"/>
      <c r="M78" s="629"/>
      <c r="N78" s="35"/>
    </row>
    <row r="79" spans="1:14" ht="18.2" customHeight="1" x14ac:dyDescent="0.25">
      <c r="A79" s="628" t="s">
        <v>141</v>
      </c>
      <c r="B79" s="628"/>
      <c r="C79" s="628"/>
      <c r="D79" s="628"/>
      <c r="E79" s="628"/>
      <c r="F79" s="37"/>
      <c r="G79" s="37"/>
      <c r="H79" s="629"/>
      <c r="I79" s="629"/>
      <c r="J79" s="629"/>
      <c r="K79" s="629"/>
      <c r="L79" s="629"/>
      <c r="M79" s="629"/>
      <c r="N79" s="35"/>
    </row>
    <row r="80" spans="1:14" ht="18.2" customHeight="1" x14ac:dyDescent="0.25">
      <c r="A80" s="628" t="s">
        <v>142</v>
      </c>
      <c r="B80" s="628"/>
      <c r="C80" s="628"/>
      <c r="D80" s="628"/>
      <c r="E80" s="628"/>
      <c r="F80" s="37"/>
      <c r="G80" s="37"/>
      <c r="H80" s="629"/>
      <c r="I80" s="629"/>
      <c r="J80" s="629"/>
      <c r="K80" s="629"/>
      <c r="L80" s="629"/>
      <c r="M80" s="629"/>
      <c r="N80" s="35"/>
    </row>
    <row r="81" spans="1:14" ht="18.2" customHeight="1" x14ac:dyDescent="0.25">
      <c r="A81" s="628"/>
      <c r="B81" s="628"/>
      <c r="C81" s="628"/>
      <c r="D81" s="628"/>
      <c r="E81" s="628"/>
      <c r="F81" s="37"/>
      <c r="G81" s="37"/>
      <c r="H81" s="629"/>
      <c r="I81" s="629"/>
      <c r="J81" s="629"/>
      <c r="K81" s="629"/>
      <c r="L81" s="629"/>
      <c r="M81" s="629"/>
      <c r="N81" s="35"/>
    </row>
    <row r="82" spans="1:14" ht="18.2" customHeight="1" x14ac:dyDescent="0.25">
      <c r="A82" s="628" t="s">
        <v>143</v>
      </c>
      <c r="B82" s="628"/>
      <c r="C82" s="628"/>
      <c r="D82" s="628"/>
      <c r="E82" s="628"/>
      <c r="F82" s="37"/>
      <c r="G82" s="37"/>
      <c r="H82" s="629"/>
      <c r="I82" s="629"/>
      <c r="J82" s="629"/>
      <c r="K82" s="629"/>
      <c r="L82" s="629"/>
      <c r="M82" s="629"/>
      <c r="N82" s="35"/>
    </row>
    <row r="83" spans="1:14" ht="18.2" customHeight="1" x14ac:dyDescent="0.25">
      <c r="A83" s="628" t="s">
        <v>144</v>
      </c>
      <c r="B83" s="628"/>
      <c r="C83" s="628"/>
      <c r="D83" s="628"/>
      <c r="E83" s="628"/>
      <c r="F83" s="37"/>
      <c r="G83" s="37"/>
      <c r="H83" s="629"/>
      <c r="I83" s="629"/>
      <c r="J83" s="629"/>
      <c r="K83" s="629"/>
      <c r="L83" s="629"/>
      <c r="M83" s="629"/>
      <c r="N83" s="35"/>
    </row>
    <row r="84" spans="1:14" ht="18.2" customHeight="1" x14ac:dyDescent="0.25">
      <c r="A84" s="628" t="s">
        <v>145</v>
      </c>
      <c r="B84" s="628"/>
      <c r="C84" s="628"/>
      <c r="D84" s="628"/>
      <c r="E84" s="628"/>
      <c r="F84" s="37"/>
      <c r="G84" s="37"/>
      <c r="H84" s="629"/>
      <c r="I84" s="629"/>
      <c r="J84" s="629"/>
      <c r="K84" s="629"/>
      <c r="L84" s="629"/>
      <c r="M84" s="629"/>
      <c r="N84" s="35"/>
    </row>
    <row r="85" spans="1:14" ht="18.2" customHeight="1" x14ac:dyDescent="0.25">
      <c r="A85" s="628" t="s">
        <v>146</v>
      </c>
      <c r="B85" s="628"/>
      <c r="C85" s="628"/>
      <c r="D85" s="628"/>
      <c r="E85" s="628"/>
      <c r="F85" s="37"/>
      <c r="G85" s="37"/>
      <c r="H85" s="629"/>
      <c r="I85" s="629"/>
      <c r="J85" s="629"/>
      <c r="K85" s="629"/>
      <c r="L85" s="629"/>
      <c r="M85" s="629"/>
      <c r="N85" s="35"/>
    </row>
    <row r="86" spans="1:14" ht="18.2" customHeight="1" x14ac:dyDescent="0.25">
      <c r="A86" s="628"/>
      <c r="B86" s="628"/>
      <c r="C86" s="628"/>
      <c r="D86" s="628"/>
      <c r="E86" s="628"/>
      <c r="F86" s="37"/>
      <c r="G86" s="37"/>
      <c r="H86" s="629"/>
      <c r="I86" s="629"/>
      <c r="J86" s="629"/>
      <c r="K86" s="629"/>
      <c r="L86" s="629"/>
      <c r="M86" s="629"/>
      <c r="N86" s="35"/>
    </row>
    <row r="87" spans="1:14" ht="18.2" customHeight="1" x14ac:dyDescent="0.25">
      <c r="A87" s="628" t="s">
        <v>147</v>
      </c>
      <c r="B87" s="628"/>
      <c r="C87" s="628"/>
      <c r="D87" s="628"/>
      <c r="E87" s="628"/>
      <c r="F87" s="37"/>
      <c r="G87" s="37"/>
      <c r="H87" s="629"/>
      <c r="I87" s="629"/>
      <c r="J87" s="629"/>
      <c r="K87" s="629"/>
      <c r="L87" s="629"/>
      <c r="M87" s="629"/>
      <c r="N87" s="35"/>
    </row>
    <row r="88" spans="1:14" ht="18.2" customHeight="1" x14ac:dyDescent="0.25">
      <c r="A88" s="628" t="s">
        <v>148</v>
      </c>
      <c r="B88" s="628"/>
      <c r="C88" s="628"/>
      <c r="D88" s="628"/>
      <c r="E88" s="628"/>
      <c r="F88" s="37"/>
      <c r="G88" s="37"/>
      <c r="H88" s="629"/>
      <c r="I88" s="629"/>
      <c r="J88" s="629"/>
      <c r="K88" s="629"/>
      <c r="L88" s="629"/>
      <c r="M88" s="629"/>
      <c r="N88" s="35"/>
    </row>
    <row r="89" spans="1:14" ht="18.2" customHeight="1" x14ac:dyDescent="0.25">
      <c r="A89" s="628" t="s">
        <v>149</v>
      </c>
      <c r="B89" s="628"/>
      <c r="C89" s="628"/>
      <c r="D89" s="628"/>
      <c r="E89" s="628"/>
      <c r="F89" s="37"/>
      <c r="G89" s="37"/>
      <c r="H89" s="629"/>
      <c r="I89" s="629"/>
      <c r="J89" s="629"/>
      <c r="K89" s="629"/>
      <c r="L89" s="629"/>
      <c r="M89" s="629"/>
      <c r="N89" s="35"/>
    </row>
    <row r="90" spans="1:14" ht="18.2" customHeight="1" x14ac:dyDescent="0.25">
      <c r="A90" s="628" t="s">
        <v>150</v>
      </c>
      <c r="B90" s="628"/>
      <c r="C90" s="628"/>
      <c r="D90" s="628"/>
      <c r="E90" s="628"/>
      <c r="F90" s="37"/>
      <c r="G90" s="37"/>
      <c r="H90" s="629"/>
      <c r="I90" s="629"/>
      <c r="J90" s="629"/>
      <c r="K90" s="629"/>
      <c r="L90" s="629"/>
      <c r="M90" s="629"/>
      <c r="N90" s="35"/>
    </row>
    <row r="91" spans="1:14" ht="18.2" customHeight="1" x14ac:dyDescent="0.25">
      <c r="A91" s="628"/>
      <c r="B91" s="628"/>
      <c r="C91" s="628"/>
      <c r="D91" s="628"/>
      <c r="E91" s="628"/>
      <c r="F91" s="37"/>
      <c r="G91" s="37"/>
      <c r="H91" s="629"/>
      <c r="I91" s="629"/>
      <c r="J91" s="629"/>
      <c r="K91" s="629"/>
      <c r="L91" s="629"/>
      <c r="M91" s="629"/>
      <c r="N91" s="35"/>
    </row>
    <row r="92" spans="1:14" ht="18.2" customHeight="1" x14ac:dyDescent="0.25">
      <c r="A92" s="628" t="s">
        <v>151</v>
      </c>
      <c r="B92" s="628"/>
      <c r="C92" s="628"/>
      <c r="D92" s="628"/>
      <c r="E92" s="628"/>
      <c r="F92" s="37"/>
      <c r="G92" s="37"/>
      <c r="H92" s="629"/>
      <c r="I92" s="629"/>
      <c r="J92" s="629"/>
      <c r="K92" s="629"/>
      <c r="L92" s="629"/>
      <c r="M92" s="629"/>
      <c r="N92" s="35"/>
    </row>
    <row r="93" spans="1:14" ht="18.2" customHeight="1" x14ac:dyDescent="0.25">
      <c r="A93" s="628" t="s">
        <v>152</v>
      </c>
      <c r="B93" s="628"/>
      <c r="C93" s="628"/>
      <c r="D93" s="628"/>
      <c r="E93" s="628"/>
      <c r="F93" s="37"/>
      <c r="G93" s="37"/>
      <c r="H93" s="629"/>
      <c r="I93" s="629"/>
      <c r="J93" s="629"/>
      <c r="K93" s="629"/>
      <c r="L93" s="629"/>
      <c r="M93" s="629"/>
      <c r="N93" s="35"/>
    </row>
    <row r="94" spans="1:14" ht="18.2" customHeight="1" x14ac:dyDescent="0.25">
      <c r="A94" s="628" t="s">
        <v>153</v>
      </c>
      <c r="B94" s="628"/>
      <c r="C94" s="628"/>
      <c r="D94" s="628"/>
      <c r="E94" s="628"/>
      <c r="F94" s="37"/>
      <c r="G94" s="37"/>
      <c r="H94" s="629"/>
      <c r="I94" s="629"/>
      <c r="J94" s="629"/>
      <c r="K94" s="629"/>
      <c r="L94" s="629"/>
      <c r="M94" s="629"/>
      <c r="N94" s="35"/>
    </row>
    <row r="95" spans="1:14" ht="18.2" customHeight="1" x14ac:dyDescent="0.25">
      <c r="A95" s="628" t="s">
        <v>154</v>
      </c>
      <c r="B95" s="628"/>
      <c r="C95" s="628"/>
      <c r="D95" s="628"/>
      <c r="E95" s="628"/>
      <c r="F95" s="37"/>
      <c r="G95" s="37"/>
      <c r="H95" s="629"/>
      <c r="I95" s="629"/>
      <c r="J95" s="629"/>
      <c r="K95" s="629"/>
      <c r="L95" s="629"/>
      <c r="M95" s="629"/>
      <c r="N95" s="35"/>
    </row>
    <row r="96" spans="1:14" ht="18.2" customHeight="1" x14ac:dyDescent="0.25">
      <c r="A96" s="628"/>
      <c r="B96" s="628"/>
      <c r="C96" s="628"/>
      <c r="D96" s="628"/>
      <c r="E96" s="628"/>
      <c r="F96" s="37"/>
      <c r="G96" s="37"/>
      <c r="H96" s="629"/>
      <c r="I96" s="629"/>
      <c r="J96" s="629"/>
      <c r="K96" s="629"/>
      <c r="L96" s="629"/>
      <c r="M96" s="629"/>
      <c r="N96" s="35"/>
    </row>
    <row r="97" spans="1:14" ht="18.2" customHeight="1" x14ac:dyDescent="0.25">
      <c r="A97" s="628" t="s">
        <v>155</v>
      </c>
      <c r="B97" s="628"/>
      <c r="C97" s="628"/>
      <c r="D97" s="628"/>
      <c r="E97" s="628"/>
      <c r="F97" s="37"/>
      <c r="G97" s="37"/>
      <c r="H97" s="629"/>
      <c r="I97" s="629"/>
      <c r="J97" s="629"/>
      <c r="K97" s="629"/>
      <c r="L97" s="629"/>
      <c r="M97" s="629"/>
      <c r="N97" s="35"/>
    </row>
    <row r="98" spans="1:14" ht="18.2" customHeight="1" x14ac:dyDescent="0.25">
      <c r="A98" s="628" t="s">
        <v>156</v>
      </c>
      <c r="B98" s="628"/>
      <c r="C98" s="628"/>
      <c r="D98" s="628"/>
      <c r="E98" s="628"/>
      <c r="F98" s="37"/>
      <c r="G98" s="37"/>
      <c r="H98" s="629"/>
      <c r="I98" s="629"/>
      <c r="J98" s="629"/>
      <c r="K98" s="629"/>
      <c r="L98" s="629"/>
      <c r="M98" s="629"/>
      <c r="N98" s="35"/>
    </row>
    <row r="99" spans="1:14" ht="18.2" customHeight="1" x14ac:dyDescent="0.25">
      <c r="A99" s="628" t="s">
        <v>157</v>
      </c>
      <c r="B99" s="628"/>
      <c r="C99" s="628"/>
      <c r="D99" s="628"/>
      <c r="E99" s="628"/>
      <c r="F99" s="37"/>
      <c r="G99" s="37"/>
      <c r="H99" s="629"/>
      <c r="I99" s="629"/>
      <c r="J99" s="629"/>
      <c r="K99" s="629"/>
      <c r="L99" s="629"/>
      <c r="M99" s="629"/>
      <c r="N99" s="35"/>
    </row>
    <row r="100" spans="1:14" ht="18.2" customHeight="1" x14ac:dyDescent="0.25">
      <c r="A100" s="628" t="s">
        <v>158</v>
      </c>
      <c r="B100" s="628"/>
      <c r="C100" s="628"/>
      <c r="D100" s="628"/>
      <c r="E100" s="628"/>
      <c r="F100" s="37"/>
      <c r="G100" s="37"/>
      <c r="H100" s="629"/>
      <c r="I100" s="629"/>
      <c r="J100" s="629"/>
      <c r="K100" s="629"/>
      <c r="L100" s="629"/>
      <c r="M100" s="629"/>
      <c r="N100" s="35"/>
    </row>
    <row r="101" spans="1:14" ht="18.2" customHeight="1" x14ac:dyDescent="0.25">
      <c r="A101" s="628"/>
      <c r="B101" s="628"/>
      <c r="C101" s="628"/>
      <c r="D101" s="628"/>
      <c r="E101" s="628"/>
      <c r="F101" s="37"/>
      <c r="G101" s="37"/>
      <c r="H101" s="629"/>
      <c r="I101" s="629"/>
      <c r="J101" s="629"/>
      <c r="K101" s="629"/>
      <c r="L101" s="629"/>
      <c r="M101" s="629"/>
      <c r="N101" s="35"/>
    </row>
    <row r="102" spans="1:14" ht="18.2" customHeight="1" x14ac:dyDescent="0.25">
      <c r="A102" s="628" t="s">
        <v>159</v>
      </c>
      <c r="B102" s="628"/>
      <c r="C102" s="628"/>
      <c r="D102" s="628"/>
      <c r="E102" s="628"/>
      <c r="F102" s="37"/>
      <c r="G102" s="37"/>
      <c r="H102" s="629"/>
      <c r="I102" s="629"/>
      <c r="J102" s="629"/>
      <c r="K102" s="629"/>
      <c r="L102" s="629"/>
      <c r="M102" s="629"/>
      <c r="N102" s="35"/>
    </row>
    <row r="103" spans="1:14" ht="18.2" customHeight="1" x14ac:dyDescent="0.25">
      <c r="A103" s="628" t="s">
        <v>160</v>
      </c>
      <c r="B103" s="628"/>
      <c r="C103" s="628"/>
      <c r="D103" s="628"/>
      <c r="E103" s="628"/>
      <c r="F103" s="37"/>
      <c r="G103" s="37"/>
      <c r="H103" s="629"/>
      <c r="I103" s="629"/>
      <c r="J103" s="629"/>
      <c r="K103" s="629"/>
      <c r="L103" s="629"/>
      <c r="M103" s="629"/>
      <c r="N103" s="35"/>
    </row>
    <row r="104" spans="1:14" ht="18.2" customHeight="1" x14ac:dyDescent="0.25">
      <c r="A104" s="628" t="s">
        <v>161</v>
      </c>
      <c r="B104" s="628"/>
      <c r="C104" s="628"/>
      <c r="D104" s="628"/>
      <c r="E104" s="628"/>
      <c r="F104" s="37"/>
      <c r="G104" s="37"/>
      <c r="H104" s="629"/>
      <c r="I104" s="629"/>
      <c r="J104" s="629"/>
      <c r="K104" s="629"/>
      <c r="L104" s="629"/>
      <c r="M104" s="629"/>
      <c r="N104" s="35"/>
    </row>
    <row r="105" spans="1:14" ht="18.2" customHeight="1" x14ac:dyDescent="0.25">
      <c r="A105" s="628" t="s">
        <v>162</v>
      </c>
      <c r="B105" s="628"/>
      <c r="C105" s="628"/>
      <c r="D105" s="628"/>
      <c r="E105" s="628"/>
      <c r="F105" s="37"/>
      <c r="G105" s="37"/>
      <c r="H105" s="629"/>
      <c r="I105" s="629"/>
      <c r="J105" s="629"/>
      <c r="K105" s="629"/>
      <c r="L105" s="629"/>
      <c r="M105" s="629"/>
      <c r="N105" s="35"/>
    </row>
    <row r="106" spans="1:14" ht="18.2" customHeight="1" x14ac:dyDescent="0.25">
      <c r="A106" s="628"/>
      <c r="B106" s="628"/>
      <c r="C106" s="628"/>
      <c r="D106" s="628"/>
      <c r="E106" s="628"/>
      <c r="F106" s="37"/>
      <c r="G106" s="37"/>
      <c r="H106" s="629"/>
      <c r="I106" s="629"/>
      <c r="J106" s="629"/>
      <c r="K106" s="629"/>
      <c r="L106" s="629"/>
      <c r="M106" s="629"/>
      <c r="N106" s="35"/>
    </row>
    <row r="107" spans="1:14" ht="18.2" customHeight="1" x14ac:dyDescent="0.25">
      <c r="A107" s="628" t="s">
        <v>163</v>
      </c>
      <c r="B107" s="628"/>
      <c r="C107" s="628"/>
      <c r="D107" s="628"/>
      <c r="E107" s="628"/>
      <c r="F107" s="37"/>
      <c r="G107" s="37"/>
      <c r="H107" s="629"/>
      <c r="I107" s="629"/>
      <c r="J107" s="629"/>
      <c r="K107" s="629"/>
      <c r="L107" s="629"/>
      <c r="M107" s="629"/>
      <c r="N107" s="35"/>
    </row>
    <row r="108" spans="1:14" ht="18.2" customHeight="1" x14ac:dyDescent="0.25">
      <c r="A108" s="628" t="s">
        <v>164</v>
      </c>
      <c r="B108" s="628"/>
      <c r="C108" s="628"/>
      <c r="D108" s="628"/>
      <c r="E108" s="628"/>
      <c r="F108" s="37"/>
      <c r="G108" s="37"/>
      <c r="H108" s="629"/>
      <c r="I108" s="629"/>
      <c r="J108" s="629"/>
      <c r="K108" s="629"/>
      <c r="L108" s="629"/>
      <c r="M108" s="629"/>
      <c r="N108" s="35"/>
    </row>
    <row r="109" spans="1:14" ht="18.2" customHeight="1" x14ac:dyDescent="0.25">
      <c r="A109" s="628" t="s">
        <v>165</v>
      </c>
      <c r="B109" s="628"/>
      <c r="C109" s="628"/>
      <c r="D109" s="628"/>
      <c r="E109" s="628"/>
      <c r="F109" s="37"/>
      <c r="G109" s="37"/>
      <c r="H109" s="629"/>
      <c r="I109" s="629"/>
      <c r="J109" s="629"/>
      <c r="K109" s="629"/>
      <c r="L109" s="629"/>
      <c r="M109" s="629"/>
      <c r="N109" s="35"/>
    </row>
    <row r="110" spans="1:14" ht="18.2" customHeight="1" x14ac:dyDescent="0.25">
      <c r="A110" s="628" t="s">
        <v>166</v>
      </c>
      <c r="B110" s="628"/>
      <c r="C110" s="628"/>
      <c r="D110" s="628"/>
      <c r="E110" s="628"/>
      <c r="F110" s="37"/>
      <c r="G110" s="37"/>
      <c r="H110" s="629"/>
      <c r="I110" s="629"/>
      <c r="J110" s="629"/>
      <c r="K110" s="629"/>
      <c r="L110" s="629"/>
      <c r="M110" s="629"/>
      <c r="N110" s="35"/>
    </row>
    <row r="111" spans="1:14" ht="18.2" customHeight="1" x14ac:dyDescent="0.25">
      <c r="A111" s="628"/>
      <c r="B111" s="628"/>
      <c r="C111" s="628"/>
      <c r="D111" s="628"/>
      <c r="E111" s="628"/>
      <c r="F111" s="37"/>
      <c r="G111" s="37"/>
      <c r="H111" s="629"/>
      <c r="I111" s="629"/>
      <c r="J111" s="629"/>
      <c r="K111" s="629"/>
      <c r="L111" s="629"/>
      <c r="M111" s="629"/>
      <c r="N111" s="35"/>
    </row>
    <row r="112" spans="1:14" ht="18.2" customHeight="1" x14ac:dyDescent="0.25">
      <c r="A112" s="628" t="s">
        <v>167</v>
      </c>
      <c r="B112" s="628"/>
      <c r="C112" s="628"/>
      <c r="D112" s="628"/>
      <c r="E112" s="628"/>
      <c r="F112" s="37"/>
      <c r="G112" s="37"/>
      <c r="H112" s="629"/>
      <c r="I112" s="629"/>
      <c r="J112" s="629"/>
      <c r="K112" s="629"/>
      <c r="L112" s="629"/>
      <c r="M112" s="629"/>
      <c r="N112" s="35"/>
    </row>
    <row r="113" spans="1:14" ht="18.2" customHeight="1" x14ac:dyDescent="0.25">
      <c r="A113" s="628" t="s">
        <v>168</v>
      </c>
      <c r="B113" s="628"/>
      <c r="C113" s="628"/>
      <c r="D113" s="628"/>
      <c r="E113" s="628"/>
      <c r="F113" s="37"/>
      <c r="G113" s="37"/>
      <c r="H113" s="629"/>
      <c r="I113" s="629"/>
      <c r="J113" s="629"/>
      <c r="K113" s="629"/>
      <c r="L113" s="629"/>
      <c r="M113" s="629"/>
      <c r="N113" s="35"/>
    </row>
    <row r="114" spans="1:14" ht="18.2" customHeight="1" x14ac:dyDescent="0.25">
      <c r="A114" s="628"/>
      <c r="B114" s="628"/>
      <c r="C114" s="628"/>
      <c r="D114" s="628"/>
      <c r="E114" s="628"/>
      <c r="F114" s="37"/>
      <c r="G114" s="37"/>
      <c r="H114" s="629"/>
      <c r="I114" s="629"/>
      <c r="J114" s="629"/>
      <c r="K114" s="629"/>
      <c r="L114" s="629"/>
      <c r="M114" s="629"/>
      <c r="N114" s="35"/>
    </row>
    <row r="115" spans="1:14" ht="64.150000000000006" customHeight="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</row>
    <row r="116" spans="1:14" ht="3.75" customHeight="1" x14ac:dyDescent="0.25">
      <c r="A116" s="35"/>
      <c r="B116" s="35"/>
      <c r="C116" s="35"/>
      <c r="D116" s="35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</row>
    <row r="117" spans="1:14" ht="9.75" customHeight="1" x14ac:dyDescent="0.25">
      <c r="A117" s="185"/>
      <c r="B117" s="185"/>
      <c r="C117" s="35"/>
      <c r="D117" s="35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</row>
    <row r="118" spans="1:14" ht="6.75" customHeight="1" x14ac:dyDescent="0.25">
      <c r="A118" s="185"/>
      <c r="B118" s="18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</row>
  </sheetData>
  <sheetProtection algorithmName="SHA-512" hashValue="WcI1Jvgm3OvMi+HPs19zIVaEAQRVkT9pIlOGBBkcgPpgVUH0Gf7xxmFeTvNofLggRCgD/SDASZXaRHIfZruYSA==" saltValue="SNd8Qn7s3m0/4C9v6texnA==" spinCount="100000" sheet="1" objects="1" scenarios="1"/>
  <mergeCells count="220">
    <mergeCell ref="A112:E112"/>
    <mergeCell ref="H112:M112"/>
    <mergeCell ref="A113:E113"/>
    <mergeCell ref="H113:M113"/>
    <mergeCell ref="A114:E114"/>
    <mergeCell ref="H114:M114"/>
    <mergeCell ref="A109:E109"/>
    <mergeCell ref="H109:M109"/>
    <mergeCell ref="A110:E110"/>
    <mergeCell ref="H110:M110"/>
    <mergeCell ref="A111:E111"/>
    <mergeCell ref="H111:M111"/>
    <mergeCell ref="A106:E106"/>
    <mergeCell ref="H106:M106"/>
    <mergeCell ref="A107:E107"/>
    <mergeCell ref="H107:M107"/>
    <mergeCell ref="A108:E108"/>
    <mergeCell ref="H108:M108"/>
    <mergeCell ref="A103:E103"/>
    <mergeCell ref="H103:M103"/>
    <mergeCell ref="A104:E104"/>
    <mergeCell ref="H104:M104"/>
    <mergeCell ref="A105:E105"/>
    <mergeCell ref="H105:M105"/>
    <mergeCell ref="A100:E100"/>
    <mergeCell ref="H100:M100"/>
    <mergeCell ref="A101:E101"/>
    <mergeCell ref="H101:M101"/>
    <mergeCell ref="A102:E102"/>
    <mergeCell ref="H102:M102"/>
    <mergeCell ref="A97:E97"/>
    <mergeCell ref="H97:M97"/>
    <mergeCell ref="A98:E98"/>
    <mergeCell ref="H98:M98"/>
    <mergeCell ref="A99:E99"/>
    <mergeCell ref="H99:M99"/>
    <mergeCell ref="A94:E94"/>
    <mergeCell ref="H94:M94"/>
    <mergeCell ref="A95:E95"/>
    <mergeCell ref="H95:M95"/>
    <mergeCell ref="A96:E96"/>
    <mergeCell ref="H96:M96"/>
    <mergeCell ref="A91:E91"/>
    <mergeCell ref="H91:M91"/>
    <mergeCell ref="A92:E92"/>
    <mergeCell ref="H92:M92"/>
    <mergeCell ref="A93:E93"/>
    <mergeCell ref="H93:M93"/>
    <mergeCell ref="A88:E88"/>
    <mergeCell ref="H88:M88"/>
    <mergeCell ref="A89:E89"/>
    <mergeCell ref="H89:M89"/>
    <mergeCell ref="A90:E90"/>
    <mergeCell ref="H90:M90"/>
    <mergeCell ref="A85:E85"/>
    <mergeCell ref="H85:M85"/>
    <mergeCell ref="A86:E86"/>
    <mergeCell ref="H86:M86"/>
    <mergeCell ref="A87:E87"/>
    <mergeCell ref="H87:M87"/>
    <mergeCell ref="A82:E82"/>
    <mergeCell ref="H82:M82"/>
    <mergeCell ref="A83:E83"/>
    <mergeCell ref="H83:M83"/>
    <mergeCell ref="A84:E84"/>
    <mergeCell ref="H84:M84"/>
    <mergeCell ref="A79:E79"/>
    <mergeCell ref="H79:M79"/>
    <mergeCell ref="A80:E80"/>
    <mergeCell ref="H80:M80"/>
    <mergeCell ref="A81:E81"/>
    <mergeCell ref="H81:M81"/>
    <mergeCell ref="A76:E76"/>
    <mergeCell ref="H76:M76"/>
    <mergeCell ref="A77:E77"/>
    <mergeCell ref="H77:M77"/>
    <mergeCell ref="A78:E78"/>
    <mergeCell ref="H78:M78"/>
    <mergeCell ref="A73:E73"/>
    <mergeCell ref="H73:M73"/>
    <mergeCell ref="A74:E74"/>
    <mergeCell ref="H74:M74"/>
    <mergeCell ref="A75:E75"/>
    <mergeCell ref="H75:M75"/>
    <mergeCell ref="A70:E70"/>
    <mergeCell ref="H70:M70"/>
    <mergeCell ref="A71:E71"/>
    <mergeCell ref="H71:M71"/>
    <mergeCell ref="A72:E72"/>
    <mergeCell ref="H72:M72"/>
    <mergeCell ref="A67:E67"/>
    <mergeCell ref="H67:M67"/>
    <mergeCell ref="A68:E68"/>
    <mergeCell ref="H68:M68"/>
    <mergeCell ref="A69:E69"/>
    <mergeCell ref="H69:M69"/>
    <mergeCell ref="A64:E64"/>
    <mergeCell ref="H64:M64"/>
    <mergeCell ref="A65:E65"/>
    <mergeCell ref="H65:M65"/>
    <mergeCell ref="A66:E66"/>
    <mergeCell ref="H66:M66"/>
    <mergeCell ref="A61:E61"/>
    <mergeCell ref="H61:M61"/>
    <mergeCell ref="A62:E62"/>
    <mergeCell ref="H62:M62"/>
    <mergeCell ref="A63:E63"/>
    <mergeCell ref="H63:M63"/>
    <mergeCell ref="A58:E58"/>
    <mergeCell ref="H58:M58"/>
    <mergeCell ref="A59:E59"/>
    <mergeCell ref="H59:M59"/>
    <mergeCell ref="A60:E60"/>
    <mergeCell ref="H60:M60"/>
    <mergeCell ref="A55:E55"/>
    <mergeCell ref="H55:M55"/>
    <mergeCell ref="A56:E56"/>
    <mergeCell ref="H56:M56"/>
    <mergeCell ref="A57:E57"/>
    <mergeCell ref="H57:M57"/>
    <mergeCell ref="A52:E52"/>
    <mergeCell ref="H52:M52"/>
    <mergeCell ref="A53:E53"/>
    <mergeCell ref="H53:M53"/>
    <mergeCell ref="A54:E54"/>
    <mergeCell ref="H54:M54"/>
    <mergeCell ref="A49:E49"/>
    <mergeCell ref="H49:M49"/>
    <mergeCell ref="A50:E50"/>
    <mergeCell ref="H50:M50"/>
    <mergeCell ref="A51:E51"/>
    <mergeCell ref="H51:M51"/>
    <mergeCell ref="A46:E46"/>
    <mergeCell ref="H46:M46"/>
    <mergeCell ref="A47:E47"/>
    <mergeCell ref="H47:M47"/>
    <mergeCell ref="A48:E48"/>
    <mergeCell ref="H48:M48"/>
    <mergeCell ref="A43:E43"/>
    <mergeCell ref="H43:M43"/>
    <mergeCell ref="A44:E44"/>
    <mergeCell ref="H44:M44"/>
    <mergeCell ref="A45:E45"/>
    <mergeCell ref="H45:M45"/>
    <mergeCell ref="A40:E40"/>
    <mergeCell ref="H40:M40"/>
    <mergeCell ref="A41:E41"/>
    <mergeCell ref="H41:M41"/>
    <mergeCell ref="A42:E42"/>
    <mergeCell ref="H42:M42"/>
    <mergeCell ref="A37:E37"/>
    <mergeCell ref="H37:M37"/>
    <mergeCell ref="A38:E38"/>
    <mergeCell ref="H38:M38"/>
    <mergeCell ref="A39:E39"/>
    <mergeCell ref="H39:M39"/>
    <mergeCell ref="A34:E34"/>
    <mergeCell ref="H34:M34"/>
    <mergeCell ref="A35:E35"/>
    <mergeCell ref="H35:M35"/>
    <mergeCell ref="A36:E36"/>
    <mergeCell ref="H36:M36"/>
    <mergeCell ref="A31:E31"/>
    <mergeCell ref="H31:M31"/>
    <mergeCell ref="A32:E32"/>
    <mergeCell ref="H32:M32"/>
    <mergeCell ref="A33:E33"/>
    <mergeCell ref="H33:M33"/>
    <mergeCell ref="A28:E28"/>
    <mergeCell ref="H28:M28"/>
    <mergeCell ref="A29:E29"/>
    <mergeCell ref="H29:M29"/>
    <mergeCell ref="A30:E30"/>
    <mergeCell ref="H30:M30"/>
    <mergeCell ref="A25:E25"/>
    <mergeCell ref="H25:M25"/>
    <mergeCell ref="A26:E26"/>
    <mergeCell ref="H26:M26"/>
    <mergeCell ref="A27:E27"/>
    <mergeCell ref="H27:M27"/>
    <mergeCell ref="A22:E22"/>
    <mergeCell ref="H22:M22"/>
    <mergeCell ref="A23:E23"/>
    <mergeCell ref="H23:M23"/>
    <mergeCell ref="A24:E24"/>
    <mergeCell ref="H24:M24"/>
    <mergeCell ref="A19:E19"/>
    <mergeCell ref="H19:M19"/>
    <mergeCell ref="A20:E20"/>
    <mergeCell ref="H20:M20"/>
    <mergeCell ref="A21:E21"/>
    <mergeCell ref="H21:M21"/>
    <mergeCell ref="A16:E16"/>
    <mergeCell ref="H16:M16"/>
    <mergeCell ref="A17:E17"/>
    <mergeCell ref="H17:M17"/>
    <mergeCell ref="A18:E18"/>
    <mergeCell ref="H18:M18"/>
    <mergeCell ref="A13:E13"/>
    <mergeCell ref="H13:M13"/>
    <mergeCell ref="A14:E14"/>
    <mergeCell ref="H14:M14"/>
    <mergeCell ref="A15:E15"/>
    <mergeCell ref="H15:M15"/>
    <mergeCell ref="E5:I5"/>
    <mergeCell ref="A7:N7"/>
    <mergeCell ref="E9:I9"/>
    <mergeCell ref="A11:E11"/>
    <mergeCell ref="H11:M11"/>
    <mergeCell ref="A12:E12"/>
    <mergeCell ref="H12:M12"/>
    <mergeCell ref="B2:C2"/>
    <mergeCell ref="E2:I2"/>
    <mergeCell ref="K2:L2"/>
    <mergeCell ref="M2:N2"/>
    <mergeCell ref="A3:A4"/>
    <mergeCell ref="B3:C4"/>
    <mergeCell ref="E3:I3"/>
    <mergeCell ref="K3:L4"/>
    <mergeCell ref="M3:N3"/>
  </mergeCells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ascieGIO"/>
  <dimension ref="A1:N118"/>
  <sheetViews>
    <sheetView topLeftCell="A100"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36"/>
      <c r="C2" s="36"/>
      <c r="D2" s="35"/>
      <c r="E2" s="183"/>
      <c r="F2" s="183"/>
      <c r="G2" s="183"/>
      <c r="H2" s="183"/>
      <c r="I2" s="183"/>
      <c r="J2" s="35"/>
      <c r="K2" s="36"/>
      <c r="L2" s="36"/>
      <c r="M2" s="184"/>
      <c r="N2" s="184"/>
    </row>
    <row r="3" spans="1:14" ht="12.95" customHeight="1" x14ac:dyDescent="0.25">
      <c r="A3" s="36"/>
      <c r="B3" s="36"/>
      <c r="C3" s="36"/>
      <c r="D3" s="35"/>
      <c r="E3" s="183"/>
      <c r="F3" s="183"/>
      <c r="G3" s="183"/>
      <c r="H3" s="183"/>
      <c r="I3" s="183"/>
      <c r="J3" s="35"/>
      <c r="K3" s="36"/>
      <c r="L3" s="36"/>
      <c r="M3" s="186"/>
      <c r="N3" s="186"/>
    </row>
    <row r="4" spans="1:14" ht="0.75" customHeight="1" x14ac:dyDescent="0.25">
      <c r="A4" s="36"/>
      <c r="B4" s="36"/>
      <c r="C4" s="36"/>
      <c r="D4" s="35"/>
      <c r="E4" s="35"/>
      <c r="F4" s="35"/>
      <c r="G4" s="35"/>
      <c r="H4" s="35"/>
      <c r="I4" s="35"/>
      <c r="J4" s="35"/>
      <c r="K4" s="36"/>
      <c r="L4" s="36"/>
      <c r="M4" s="35"/>
      <c r="N4" s="35"/>
    </row>
    <row r="5" spans="1:14" ht="12.95" customHeight="1" x14ac:dyDescent="0.25">
      <c r="A5" s="35"/>
      <c r="B5" s="35"/>
      <c r="C5" s="35"/>
      <c r="D5" s="35"/>
      <c r="E5" s="183"/>
      <c r="F5" s="183"/>
      <c r="G5" s="183"/>
      <c r="H5" s="183"/>
      <c r="I5" s="183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185"/>
      <c r="B7" s="185"/>
      <c r="C7" s="185"/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187"/>
      <c r="F9" s="187"/>
      <c r="G9" s="187"/>
      <c r="H9" s="187"/>
      <c r="I9" s="187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188" t="s">
        <v>86</v>
      </c>
      <c r="B11" s="188"/>
      <c r="C11" s="188"/>
      <c r="D11" s="188"/>
      <c r="E11" s="188"/>
      <c r="F11" s="329" t="s">
        <v>330</v>
      </c>
      <c r="G11" s="329" t="s">
        <v>299</v>
      </c>
      <c r="H11" s="173"/>
      <c r="I11" s="173"/>
      <c r="J11" s="173"/>
      <c r="K11" s="173"/>
      <c r="L11" s="173"/>
      <c r="M11" s="173"/>
      <c r="N11" s="35"/>
    </row>
    <row r="12" spans="1:14" ht="18.2" customHeight="1" x14ac:dyDescent="0.25">
      <c r="A12" s="182" t="s">
        <v>87</v>
      </c>
      <c r="B12" s="182"/>
      <c r="C12" s="182"/>
      <c r="D12" s="182"/>
      <c r="E12" s="182"/>
      <c r="F12" s="37"/>
      <c r="G12" s="37"/>
      <c r="H12" s="37"/>
      <c r="I12" s="37"/>
      <c r="J12" s="37"/>
      <c r="K12" s="37"/>
      <c r="L12" s="37"/>
      <c r="M12" s="37"/>
      <c r="N12" s="35"/>
    </row>
    <row r="13" spans="1:14" ht="18.2" customHeight="1" x14ac:dyDescent="0.25">
      <c r="A13" s="182" t="s">
        <v>88</v>
      </c>
      <c r="B13" s="182"/>
      <c r="C13" s="182"/>
      <c r="D13" s="182"/>
      <c r="E13" s="182"/>
      <c r="F13" s="37"/>
      <c r="G13" s="37"/>
      <c r="H13" s="37"/>
      <c r="I13" s="37"/>
      <c r="J13" s="37"/>
      <c r="K13" s="37"/>
      <c r="L13" s="37"/>
      <c r="M13" s="37"/>
      <c r="N13" s="35"/>
    </row>
    <row r="14" spans="1:14" ht="18.2" customHeight="1" x14ac:dyDescent="0.25">
      <c r="A14" s="182" t="s">
        <v>89</v>
      </c>
      <c r="B14" s="182"/>
      <c r="C14" s="182"/>
      <c r="D14" s="182"/>
      <c r="E14" s="182"/>
      <c r="F14" s="37"/>
      <c r="G14" s="37"/>
      <c r="H14" s="37"/>
      <c r="I14" s="37"/>
      <c r="J14" s="37"/>
      <c r="K14" s="37"/>
      <c r="L14" s="37"/>
      <c r="M14" s="37"/>
      <c r="N14" s="35"/>
    </row>
    <row r="15" spans="1:14" ht="18.2" customHeight="1" x14ac:dyDescent="0.25">
      <c r="A15" s="182" t="s">
        <v>90</v>
      </c>
      <c r="B15" s="182"/>
      <c r="C15" s="182"/>
      <c r="D15" s="182"/>
      <c r="E15" s="182"/>
      <c r="F15" s="37"/>
      <c r="G15" s="37"/>
      <c r="H15" s="37"/>
      <c r="I15" s="37"/>
      <c r="J15" s="37"/>
      <c r="K15" s="37"/>
      <c r="L15" s="37"/>
      <c r="M15" s="37"/>
      <c r="N15" s="35"/>
    </row>
    <row r="16" spans="1:14" ht="18.2" customHeight="1" x14ac:dyDescent="0.25">
      <c r="A16" s="182"/>
      <c r="B16" s="182"/>
      <c r="C16" s="182"/>
      <c r="D16" s="182"/>
      <c r="E16" s="182"/>
      <c r="F16" s="37"/>
      <c r="G16" s="37"/>
      <c r="H16" s="37"/>
      <c r="I16" s="37"/>
      <c r="J16" s="37"/>
      <c r="K16" s="37"/>
      <c r="L16" s="37"/>
      <c r="M16" s="37"/>
      <c r="N16" s="35"/>
    </row>
    <row r="17" spans="1:14" ht="18.2" customHeight="1" x14ac:dyDescent="0.25">
      <c r="A17" s="182" t="s">
        <v>91</v>
      </c>
      <c r="B17" s="182"/>
      <c r="C17" s="182"/>
      <c r="D17" s="182"/>
      <c r="E17" s="182"/>
      <c r="F17" s="37"/>
      <c r="G17" s="37"/>
      <c r="H17" s="37"/>
      <c r="I17" s="37"/>
      <c r="J17" s="37"/>
      <c r="K17" s="37"/>
      <c r="L17" s="37"/>
      <c r="M17" s="37"/>
      <c r="N17" s="35"/>
    </row>
    <row r="18" spans="1:14" ht="18.2" customHeight="1" x14ac:dyDescent="0.25">
      <c r="A18" s="182" t="s">
        <v>92</v>
      </c>
      <c r="B18" s="182"/>
      <c r="C18" s="182"/>
      <c r="D18" s="182"/>
      <c r="E18" s="182"/>
      <c r="F18" s="37"/>
      <c r="G18" s="37"/>
      <c r="H18" s="37"/>
      <c r="I18" s="37"/>
      <c r="J18" s="37"/>
      <c r="K18" s="37"/>
      <c r="L18" s="37"/>
      <c r="M18" s="37"/>
      <c r="N18" s="35"/>
    </row>
    <row r="19" spans="1:14" ht="18.2" customHeight="1" x14ac:dyDescent="0.25">
      <c r="A19" s="182" t="s">
        <v>93</v>
      </c>
      <c r="B19" s="182"/>
      <c r="C19" s="182"/>
      <c r="D19" s="182"/>
      <c r="E19" s="182"/>
      <c r="F19" s="37"/>
      <c r="G19" s="37"/>
      <c r="H19" s="37"/>
      <c r="I19" s="37"/>
      <c r="J19" s="37"/>
      <c r="K19" s="37"/>
      <c r="L19" s="37"/>
      <c r="M19" s="37"/>
      <c r="N19" s="35"/>
    </row>
    <row r="20" spans="1:14" ht="18.2" customHeight="1" x14ac:dyDescent="0.25">
      <c r="A20" s="182" t="s">
        <v>94</v>
      </c>
      <c r="B20" s="182"/>
      <c r="C20" s="182"/>
      <c r="D20" s="182"/>
      <c r="E20" s="182"/>
      <c r="F20" s="37"/>
      <c r="G20" s="37"/>
      <c r="H20" s="37"/>
      <c r="I20" s="37"/>
      <c r="J20" s="37"/>
      <c r="K20" s="37"/>
      <c r="L20" s="37"/>
      <c r="M20" s="37"/>
      <c r="N20" s="35"/>
    </row>
    <row r="21" spans="1:14" ht="18.2" customHeight="1" x14ac:dyDescent="0.25">
      <c r="A21" s="182"/>
      <c r="B21" s="182"/>
      <c r="C21" s="182"/>
      <c r="D21" s="182"/>
      <c r="E21" s="182"/>
      <c r="F21" s="37"/>
      <c r="G21" s="37"/>
      <c r="H21" s="37"/>
      <c r="I21" s="37"/>
      <c r="J21" s="37"/>
      <c r="K21" s="37"/>
      <c r="L21" s="37"/>
      <c r="M21" s="37"/>
      <c r="N21" s="35"/>
    </row>
    <row r="22" spans="1:14" ht="18.2" customHeight="1" x14ac:dyDescent="0.25">
      <c r="A22" s="182" t="s">
        <v>95</v>
      </c>
      <c r="B22" s="182"/>
      <c r="C22" s="182"/>
      <c r="D22" s="182"/>
      <c r="E22" s="182"/>
      <c r="F22" s="37"/>
      <c r="G22" s="37"/>
      <c r="H22" s="37"/>
      <c r="I22" s="37"/>
      <c r="J22" s="37"/>
      <c r="K22" s="37"/>
      <c r="L22" s="37"/>
      <c r="M22" s="37"/>
      <c r="N22" s="35"/>
    </row>
    <row r="23" spans="1:14" ht="18.2" customHeight="1" x14ac:dyDescent="0.25">
      <c r="A23" s="182" t="s">
        <v>96</v>
      </c>
      <c r="B23" s="182"/>
      <c r="C23" s="182"/>
      <c r="D23" s="182"/>
      <c r="E23" s="182"/>
      <c r="F23" s="37"/>
      <c r="G23" s="37"/>
      <c r="H23" s="37"/>
      <c r="I23" s="37"/>
      <c r="J23" s="37"/>
      <c r="K23" s="37"/>
      <c r="L23" s="37"/>
      <c r="M23" s="37"/>
      <c r="N23" s="35"/>
    </row>
    <row r="24" spans="1:14" ht="18.2" customHeight="1" x14ac:dyDescent="0.25">
      <c r="A24" s="182" t="s">
        <v>97</v>
      </c>
      <c r="B24" s="182"/>
      <c r="C24" s="182"/>
      <c r="D24" s="182"/>
      <c r="E24" s="182"/>
      <c r="F24" s="37"/>
      <c r="G24" s="37"/>
      <c r="H24" s="37"/>
      <c r="I24" s="37"/>
      <c r="J24" s="37"/>
      <c r="K24" s="37"/>
      <c r="L24" s="37"/>
      <c r="M24" s="37"/>
      <c r="N24" s="35"/>
    </row>
    <row r="25" spans="1:14" ht="18.2" customHeight="1" x14ac:dyDescent="0.25">
      <c r="A25" s="182" t="s">
        <v>98</v>
      </c>
      <c r="B25" s="182"/>
      <c r="C25" s="182"/>
      <c r="D25" s="182"/>
      <c r="E25" s="182"/>
      <c r="F25" s="37"/>
      <c r="G25" s="37"/>
      <c r="H25" s="37"/>
      <c r="I25" s="37"/>
      <c r="J25" s="37"/>
      <c r="K25" s="37"/>
      <c r="L25" s="37"/>
      <c r="M25" s="37"/>
      <c r="N25" s="35"/>
    </row>
    <row r="26" spans="1:14" ht="18.2" customHeight="1" x14ac:dyDescent="0.25">
      <c r="A26" s="182"/>
      <c r="B26" s="182"/>
      <c r="C26" s="182"/>
      <c r="D26" s="182"/>
      <c r="E26" s="182"/>
      <c r="F26" s="37"/>
      <c r="G26" s="37"/>
      <c r="H26" s="37"/>
      <c r="I26" s="37"/>
      <c r="J26" s="37"/>
      <c r="K26" s="37"/>
      <c r="L26" s="37"/>
      <c r="M26" s="37"/>
      <c r="N26" s="35"/>
    </row>
    <row r="27" spans="1:14" ht="18.2" customHeight="1" x14ac:dyDescent="0.25">
      <c r="A27" s="182" t="s">
        <v>99</v>
      </c>
      <c r="B27" s="182"/>
      <c r="C27" s="182"/>
      <c r="D27" s="182"/>
      <c r="E27" s="182"/>
      <c r="F27" s="37"/>
      <c r="G27" s="37"/>
      <c r="H27" s="37"/>
      <c r="I27" s="37"/>
      <c r="J27" s="37"/>
      <c r="K27" s="37"/>
      <c r="L27" s="37"/>
      <c r="M27" s="37"/>
      <c r="N27" s="35"/>
    </row>
    <row r="28" spans="1:14" ht="18.2" customHeight="1" x14ac:dyDescent="0.25">
      <c r="A28" s="182" t="s">
        <v>100</v>
      </c>
      <c r="B28" s="182"/>
      <c r="C28" s="182"/>
      <c r="D28" s="182"/>
      <c r="E28" s="182"/>
      <c r="F28" s="37"/>
      <c r="G28" s="37"/>
      <c r="H28" s="37"/>
      <c r="I28" s="37"/>
      <c r="J28" s="37"/>
      <c r="K28" s="37"/>
      <c r="L28" s="37"/>
      <c r="M28" s="37"/>
      <c r="N28" s="35"/>
    </row>
    <row r="29" spans="1:14" ht="18.2" customHeight="1" x14ac:dyDescent="0.25">
      <c r="A29" s="182" t="s">
        <v>101</v>
      </c>
      <c r="B29" s="182"/>
      <c r="C29" s="182"/>
      <c r="D29" s="182"/>
      <c r="E29" s="182"/>
      <c r="F29" s="37"/>
      <c r="G29" s="37"/>
      <c r="H29" s="37"/>
      <c r="I29" s="37"/>
      <c r="J29" s="37"/>
      <c r="K29" s="37"/>
      <c r="L29" s="37"/>
      <c r="M29" s="37"/>
      <c r="N29" s="35"/>
    </row>
    <row r="30" spans="1:14" ht="18.2" customHeight="1" x14ac:dyDescent="0.25">
      <c r="A30" s="182" t="s">
        <v>102</v>
      </c>
      <c r="B30" s="182"/>
      <c r="C30" s="182"/>
      <c r="D30" s="182"/>
      <c r="E30" s="182"/>
      <c r="F30" s="37"/>
      <c r="G30" s="37"/>
      <c r="H30" s="37"/>
      <c r="I30" s="37"/>
      <c r="J30" s="37"/>
      <c r="K30" s="37"/>
      <c r="L30" s="37"/>
      <c r="M30" s="37"/>
      <c r="N30" s="35"/>
    </row>
    <row r="31" spans="1:14" ht="18.2" customHeight="1" x14ac:dyDescent="0.25">
      <c r="A31" s="182"/>
      <c r="B31" s="182"/>
      <c r="C31" s="182"/>
      <c r="D31" s="182"/>
      <c r="E31" s="182"/>
      <c r="F31" s="37"/>
      <c r="G31" s="37"/>
      <c r="H31" s="37"/>
      <c r="I31" s="37"/>
      <c r="J31" s="37"/>
      <c r="K31" s="37"/>
      <c r="L31" s="37"/>
      <c r="M31" s="37"/>
      <c r="N31" s="35"/>
    </row>
    <row r="32" spans="1:14" ht="18.2" customHeight="1" x14ac:dyDescent="0.25">
      <c r="A32" s="182" t="s">
        <v>103</v>
      </c>
      <c r="B32" s="182"/>
      <c r="C32" s="182"/>
      <c r="D32" s="182"/>
      <c r="E32" s="182"/>
      <c r="F32" s="37"/>
      <c r="G32" s="37"/>
      <c r="H32" s="37"/>
      <c r="I32" s="37"/>
      <c r="J32" s="37"/>
      <c r="K32" s="37"/>
      <c r="L32" s="37"/>
      <c r="M32" s="37"/>
      <c r="N32" s="35"/>
    </row>
    <row r="33" spans="1:14" ht="18.2" customHeight="1" x14ac:dyDescent="0.25">
      <c r="A33" s="182" t="s">
        <v>104</v>
      </c>
      <c r="B33" s="182"/>
      <c r="C33" s="182"/>
      <c r="D33" s="182"/>
      <c r="E33" s="182"/>
      <c r="F33" s="37"/>
      <c r="G33" s="37"/>
      <c r="H33" s="37"/>
      <c r="I33" s="37"/>
      <c r="J33" s="37"/>
      <c r="K33" s="37"/>
      <c r="L33" s="37"/>
      <c r="M33" s="37"/>
      <c r="N33" s="35"/>
    </row>
    <row r="34" spans="1:14" ht="18.2" customHeight="1" x14ac:dyDescent="0.25">
      <c r="A34" s="182" t="s">
        <v>105</v>
      </c>
      <c r="B34" s="182"/>
      <c r="C34" s="182"/>
      <c r="D34" s="182"/>
      <c r="E34" s="182"/>
      <c r="F34" s="37"/>
      <c r="G34" s="37"/>
      <c r="H34" s="37"/>
      <c r="I34" s="37"/>
      <c r="J34" s="37"/>
      <c r="K34" s="37"/>
      <c r="L34" s="37"/>
      <c r="M34" s="37"/>
      <c r="N34" s="35"/>
    </row>
    <row r="35" spans="1:14" ht="18.2" customHeight="1" x14ac:dyDescent="0.25">
      <c r="A35" s="182" t="s">
        <v>106</v>
      </c>
      <c r="B35" s="182"/>
      <c r="C35" s="182"/>
      <c r="D35" s="182"/>
      <c r="E35" s="182"/>
      <c r="F35" s="37"/>
      <c r="G35" s="37"/>
      <c r="H35" s="37"/>
      <c r="I35" s="37"/>
      <c r="J35" s="37"/>
      <c r="K35" s="37"/>
      <c r="L35" s="37"/>
      <c r="M35" s="37"/>
      <c r="N35" s="35"/>
    </row>
    <row r="36" spans="1:14" ht="18.2" customHeight="1" x14ac:dyDescent="0.25">
      <c r="A36" s="182"/>
      <c r="B36" s="182"/>
      <c r="C36" s="182"/>
      <c r="D36" s="182"/>
      <c r="E36" s="182"/>
      <c r="F36" s="37"/>
      <c r="G36" s="37"/>
      <c r="H36" s="37"/>
      <c r="I36" s="37"/>
      <c r="J36" s="37"/>
      <c r="K36" s="37"/>
      <c r="L36" s="37"/>
      <c r="M36" s="37"/>
      <c r="N36" s="35"/>
    </row>
    <row r="37" spans="1:14" ht="18.2" customHeight="1" x14ac:dyDescent="0.25">
      <c r="A37" s="182" t="s">
        <v>107</v>
      </c>
      <c r="B37" s="182"/>
      <c r="C37" s="182"/>
      <c r="D37" s="182"/>
      <c r="E37" s="182"/>
      <c r="F37" s="37"/>
      <c r="G37" s="37"/>
      <c r="H37" s="37"/>
      <c r="I37" s="37"/>
      <c r="J37" s="37"/>
      <c r="K37" s="37"/>
      <c r="L37" s="37"/>
      <c r="M37" s="37"/>
      <c r="N37" s="35"/>
    </row>
    <row r="38" spans="1:14" ht="18.2" customHeight="1" x14ac:dyDescent="0.25">
      <c r="A38" s="182" t="s">
        <v>108</v>
      </c>
      <c r="B38" s="182"/>
      <c r="C38" s="182"/>
      <c r="D38" s="182"/>
      <c r="E38" s="182"/>
      <c r="F38" s="37"/>
      <c r="G38" s="37"/>
      <c r="H38" s="37"/>
      <c r="I38" s="37"/>
      <c r="J38" s="37"/>
      <c r="K38" s="37"/>
      <c r="L38" s="37"/>
      <c r="M38" s="37"/>
      <c r="N38" s="35"/>
    </row>
    <row r="39" spans="1:14" ht="18.2" customHeight="1" x14ac:dyDescent="0.25">
      <c r="A39" s="182" t="s">
        <v>109</v>
      </c>
      <c r="B39" s="182"/>
      <c r="C39" s="182"/>
      <c r="D39" s="182"/>
      <c r="E39" s="182"/>
      <c r="F39" s="37"/>
      <c r="G39" s="37"/>
      <c r="H39" s="37"/>
      <c r="I39" s="37"/>
      <c r="J39" s="37"/>
      <c r="K39" s="37"/>
      <c r="L39" s="37"/>
      <c r="M39" s="37"/>
      <c r="N39" s="35"/>
    </row>
    <row r="40" spans="1:14" ht="18.2" customHeight="1" x14ac:dyDescent="0.25">
      <c r="A40" s="182" t="s">
        <v>110</v>
      </c>
      <c r="B40" s="182"/>
      <c r="C40" s="182"/>
      <c r="D40" s="182"/>
      <c r="E40" s="182"/>
      <c r="F40" s="37"/>
      <c r="G40" s="37"/>
      <c r="H40" s="37"/>
      <c r="I40" s="37"/>
      <c r="J40" s="37"/>
      <c r="K40" s="37"/>
      <c r="L40" s="37"/>
      <c r="M40" s="37"/>
      <c r="N40" s="35"/>
    </row>
    <row r="41" spans="1:14" ht="18.2" customHeight="1" x14ac:dyDescent="0.25">
      <c r="A41" s="182"/>
      <c r="B41" s="182"/>
      <c r="C41" s="182"/>
      <c r="D41" s="182"/>
      <c r="E41" s="182"/>
      <c r="F41" s="37"/>
      <c r="G41" s="37"/>
      <c r="H41" s="37"/>
      <c r="I41" s="37"/>
      <c r="J41" s="37"/>
      <c r="K41" s="37"/>
      <c r="L41" s="37"/>
      <c r="M41" s="37"/>
      <c r="N41" s="35"/>
    </row>
    <row r="42" spans="1:14" ht="18.2" customHeight="1" x14ac:dyDescent="0.25">
      <c r="A42" s="182" t="s">
        <v>111</v>
      </c>
      <c r="B42" s="182"/>
      <c r="C42" s="182"/>
      <c r="D42" s="182"/>
      <c r="E42" s="182"/>
      <c r="F42" s="37"/>
      <c r="G42" s="37"/>
      <c r="H42" s="37"/>
      <c r="I42" s="37"/>
      <c r="J42" s="37"/>
      <c r="K42" s="37"/>
      <c r="L42" s="37"/>
      <c r="M42" s="37"/>
      <c r="N42" s="35"/>
    </row>
    <row r="43" spans="1:14" ht="18.2" customHeight="1" x14ac:dyDescent="0.25">
      <c r="A43" s="182" t="s">
        <v>112</v>
      </c>
      <c r="B43" s="182"/>
      <c r="C43" s="182"/>
      <c r="D43" s="182"/>
      <c r="E43" s="182"/>
      <c r="F43" s="37"/>
      <c r="G43" s="37"/>
      <c r="H43" s="37"/>
      <c r="I43" s="37"/>
      <c r="J43" s="37"/>
      <c r="K43" s="37"/>
      <c r="L43" s="37"/>
      <c r="M43" s="37"/>
      <c r="N43" s="35"/>
    </row>
    <row r="44" spans="1:14" ht="18.2" customHeight="1" x14ac:dyDescent="0.25">
      <c r="A44" s="182" t="s">
        <v>113</v>
      </c>
      <c r="B44" s="182"/>
      <c r="C44" s="182"/>
      <c r="D44" s="182"/>
      <c r="E44" s="182"/>
      <c r="F44" s="37"/>
      <c r="G44" s="37"/>
      <c r="H44" s="37"/>
      <c r="I44" s="37"/>
      <c r="J44" s="37"/>
      <c r="K44" s="37"/>
      <c r="L44" s="37"/>
      <c r="M44" s="37"/>
      <c r="N44" s="35"/>
    </row>
    <row r="45" spans="1:14" ht="18.2" customHeight="1" x14ac:dyDescent="0.25">
      <c r="A45" s="182" t="s">
        <v>114</v>
      </c>
      <c r="B45" s="182"/>
      <c r="C45" s="182"/>
      <c r="D45" s="182"/>
      <c r="E45" s="182"/>
      <c r="F45" s="37"/>
      <c r="G45" s="37"/>
      <c r="H45" s="37"/>
      <c r="I45" s="37"/>
      <c r="J45" s="37"/>
      <c r="K45" s="37"/>
      <c r="L45" s="37"/>
      <c r="M45" s="37"/>
      <c r="N45" s="35"/>
    </row>
    <row r="46" spans="1:14" ht="18.2" customHeight="1" x14ac:dyDescent="0.25">
      <c r="A46" s="182"/>
      <c r="B46" s="182"/>
      <c r="C46" s="182"/>
      <c r="D46" s="182"/>
      <c r="E46" s="182"/>
      <c r="F46" s="37"/>
      <c r="G46" s="37"/>
      <c r="H46" s="37"/>
      <c r="I46" s="37"/>
      <c r="J46" s="37"/>
      <c r="K46" s="37"/>
      <c r="L46" s="37"/>
      <c r="M46" s="37"/>
      <c r="N46" s="35"/>
    </row>
    <row r="47" spans="1:14" ht="18.2" customHeight="1" x14ac:dyDescent="0.25">
      <c r="A47" s="182" t="s">
        <v>115</v>
      </c>
      <c r="B47" s="182"/>
      <c r="C47" s="182"/>
      <c r="D47" s="182"/>
      <c r="E47" s="182"/>
      <c r="F47" s="37"/>
      <c r="G47" s="37"/>
      <c r="H47" s="37"/>
      <c r="I47" s="37"/>
      <c r="J47" s="37"/>
      <c r="K47" s="37"/>
      <c r="L47" s="37"/>
      <c r="M47" s="37"/>
      <c r="N47" s="35"/>
    </row>
    <row r="48" spans="1:14" ht="18.2" customHeight="1" x14ac:dyDescent="0.25">
      <c r="A48" s="182" t="s">
        <v>116</v>
      </c>
      <c r="B48" s="182"/>
      <c r="C48" s="182"/>
      <c r="D48" s="182"/>
      <c r="E48" s="182"/>
      <c r="F48" s="37"/>
      <c r="G48" s="37"/>
      <c r="H48" s="37"/>
      <c r="I48" s="37"/>
      <c r="J48" s="37"/>
      <c r="K48" s="37"/>
      <c r="L48" s="37"/>
      <c r="M48" s="37"/>
      <c r="N48" s="35"/>
    </row>
    <row r="49" spans="1:14" ht="18.2" customHeight="1" x14ac:dyDescent="0.25">
      <c r="A49" s="182" t="s">
        <v>117</v>
      </c>
      <c r="B49" s="182"/>
      <c r="C49" s="182"/>
      <c r="D49" s="182"/>
      <c r="E49" s="182"/>
      <c r="F49" s="37"/>
      <c r="G49" s="37"/>
      <c r="H49" s="37"/>
      <c r="I49" s="37"/>
      <c r="J49" s="37"/>
      <c r="K49" s="37"/>
      <c r="L49" s="37"/>
      <c r="M49" s="37"/>
      <c r="N49" s="35"/>
    </row>
    <row r="50" spans="1:14" ht="18.2" customHeight="1" x14ac:dyDescent="0.25">
      <c r="A50" s="182" t="s">
        <v>118</v>
      </c>
      <c r="B50" s="182"/>
      <c r="C50" s="182"/>
      <c r="D50" s="182"/>
      <c r="E50" s="182"/>
      <c r="F50" s="37"/>
      <c r="G50" s="37"/>
      <c r="H50" s="37"/>
      <c r="I50" s="37"/>
      <c r="J50" s="37"/>
      <c r="K50" s="37"/>
      <c r="L50" s="37"/>
      <c r="M50" s="37"/>
      <c r="N50" s="35"/>
    </row>
    <row r="51" spans="1:14" ht="18.2" customHeight="1" x14ac:dyDescent="0.25">
      <c r="A51" s="182"/>
      <c r="B51" s="182"/>
      <c r="C51" s="182"/>
      <c r="D51" s="182"/>
      <c r="E51" s="182"/>
      <c r="F51" s="37"/>
      <c r="G51" s="37"/>
      <c r="H51" s="37"/>
      <c r="I51" s="37"/>
      <c r="J51" s="37"/>
      <c r="K51" s="37"/>
      <c r="L51" s="37"/>
      <c r="M51" s="37"/>
      <c r="N51" s="35"/>
    </row>
    <row r="52" spans="1:14" ht="18.2" customHeight="1" x14ac:dyDescent="0.25">
      <c r="A52" s="182" t="s">
        <v>119</v>
      </c>
      <c r="B52" s="182"/>
      <c r="C52" s="182"/>
      <c r="D52" s="182"/>
      <c r="E52" s="182"/>
      <c r="F52" s="37"/>
      <c r="G52" s="37"/>
      <c r="H52" s="37"/>
      <c r="I52" s="37"/>
      <c r="J52" s="37"/>
      <c r="K52" s="37"/>
      <c r="L52" s="37"/>
      <c r="M52" s="37"/>
      <c r="N52" s="35"/>
    </row>
    <row r="53" spans="1:14" ht="18.2" customHeight="1" x14ac:dyDescent="0.25">
      <c r="A53" s="182" t="s">
        <v>120</v>
      </c>
      <c r="B53" s="182"/>
      <c r="C53" s="182"/>
      <c r="D53" s="182"/>
      <c r="E53" s="182"/>
      <c r="F53" s="37"/>
      <c r="G53" s="37"/>
      <c r="H53" s="37"/>
      <c r="I53" s="37"/>
      <c r="J53" s="37"/>
      <c r="K53" s="37"/>
      <c r="L53" s="37"/>
      <c r="M53" s="37"/>
      <c r="N53" s="35"/>
    </row>
    <row r="54" spans="1:14" ht="18.2" customHeight="1" x14ac:dyDescent="0.25">
      <c r="A54" s="182" t="s">
        <v>121</v>
      </c>
      <c r="B54" s="182"/>
      <c r="C54" s="182"/>
      <c r="D54" s="182"/>
      <c r="E54" s="182"/>
      <c r="F54" s="37"/>
      <c r="G54" s="37"/>
      <c r="H54" s="37"/>
      <c r="I54" s="37"/>
      <c r="J54" s="37"/>
      <c r="K54" s="37"/>
      <c r="L54" s="37"/>
      <c r="M54" s="37"/>
      <c r="N54" s="35"/>
    </row>
    <row r="55" spans="1:14" ht="18.2" customHeight="1" x14ac:dyDescent="0.25">
      <c r="A55" s="182" t="s">
        <v>122</v>
      </c>
      <c r="B55" s="182"/>
      <c r="C55" s="182"/>
      <c r="D55" s="182"/>
      <c r="E55" s="182"/>
      <c r="F55" s="37"/>
      <c r="G55" s="37"/>
      <c r="H55" s="37"/>
      <c r="I55" s="37"/>
      <c r="J55" s="37"/>
      <c r="K55" s="37"/>
      <c r="L55" s="37"/>
      <c r="M55" s="37"/>
      <c r="N55" s="35"/>
    </row>
    <row r="56" spans="1:14" ht="18.2" customHeight="1" x14ac:dyDescent="0.25">
      <c r="A56" s="182"/>
      <c r="B56" s="182"/>
      <c r="C56" s="182"/>
      <c r="D56" s="182"/>
      <c r="E56" s="182"/>
      <c r="F56" s="37"/>
      <c r="G56" s="37"/>
      <c r="H56" s="37"/>
      <c r="I56" s="37"/>
      <c r="J56" s="37"/>
      <c r="K56" s="37"/>
      <c r="L56" s="37"/>
      <c r="M56" s="37"/>
      <c r="N56" s="35"/>
    </row>
    <row r="57" spans="1:14" ht="18.2" customHeight="1" x14ac:dyDescent="0.25">
      <c r="A57" s="182" t="s">
        <v>123</v>
      </c>
      <c r="B57" s="182"/>
      <c r="C57" s="182"/>
      <c r="D57" s="182"/>
      <c r="E57" s="182"/>
      <c r="F57" s="37"/>
      <c r="G57" s="37"/>
      <c r="H57" s="37"/>
      <c r="I57" s="37"/>
      <c r="J57" s="37"/>
      <c r="K57" s="37"/>
      <c r="L57" s="37"/>
      <c r="M57" s="37"/>
      <c r="N57" s="35"/>
    </row>
    <row r="58" spans="1:14" ht="18.2" customHeight="1" x14ac:dyDescent="0.25">
      <c r="A58" s="182" t="s">
        <v>124</v>
      </c>
      <c r="B58" s="182"/>
      <c r="C58" s="182"/>
      <c r="D58" s="182"/>
      <c r="E58" s="182"/>
      <c r="F58" s="37"/>
      <c r="G58" s="37"/>
      <c r="H58" s="37"/>
      <c r="I58" s="37"/>
      <c r="J58" s="37"/>
      <c r="K58" s="37"/>
      <c r="L58" s="37"/>
      <c r="M58" s="37"/>
      <c r="N58" s="35"/>
    </row>
    <row r="59" spans="1:14" ht="18.2" customHeight="1" x14ac:dyDescent="0.25">
      <c r="A59" s="182" t="s">
        <v>125</v>
      </c>
      <c r="B59" s="182"/>
      <c r="C59" s="182"/>
      <c r="D59" s="182"/>
      <c r="E59" s="182"/>
      <c r="F59" s="37"/>
      <c r="G59" s="37"/>
      <c r="H59" s="37"/>
      <c r="I59" s="37"/>
      <c r="J59" s="37"/>
      <c r="K59" s="37"/>
      <c r="L59" s="37"/>
      <c r="M59" s="37"/>
      <c r="N59" s="35"/>
    </row>
    <row r="60" spans="1:14" ht="18.2" customHeight="1" x14ac:dyDescent="0.25">
      <c r="A60" s="182" t="s">
        <v>126</v>
      </c>
      <c r="B60" s="182"/>
      <c r="C60" s="182"/>
      <c r="D60" s="182"/>
      <c r="E60" s="182"/>
      <c r="F60" s="37"/>
      <c r="G60" s="37"/>
      <c r="H60" s="37"/>
      <c r="I60" s="37"/>
      <c r="J60" s="37"/>
      <c r="K60" s="37"/>
      <c r="L60" s="37"/>
      <c r="M60" s="37"/>
      <c r="N60" s="35"/>
    </row>
    <row r="61" spans="1:14" ht="18.2" customHeight="1" x14ac:dyDescent="0.25">
      <c r="A61" s="182"/>
      <c r="B61" s="182"/>
      <c r="C61" s="182"/>
      <c r="D61" s="182"/>
      <c r="E61" s="182"/>
      <c r="F61" s="37"/>
      <c r="G61" s="37"/>
      <c r="H61" s="37"/>
      <c r="I61" s="37"/>
      <c r="J61" s="37"/>
      <c r="K61" s="37"/>
      <c r="L61" s="37"/>
      <c r="M61" s="37"/>
      <c r="N61" s="35"/>
    </row>
    <row r="62" spans="1:14" ht="18.2" customHeight="1" x14ac:dyDescent="0.25">
      <c r="A62" s="182" t="s">
        <v>127</v>
      </c>
      <c r="B62" s="182"/>
      <c r="C62" s="182"/>
      <c r="D62" s="182"/>
      <c r="E62" s="182"/>
      <c r="F62" s="37"/>
      <c r="G62" s="37"/>
      <c r="H62" s="37"/>
      <c r="I62" s="37"/>
      <c r="J62" s="37"/>
      <c r="K62" s="37"/>
      <c r="L62" s="37"/>
      <c r="M62" s="37"/>
      <c r="N62" s="35"/>
    </row>
    <row r="63" spans="1:14" ht="18.2" customHeight="1" x14ac:dyDescent="0.25">
      <c r="A63" s="182" t="s">
        <v>128</v>
      </c>
      <c r="B63" s="182"/>
      <c r="C63" s="182"/>
      <c r="D63" s="182"/>
      <c r="E63" s="182"/>
      <c r="F63" s="37"/>
      <c r="G63" s="37"/>
      <c r="H63" s="37"/>
      <c r="I63" s="37"/>
      <c r="J63" s="37"/>
      <c r="K63" s="37"/>
      <c r="L63" s="37"/>
      <c r="M63" s="37"/>
      <c r="N63" s="35"/>
    </row>
    <row r="64" spans="1:14" ht="18.2" customHeight="1" x14ac:dyDescent="0.25">
      <c r="A64" s="182" t="s">
        <v>129</v>
      </c>
      <c r="B64" s="182"/>
      <c r="C64" s="182"/>
      <c r="D64" s="182"/>
      <c r="E64" s="182"/>
      <c r="F64" s="37"/>
      <c r="G64" s="37"/>
      <c r="H64" s="37"/>
      <c r="I64" s="37"/>
      <c r="J64" s="37"/>
      <c r="K64" s="37"/>
      <c r="L64" s="37"/>
      <c r="M64" s="37"/>
      <c r="N64" s="35"/>
    </row>
    <row r="65" spans="1:14" ht="18.2" customHeight="1" x14ac:dyDescent="0.25">
      <c r="A65" s="182" t="s">
        <v>130</v>
      </c>
      <c r="B65" s="182"/>
      <c r="C65" s="182"/>
      <c r="D65" s="182"/>
      <c r="E65" s="182"/>
      <c r="F65" s="37"/>
      <c r="G65" s="37"/>
      <c r="H65" s="37"/>
      <c r="I65" s="37"/>
      <c r="J65" s="37"/>
      <c r="K65" s="37"/>
      <c r="L65" s="37"/>
      <c r="M65" s="37"/>
      <c r="N65" s="35"/>
    </row>
    <row r="66" spans="1:14" ht="18.2" customHeight="1" x14ac:dyDescent="0.25">
      <c r="A66" s="182"/>
      <c r="B66" s="182"/>
      <c r="C66" s="182"/>
      <c r="D66" s="182"/>
      <c r="E66" s="182"/>
      <c r="F66" s="37"/>
      <c r="G66" s="37"/>
      <c r="H66" s="37"/>
      <c r="I66" s="37"/>
      <c r="J66" s="37"/>
      <c r="K66" s="37"/>
      <c r="L66" s="37"/>
      <c r="M66" s="37"/>
      <c r="N66" s="35"/>
    </row>
    <row r="67" spans="1:14" ht="18.2" customHeight="1" x14ac:dyDescent="0.25">
      <c r="A67" s="182" t="s">
        <v>131</v>
      </c>
      <c r="B67" s="182"/>
      <c r="C67" s="182"/>
      <c r="D67" s="182"/>
      <c r="E67" s="182"/>
      <c r="F67" s="37"/>
      <c r="G67" s="37"/>
      <c r="H67" s="37"/>
      <c r="I67" s="37"/>
      <c r="J67" s="37"/>
      <c r="K67" s="37"/>
      <c r="L67" s="37"/>
      <c r="M67" s="37"/>
      <c r="N67" s="35"/>
    </row>
    <row r="68" spans="1:14" ht="18.2" customHeight="1" x14ac:dyDescent="0.25">
      <c r="A68" s="182" t="s">
        <v>132</v>
      </c>
      <c r="B68" s="182"/>
      <c r="C68" s="182"/>
      <c r="D68" s="182"/>
      <c r="E68" s="182"/>
      <c r="F68" s="37"/>
      <c r="G68" s="37"/>
      <c r="H68" s="37"/>
      <c r="I68" s="37"/>
      <c r="J68" s="37"/>
      <c r="K68" s="37"/>
      <c r="L68" s="37"/>
      <c r="M68" s="37"/>
      <c r="N68" s="35"/>
    </row>
    <row r="69" spans="1:14" ht="18.2" customHeight="1" x14ac:dyDescent="0.25">
      <c r="A69" s="182" t="s">
        <v>133</v>
      </c>
      <c r="B69" s="182"/>
      <c r="C69" s="182"/>
      <c r="D69" s="182"/>
      <c r="E69" s="182"/>
      <c r="F69" s="37"/>
      <c r="G69" s="37"/>
      <c r="H69" s="37"/>
      <c r="I69" s="37"/>
      <c r="J69" s="37"/>
      <c r="K69" s="37"/>
      <c r="L69" s="37"/>
      <c r="M69" s="37"/>
      <c r="N69" s="35"/>
    </row>
    <row r="70" spans="1:14" ht="18.2" customHeight="1" x14ac:dyDescent="0.25">
      <c r="A70" s="182" t="s">
        <v>134</v>
      </c>
      <c r="B70" s="182"/>
      <c r="C70" s="182"/>
      <c r="D70" s="182"/>
      <c r="E70" s="182"/>
      <c r="F70" s="37"/>
      <c r="G70" s="37"/>
      <c r="H70" s="37"/>
      <c r="I70" s="37"/>
      <c r="J70" s="37"/>
      <c r="K70" s="37"/>
      <c r="L70" s="37"/>
      <c r="M70" s="37"/>
      <c r="N70" s="35"/>
    </row>
    <row r="71" spans="1:14" ht="18.2" customHeight="1" x14ac:dyDescent="0.25">
      <c r="A71" s="182"/>
      <c r="B71" s="182"/>
      <c r="C71" s="182"/>
      <c r="D71" s="182"/>
      <c r="E71" s="182"/>
      <c r="F71" s="37"/>
      <c r="G71" s="37"/>
      <c r="H71" s="37"/>
      <c r="I71" s="37"/>
      <c r="J71" s="37"/>
      <c r="K71" s="37"/>
      <c r="L71" s="37"/>
      <c r="M71" s="37"/>
      <c r="N71" s="35"/>
    </row>
    <row r="72" spans="1:14" ht="18.2" customHeight="1" x14ac:dyDescent="0.25">
      <c r="A72" s="182" t="s">
        <v>135</v>
      </c>
      <c r="B72" s="182"/>
      <c r="C72" s="182"/>
      <c r="D72" s="182"/>
      <c r="E72" s="182"/>
      <c r="F72" s="37"/>
      <c r="G72" s="37"/>
      <c r="H72" s="37"/>
      <c r="I72" s="37"/>
      <c r="J72" s="37"/>
      <c r="K72" s="37"/>
      <c r="L72" s="37"/>
      <c r="M72" s="37"/>
      <c r="N72" s="35"/>
    </row>
    <row r="73" spans="1:14" ht="18.2" customHeight="1" x14ac:dyDescent="0.25">
      <c r="A73" s="182" t="s">
        <v>136</v>
      </c>
      <c r="B73" s="182"/>
      <c r="C73" s="182"/>
      <c r="D73" s="182"/>
      <c r="E73" s="182"/>
      <c r="F73" s="37"/>
      <c r="G73" s="37"/>
      <c r="H73" s="37"/>
      <c r="I73" s="37"/>
      <c r="J73" s="37"/>
      <c r="K73" s="37"/>
      <c r="L73" s="37"/>
      <c r="M73" s="37"/>
      <c r="N73" s="35"/>
    </row>
    <row r="74" spans="1:14" ht="18.2" customHeight="1" x14ac:dyDescent="0.25">
      <c r="A74" s="182" t="s">
        <v>137</v>
      </c>
      <c r="B74" s="182"/>
      <c r="C74" s="182"/>
      <c r="D74" s="182"/>
      <c r="E74" s="182"/>
      <c r="F74" s="37"/>
      <c r="G74" s="37"/>
      <c r="H74" s="37"/>
      <c r="I74" s="37"/>
      <c r="J74" s="37"/>
      <c r="K74" s="37"/>
      <c r="L74" s="37"/>
      <c r="M74" s="37"/>
      <c r="N74" s="35"/>
    </row>
    <row r="75" spans="1:14" ht="18.2" customHeight="1" x14ac:dyDescent="0.25">
      <c r="A75" s="182" t="s">
        <v>138</v>
      </c>
      <c r="B75" s="182"/>
      <c r="C75" s="182"/>
      <c r="D75" s="182"/>
      <c r="E75" s="182"/>
      <c r="F75" s="37"/>
      <c r="G75" s="37"/>
      <c r="H75" s="37"/>
      <c r="I75" s="37"/>
      <c r="J75" s="37"/>
      <c r="K75" s="37"/>
      <c r="L75" s="37"/>
      <c r="M75" s="37"/>
      <c r="N75" s="35"/>
    </row>
    <row r="76" spans="1:14" ht="18.2" customHeight="1" x14ac:dyDescent="0.25">
      <c r="A76" s="182"/>
      <c r="B76" s="182"/>
      <c r="C76" s="182"/>
      <c r="D76" s="182"/>
      <c r="E76" s="182"/>
      <c r="F76" s="37"/>
      <c r="G76" s="37"/>
      <c r="H76" s="37"/>
      <c r="I76" s="37"/>
      <c r="J76" s="37"/>
      <c r="K76" s="37"/>
      <c r="L76" s="37"/>
      <c r="M76" s="37"/>
      <c r="N76" s="35"/>
    </row>
    <row r="77" spans="1:14" ht="18.2" customHeight="1" x14ac:dyDescent="0.25">
      <c r="A77" s="182" t="s">
        <v>139</v>
      </c>
      <c r="B77" s="182"/>
      <c r="C77" s="182"/>
      <c r="D77" s="182"/>
      <c r="E77" s="182"/>
      <c r="F77" s="37"/>
      <c r="G77" s="37"/>
      <c r="H77" s="37"/>
      <c r="I77" s="37"/>
      <c r="J77" s="37"/>
      <c r="K77" s="37"/>
      <c r="L77" s="37"/>
      <c r="M77" s="37"/>
      <c r="N77" s="35"/>
    </row>
    <row r="78" spans="1:14" ht="18.2" customHeight="1" x14ac:dyDescent="0.25">
      <c r="A78" s="182" t="s">
        <v>140</v>
      </c>
      <c r="B78" s="182"/>
      <c r="C78" s="182"/>
      <c r="D78" s="182"/>
      <c r="E78" s="182"/>
      <c r="F78" s="37"/>
      <c r="G78" s="37"/>
      <c r="H78" s="37"/>
      <c r="I78" s="37"/>
      <c r="J78" s="37"/>
      <c r="K78" s="37"/>
      <c r="L78" s="37"/>
      <c r="M78" s="37"/>
      <c r="N78" s="35"/>
    </row>
    <row r="79" spans="1:14" ht="18.2" customHeight="1" x14ac:dyDescent="0.25">
      <c r="A79" s="182" t="s">
        <v>141</v>
      </c>
      <c r="B79" s="182"/>
      <c r="C79" s="182"/>
      <c r="D79" s="182"/>
      <c r="E79" s="182"/>
      <c r="F79" s="37"/>
      <c r="G79" s="37"/>
      <c r="H79" s="37"/>
      <c r="I79" s="37"/>
      <c r="J79" s="37"/>
      <c r="K79" s="37"/>
      <c r="L79" s="37"/>
      <c r="M79" s="37"/>
      <c r="N79" s="35"/>
    </row>
    <row r="80" spans="1:14" ht="18.2" customHeight="1" x14ac:dyDescent="0.25">
      <c r="A80" s="182" t="s">
        <v>142</v>
      </c>
      <c r="B80" s="182"/>
      <c r="C80" s="182"/>
      <c r="D80" s="182"/>
      <c r="E80" s="182"/>
      <c r="F80" s="37"/>
      <c r="G80" s="37"/>
      <c r="H80" s="37"/>
      <c r="I80" s="37"/>
      <c r="J80" s="37"/>
      <c r="K80" s="37"/>
      <c r="L80" s="37"/>
      <c r="M80" s="37"/>
      <c r="N80" s="35"/>
    </row>
    <row r="81" spans="1:14" ht="18.2" customHeight="1" x14ac:dyDescent="0.25">
      <c r="A81" s="182"/>
      <c r="B81" s="182"/>
      <c r="C81" s="182"/>
      <c r="D81" s="182"/>
      <c r="E81" s="182"/>
      <c r="F81" s="37"/>
      <c r="G81" s="37"/>
      <c r="H81" s="37"/>
      <c r="I81" s="37"/>
      <c r="J81" s="37"/>
      <c r="K81" s="37"/>
      <c r="L81" s="37"/>
      <c r="M81" s="37"/>
      <c r="N81" s="35"/>
    </row>
    <row r="82" spans="1:14" ht="18.2" customHeight="1" x14ac:dyDescent="0.25">
      <c r="A82" s="182" t="s">
        <v>143</v>
      </c>
      <c r="B82" s="182"/>
      <c r="C82" s="182"/>
      <c r="D82" s="182"/>
      <c r="E82" s="182"/>
      <c r="F82" s="37"/>
      <c r="G82" s="37"/>
      <c r="H82" s="37"/>
      <c r="I82" s="37"/>
      <c r="J82" s="37"/>
      <c r="K82" s="37"/>
      <c r="L82" s="37"/>
      <c r="M82" s="37"/>
      <c r="N82" s="35"/>
    </row>
    <row r="83" spans="1:14" ht="18.2" customHeight="1" x14ac:dyDescent="0.25">
      <c r="A83" s="182" t="s">
        <v>144</v>
      </c>
      <c r="B83" s="182"/>
      <c r="C83" s="182"/>
      <c r="D83" s="182"/>
      <c r="E83" s="182"/>
      <c r="F83" s="37"/>
      <c r="G83" s="37"/>
      <c r="H83" s="37"/>
      <c r="I83" s="37"/>
      <c r="J83" s="37"/>
      <c r="K83" s="37"/>
      <c r="L83" s="37"/>
      <c r="M83" s="37"/>
      <c r="N83" s="35"/>
    </row>
    <row r="84" spans="1:14" ht="18.2" customHeight="1" x14ac:dyDescent="0.25">
      <c r="A84" s="182" t="s">
        <v>145</v>
      </c>
      <c r="B84" s="182"/>
      <c r="C84" s="182"/>
      <c r="D84" s="182"/>
      <c r="E84" s="182"/>
      <c r="F84" s="37"/>
      <c r="G84" s="37"/>
      <c r="H84" s="37"/>
      <c r="I84" s="37"/>
      <c r="J84" s="37"/>
      <c r="K84" s="37"/>
      <c r="L84" s="37"/>
      <c r="M84" s="37"/>
      <c r="N84" s="35"/>
    </row>
    <row r="85" spans="1:14" ht="18.2" customHeight="1" x14ac:dyDescent="0.25">
      <c r="A85" s="182" t="s">
        <v>146</v>
      </c>
      <c r="B85" s="182"/>
      <c r="C85" s="182"/>
      <c r="D85" s="182"/>
      <c r="E85" s="182"/>
      <c r="F85" s="37"/>
      <c r="G85" s="37"/>
      <c r="H85" s="37"/>
      <c r="I85" s="37"/>
      <c r="J85" s="37"/>
      <c r="K85" s="37"/>
      <c r="L85" s="37"/>
      <c r="M85" s="37"/>
      <c r="N85" s="35"/>
    </row>
    <row r="86" spans="1:14" ht="18.2" customHeight="1" x14ac:dyDescent="0.25">
      <c r="A86" s="182"/>
      <c r="B86" s="182"/>
      <c r="C86" s="182"/>
      <c r="D86" s="182"/>
      <c r="E86" s="182"/>
      <c r="F86" s="37"/>
      <c r="G86" s="37"/>
      <c r="H86" s="37"/>
      <c r="I86" s="37"/>
      <c r="J86" s="37"/>
      <c r="K86" s="37"/>
      <c r="L86" s="37"/>
      <c r="M86" s="37"/>
      <c r="N86" s="35"/>
    </row>
    <row r="87" spans="1:14" ht="18.2" customHeight="1" x14ac:dyDescent="0.25">
      <c r="A87" s="182" t="s">
        <v>147</v>
      </c>
      <c r="B87" s="182"/>
      <c r="C87" s="182"/>
      <c r="D87" s="182"/>
      <c r="E87" s="182"/>
      <c r="F87" s="37"/>
      <c r="G87" s="37"/>
      <c r="H87" s="37"/>
      <c r="I87" s="37"/>
      <c r="J87" s="37"/>
      <c r="K87" s="37"/>
      <c r="L87" s="37"/>
      <c r="M87" s="37"/>
      <c r="N87" s="35"/>
    </row>
    <row r="88" spans="1:14" ht="18.2" customHeight="1" x14ac:dyDescent="0.25">
      <c r="A88" s="182" t="s">
        <v>148</v>
      </c>
      <c r="B88" s="182"/>
      <c r="C88" s="182"/>
      <c r="D88" s="182"/>
      <c r="E88" s="182"/>
      <c r="F88" s="37"/>
      <c r="G88" s="37"/>
      <c r="H88" s="37"/>
      <c r="I88" s="37"/>
      <c r="J88" s="37"/>
      <c r="K88" s="37"/>
      <c r="L88" s="37"/>
      <c r="M88" s="37"/>
      <c r="N88" s="35"/>
    </row>
    <row r="89" spans="1:14" ht="18.2" customHeight="1" x14ac:dyDescent="0.25">
      <c r="A89" s="182" t="s">
        <v>149</v>
      </c>
      <c r="B89" s="182"/>
      <c r="C89" s="182"/>
      <c r="D89" s="182"/>
      <c r="E89" s="182"/>
      <c r="F89" s="37"/>
      <c r="G89" s="37"/>
      <c r="H89" s="37"/>
      <c r="I89" s="37"/>
      <c r="J89" s="37"/>
      <c r="K89" s="37"/>
      <c r="L89" s="37"/>
      <c r="M89" s="37"/>
      <c r="N89" s="35"/>
    </row>
    <row r="90" spans="1:14" ht="18.2" customHeight="1" x14ac:dyDescent="0.25">
      <c r="A90" s="182" t="s">
        <v>150</v>
      </c>
      <c r="B90" s="182"/>
      <c r="C90" s="182"/>
      <c r="D90" s="182"/>
      <c r="E90" s="182"/>
      <c r="F90" s="37"/>
      <c r="G90" s="37"/>
      <c r="H90" s="37"/>
      <c r="I90" s="37"/>
      <c r="J90" s="37"/>
      <c r="K90" s="37"/>
      <c r="L90" s="37"/>
      <c r="M90" s="37"/>
      <c r="N90" s="35"/>
    </row>
    <row r="91" spans="1:14" ht="18.2" customHeight="1" x14ac:dyDescent="0.25">
      <c r="A91" s="182"/>
      <c r="B91" s="182"/>
      <c r="C91" s="182"/>
      <c r="D91" s="182"/>
      <c r="E91" s="182"/>
      <c r="F91" s="37"/>
      <c r="G91" s="37"/>
      <c r="H91" s="37"/>
      <c r="I91" s="37"/>
      <c r="J91" s="37"/>
      <c r="K91" s="37"/>
      <c r="L91" s="37"/>
      <c r="M91" s="37"/>
      <c r="N91" s="35"/>
    </row>
    <row r="92" spans="1:14" ht="18.2" customHeight="1" x14ac:dyDescent="0.25">
      <c r="A92" s="182" t="s">
        <v>151</v>
      </c>
      <c r="B92" s="182"/>
      <c r="C92" s="182"/>
      <c r="D92" s="182"/>
      <c r="E92" s="182"/>
      <c r="F92" s="37"/>
      <c r="G92" s="37"/>
      <c r="H92" s="37"/>
      <c r="I92" s="37"/>
      <c r="J92" s="37"/>
      <c r="K92" s="37"/>
      <c r="L92" s="37"/>
      <c r="M92" s="37"/>
      <c r="N92" s="35"/>
    </row>
    <row r="93" spans="1:14" ht="18.2" customHeight="1" x14ac:dyDescent="0.25">
      <c r="A93" s="182" t="s">
        <v>152</v>
      </c>
      <c r="B93" s="182"/>
      <c r="C93" s="182"/>
      <c r="D93" s="182"/>
      <c r="E93" s="182"/>
      <c r="F93" s="37"/>
      <c r="G93" s="37"/>
      <c r="H93" s="37"/>
      <c r="I93" s="37"/>
      <c r="J93" s="37"/>
      <c r="K93" s="37"/>
      <c r="L93" s="37"/>
      <c r="M93" s="37"/>
      <c r="N93" s="35"/>
    </row>
    <row r="94" spans="1:14" ht="18.2" customHeight="1" x14ac:dyDescent="0.25">
      <c r="A94" s="182" t="s">
        <v>153</v>
      </c>
      <c r="B94" s="182"/>
      <c r="C94" s="182"/>
      <c r="D94" s="182"/>
      <c r="E94" s="182"/>
      <c r="F94" s="37"/>
      <c r="G94" s="37"/>
      <c r="H94" s="37"/>
      <c r="I94" s="37"/>
      <c r="J94" s="37"/>
      <c r="K94" s="37"/>
      <c r="L94" s="37"/>
      <c r="M94" s="37"/>
      <c r="N94" s="35"/>
    </row>
    <row r="95" spans="1:14" ht="18.2" customHeight="1" x14ac:dyDescent="0.25">
      <c r="A95" s="182" t="s">
        <v>154</v>
      </c>
      <c r="B95" s="182"/>
      <c r="C95" s="182"/>
      <c r="D95" s="182"/>
      <c r="E95" s="182"/>
      <c r="F95" s="37"/>
      <c r="G95" s="37"/>
      <c r="H95" s="37"/>
      <c r="I95" s="37"/>
      <c r="J95" s="37"/>
      <c r="K95" s="37"/>
      <c r="L95" s="37"/>
      <c r="M95" s="37"/>
      <c r="N95" s="35"/>
    </row>
    <row r="96" spans="1:14" ht="18.2" customHeight="1" x14ac:dyDescent="0.25">
      <c r="A96" s="182"/>
      <c r="B96" s="182"/>
      <c r="C96" s="182"/>
      <c r="D96" s="182"/>
      <c r="E96" s="182"/>
      <c r="F96" s="37"/>
      <c r="G96" s="37"/>
      <c r="H96" s="37"/>
      <c r="I96" s="37"/>
      <c r="J96" s="37"/>
      <c r="K96" s="37"/>
      <c r="L96" s="37"/>
      <c r="M96" s="37"/>
      <c r="N96" s="35"/>
    </row>
    <row r="97" spans="1:14" ht="18.2" customHeight="1" x14ac:dyDescent="0.25">
      <c r="A97" s="182" t="s">
        <v>155</v>
      </c>
      <c r="B97" s="182"/>
      <c r="C97" s="182"/>
      <c r="D97" s="182"/>
      <c r="E97" s="182"/>
      <c r="F97" s="37"/>
      <c r="G97" s="37"/>
      <c r="H97" s="37"/>
      <c r="I97" s="37"/>
      <c r="J97" s="37"/>
      <c r="K97" s="37"/>
      <c r="L97" s="37"/>
      <c r="M97" s="37"/>
      <c r="N97" s="35"/>
    </row>
    <row r="98" spans="1:14" ht="18.2" customHeight="1" x14ac:dyDescent="0.25">
      <c r="A98" s="182" t="s">
        <v>156</v>
      </c>
      <c r="B98" s="182"/>
      <c r="C98" s="182"/>
      <c r="D98" s="182"/>
      <c r="E98" s="182"/>
      <c r="F98" s="37"/>
      <c r="G98" s="37"/>
      <c r="H98" s="37"/>
      <c r="I98" s="37"/>
      <c r="J98" s="37"/>
      <c r="K98" s="37"/>
      <c r="L98" s="37"/>
      <c r="M98" s="37"/>
      <c r="N98" s="35"/>
    </row>
    <row r="99" spans="1:14" ht="18.2" customHeight="1" x14ac:dyDescent="0.25">
      <c r="A99" s="182" t="s">
        <v>157</v>
      </c>
      <c r="B99" s="182"/>
      <c r="C99" s="182"/>
      <c r="D99" s="182"/>
      <c r="E99" s="182"/>
      <c r="F99" s="37"/>
      <c r="G99" s="37"/>
      <c r="H99" s="37"/>
      <c r="I99" s="37"/>
      <c r="J99" s="37"/>
      <c r="K99" s="37"/>
      <c r="L99" s="37"/>
      <c r="M99" s="37"/>
      <c r="N99" s="35"/>
    </row>
    <row r="100" spans="1:14" ht="18.2" customHeight="1" x14ac:dyDescent="0.25">
      <c r="A100" s="182" t="s">
        <v>158</v>
      </c>
      <c r="B100" s="182"/>
      <c r="C100" s="182"/>
      <c r="D100" s="182"/>
      <c r="E100" s="182"/>
      <c r="F100" s="37"/>
      <c r="G100" s="37"/>
      <c r="H100" s="37"/>
      <c r="I100" s="37"/>
      <c r="J100" s="37"/>
      <c r="K100" s="37"/>
      <c r="L100" s="37"/>
      <c r="M100" s="37"/>
      <c r="N100" s="35"/>
    </row>
    <row r="101" spans="1:14" ht="18.2" customHeight="1" x14ac:dyDescent="0.25">
      <c r="A101" s="182"/>
      <c r="B101" s="182"/>
      <c r="C101" s="182"/>
      <c r="D101" s="182"/>
      <c r="E101" s="182"/>
      <c r="F101" s="37"/>
      <c r="G101" s="37"/>
      <c r="H101" s="37"/>
      <c r="I101" s="37"/>
      <c r="J101" s="37"/>
      <c r="K101" s="37"/>
      <c r="L101" s="37"/>
      <c r="M101" s="37"/>
      <c r="N101" s="35"/>
    </row>
    <row r="102" spans="1:14" ht="18.2" customHeight="1" x14ac:dyDescent="0.25">
      <c r="A102" s="182" t="s">
        <v>159</v>
      </c>
      <c r="B102" s="182"/>
      <c r="C102" s="182"/>
      <c r="D102" s="182"/>
      <c r="E102" s="182"/>
      <c r="F102" s="37"/>
      <c r="G102" s="37"/>
      <c r="H102" s="37"/>
      <c r="I102" s="37"/>
      <c r="J102" s="37"/>
      <c r="K102" s="37"/>
      <c r="L102" s="37"/>
      <c r="M102" s="37"/>
      <c r="N102" s="35"/>
    </row>
    <row r="103" spans="1:14" ht="18.2" customHeight="1" x14ac:dyDescent="0.25">
      <c r="A103" s="182" t="s">
        <v>160</v>
      </c>
      <c r="B103" s="182"/>
      <c r="C103" s="182"/>
      <c r="D103" s="182"/>
      <c r="E103" s="182"/>
      <c r="F103" s="37"/>
      <c r="G103" s="37"/>
      <c r="H103" s="37"/>
      <c r="I103" s="37"/>
      <c r="J103" s="37"/>
      <c r="K103" s="37"/>
      <c r="L103" s="37"/>
      <c r="M103" s="37"/>
      <c r="N103" s="35"/>
    </row>
    <row r="104" spans="1:14" ht="18.2" customHeight="1" x14ac:dyDescent="0.25">
      <c r="A104" s="182" t="s">
        <v>161</v>
      </c>
      <c r="B104" s="182"/>
      <c r="C104" s="182"/>
      <c r="D104" s="182"/>
      <c r="E104" s="182"/>
      <c r="F104" s="37"/>
      <c r="G104" s="37"/>
      <c r="H104" s="37"/>
      <c r="I104" s="37"/>
      <c r="J104" s="37"/>
      <c r="K104" s="37"/>
      <c r="L104" s="37"/>
      <c r="M104" s="37"/>
      <c r="N104" s="35"/>
    </row>
    <row r="105" spans="1:14" ht="18.2" customHeight="1" x14ac:dyDescent="0.25">
      <c r="A105" s="182" t="s">
        <v>162</v>
      </c>
      <c r="B105" s="182"/>
      <c r="C105" s="182"/>
      <c r="D105" s="182"/>
      <c r="E105" s="182"/>
      <c r="F105" s="37"/>
      <c r="G105" s="37"/>
      <c r="H105" s="37"/>
      <c r="I105" s="37"/>
      <c r="J105" s="37"/>
      <c r="K105" s="37"/>
      <c r="L105" s="37"/>
      <c r="M105" s="37"/>
      <c r="N105" s="35"/>
    </row>
    <row r="106" spans="1:14" ht="18.2" customHeight="1" x14ac:dyDescent="0.25">
      <c r="A106" s="182"/>
      <c r="B106" s="182"/>
      <c r="C106" s="182"/>
      <c r="D106" s="182"/>
      <c r="E106" s="182"/>
      <c r="F106" s="37"/>
      <c r="G106" s="37"/>
      <c r="H106" s="37"/>
      <c r="I106" s="37"/>
      <c r="J106" s="37"/>
      <c r="K106" s="37"/>
      <c r="L106" s="37"/>
      <c r="M106" s="37"/>
      <c r="N106" s="35"/>
    </row>
    <row r="107" spans="1:14" ht="18.2" customHeight="1" x14ac:dyDescent="0.25">
      <c r="A107" s="182" t="s">
        <v>163</v>
      </c>
      <c r="B107" s="182"/>
      <c r="C107" s="182"/>
      <c r="D107" s="182"/>
      <c r="E107" s="182"/>
      <c r="F107" s="37"/>
      <c r="G107" s="37"/>
      <c r="H107" s="37"/>
      <c r="I107" s="37"/>
      <c r="J107" s="37"/>
      <c r="K107" s="37"/>
      <c r="L107" s="37"/>
      <c r="M107" s="37"/>
      <c r="N107" s="35"/>
    </row>
    <row r="108" spans="1:14" ht="18.2" customHeight="1" x14ac:dyDescent="0.25">
      <c r="A108" s="182" t="s">
        <v>164</v>
      </c>
      <c r="B108" s="182"/>
      <c r="C108" s="182"/>
      <c r="D108" s="182"/>
      <c r="E108" s="182"/>
      <c r="F108" s="37"/>
      <c r="G108" s="37"/>
      <c r="H108" s="37"/>
      <c r="I108" s="37"/>
      <c r="J108" s="37"/>
      <c r="K108" s="37"/>
      <c r="L108" s="37"/>
      <c r="M108" s="37"/>
      <c r="N108" s="35"/>
    </row>
    <row r="109" spans="1:14" ht="18.2" customHeight="1" x14ac:dyDescent="0.25">
      <c r="A109" s="182" t="s">
        <v>165</v>
      </c>
      <c r="B109" s="182"/>
      <c r="C109" s="182"/>
      <c r="D109" s="182"/>
      <c r="E109" s="182"/>
      <c r="F109" s="37"/>
      <c r="G109" s="37"/>
      <c r="H109" s="37"/>
      <c r="I109" s="37"/>
      <c r="J109" s="37"/>
      <c r="K109" s="37"/>
      <c r="L109" s="37"/>
      <c r="M109" s="37"/>
      <c r="N109" s="35"/>
    </row>
    <row r="110" spans="1:14" ht="18.2" customHeight="1" x14ac:dyDescent="0.25">
      <c r="A110" s="182" t="s">
        <v>166</v>
      </c>
      <c r="B110" s="182"/>
      <c r="C110" s="182"/>
      <c r="D110" s="182"/>
      <c r="E110" s="182"/>
      <c r="F110" s="37"/>
      <c r="G110" s="37"/>
      <c r="H110" s="37"/>
      <c r="I110" s="37"/>
      <c r="J110" s="37"/>
      <c r="K110" s="37"/>
      <c r="L110" s="37"/>
      <c r="M110" s="37"/>
      <c r="N110" s="35"/>
    </row>
    <row r="111" spans="1:14" ht="18.2" customHeight="1" x14ac:dyDescent="0.25">
      <c r="A111" s="182"/>
      <c r="B111" s="182"/>
      <c r="C111" s="182"/>
      <c r="D111" s="182"/>
      <c r="E111" s="182"/>
      <c r="F111" s="37"/>
      <c r="G111" s="37"/>
      <c r="H111" s="37"/>
      <c r="I111" s="37"/>
      <c r="J111" s="37"/>
      <c r="K111" s="37"/>
      <c r="L111" s="37"/>
      <c r="M111" s="37"/>
      <c r="N111" s="35"/>
    </row>
    <row r="112" spans="1:14" ht="18.2" customHeight="1" x14ac:dyDescent="0.25">
      <c r="A112" s="182" t="s">
        <v>167</v>
      </c>
      <c r="B112" s="182"/>
      <c r="C112" s="182"/>
      <c r="D112" s="182"/>
      <c r="E112" s="182"/>
      <c r="F112" s="37"/>
      <c r="G112" s="37"/>
      <c r="H112" s="37"/>
      <c r="I112" s="37"/>
      <c r="J112" s="37"/>
      <c r="K112" s="37"/>
      <c r="L112" s="37"/>
      <c r="M112" s="37"/>
      <c r="N112" s="35"/>
    </row>
    <row r="113" spans="1:14" ht="18.2" customHeight="1" x14ac:dyDescent="0.25">
      <c r="A113" s="182" t="s">
        <v>168</v>
      </c>
      <c r="B113" s="182"/>
      <c r="C113" s="182"/>
      <c r="D113" s="182"/>
      <c r="E113" s="182"/>
      <c r="F113" s="37"/>
      <c r="G113" s="37"/>
      <c r="H113" s="37"/>
      <c r="I113" s="37"/>
      <c r="J113" s="37"/>
      <c r="K113" s="37"/>
      <c r="L113" s="37"/>
      <c r="M113" s="37"/>
      <c r="N113" s="35"/>
    </row>
    <row r="114" spans="1:14" ht="18.2" customHeight="1" x14ac:dyDescent="0.25">
      <c r="A114" s="182"/>
      <c r="B114" s="182"/>
      <c r="C114" s="182"/>
      <c r="D114" s="182"/>
      <c r="E114" s="182"/>
      <c r="F114" s="37"/>
      <c r="G114" s="37"/>
      <c r="H114" s="37"/>
      <c r="I114" s="37"/>
      <c r="J114" s="37"/>
      <c r="K114" s="37"/>
      <c r="L114" s="37"/>
      <c r="M114" s="37"/>
      <c r="N114" s="35"/>
    </row>
    <row r="115" spans="1:14" ht="64.150000000000006" customHeight="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</row>
    <row r="116" spans="1:14" ht="3.75" customHeight="1" x14ac:dyDescent="0.25">
      <c r="A116" s="35"/>
      <c r="B116" s="35"/>
      <c r="C116" s="35"/>
      <c r="D116" s="35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</row>
    <row r="117" spans="1:14" ht="9.75" customHeight="1" x14ac:dyDescent="0.25">
      <c r="A117" s="185"/>
      <c r="B117" s="185"/>
      <c r="C117" s="35"/>
      <c r="D117" s="35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</row>
    <row r="118" spans="1:14" ht="6.75" customHeight="1" x14ac:dyDescent="0.25">
      <c r="A118" s="185"/>
      <c r="B118" s="18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</row>
  </sheetData>
  <sheetProtection algorithmName="SHA-512" hashValue="4QdXaMhrq9TyZ4Ho/WmUdjLhi6bYa8weavq5HWqqSfI17BuqfbaY/sgfnz9A6mg3zbixXUM7IhM7ed53EFsjcw==" saltValue="nUkJCppRb2LjCyTwKg7iig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ascieVEN"/>
  <dimension ref="A1:N134"/>
  <sheetViews>
    <sheetView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630"/>
      <c r="C2" s="630"/>
      <c r="D2" s="35"/>
      <c r="E2" s="631"/>
      <c r="F2" s="631"/>
      <c r="G2" s="631"/>
      <c r="H2" s="631"/>
      <c r="I2" s="631"/>
      <c r="J2" s="35"/>
      <c r="K2" s="630"/>
      <c r="L2" s="630"/>
      <c r="M2" s="632"/>
      <c r="N2" s="632"/>
    </row>
    <row r="3" spans="1:14" ht="12.95" customHeight="1" x14ac:dyDescent="0.25">
      <c r="A3" s="630"/>
      <c r="B3" s="630"/>
      <c r="C3" s="630"/>
      <c r="D3" s="35"/>
      <c r="E3" s="631"/>
      <c r="F3" s="631"/>
      <c r="G3" s="631"/>
      <c r="H3" s="631"/>
      <c r="I3" s="631"/>
      <c r="J3" s="35"/>
      <c r="K3" s="630"/>
      <c r="L3" s="630"/>
      <c r="M3" s="633"/>
      <c r="N3" s="633"/>
    </row>
    <row r="4" spans="1:14" ht="0.75" customHeight="1" x14ac:dyDescent="0.25">
      <c r="A4" s="630"/>
      <c r="B4" s="630"/>
      <c r="C4" s="630"/>
      <c r="D4" s="35"/>
      <c r="E4" s="35"/>
      <c r="F4" s="35"/>
      <c r="G4" s="35"/>
      <c r="H4" s="35"/>
      <c r="I4" s="35"/>
      <c r="J4" s="35"/>
      <c r="K4" s="630"/>
      <c r="L4" s="630"/>
      <c r="M4" s="35"/>
      <c r="N4" s="35"/>
    </row>
    <row r="5" spans="1:14" ht="12.95" customHeight="1" x14ac:dyDescent="0.25">
      <c r="A5" s="35"/>
      <c r="B5" s="35"/>
      <c r="C5" s="35"/>
      <c r="D5" s="35"/>
      <c r="E5" s="631"/>
      <c r="F5" s="631"/>
      <c r="G5" s="631"/>
      <c r="H5" s="631"/>
      <c r="I5" s="631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634"/>
      <c r="B7" s="634"/>
      <c r="C7" s="634"/>
      <c r="D7" s="634"/>
      <c r="E7" s="634"/>
      <c r="F7" s="634"/>
      <c r="G7" s="634"/>
      <c r="H7" s="634"/>
      <c r="I7" s="634"/>
      <c r="J7" s="634"/>
      <c r="K7" s="634"/>
      <c r="L7" s="634"/>
      <c r="M7" s="634"/>
      <c r="N7" s="634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635"/>
      <c r="F9" s="635"/>
      <c r="G9" s="635"/>
      <c r="H9" s="635"/>
      <c r="I9" s="635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626" t="s">
        <v>86</v>
      </c>
      <c r="B11" s="626"/>
      <c r="C11" s="626"/>
      <c r="D11" s="626"/>
      <c r="E11" s="626"/>
      <c r="F11" s="329" t="s">
        <v>330</v>
      </c>
      <c r="G11" s="329" t="s">
        <v>299</v>
      </c>
      <c r="H11" s="627"/>
      <c r="I11" s="627"/>
      <c r="J11" s="627"/>
      <c r="K11" s="627"/>
      <c r="L11" s="627"/>
      <c r="M11" s="627"/>
      <c r="N11" s="35"/>
    </row>
    <row r="12" spans="1:14" ht="18.2" customHeight="1" x14ac:dyDescent="0.25">
      <c r="A12" s="628" t="s">
        <v>87</v>
      </c>
      <c r="B12" s="628"/>
      <c r="C12" s="628"/>
      <c r="D12" s="628"/>
      <c r="E12" s="628"/>
      <c r="F12" s="37"/>
      <c r="G12" s="37"/>
      <c r="H12" s="629"/>
      <c r="I12" s="629"/>
      <c r="J12" s="629"/>
      <c r="K12" s="629"/>
      <c r="L12" s="629"/>
      <c r="M12" s="629"/>
      <c r="N12" s="35"/>
    </row>
    <row r="13" spans="1:14" ht="18.2" customHeight="1" x14ac:dyDescent="0.25">
      <c r="A13" s="628" t="s">
        <v>88</v>
      </c>
      <c r="B13" s="628"/>
      <c r="C13" s="628"/>
      <c r="D13" s="628"/>
      <c r="E13" s="628"/>
      <c r="F13" s="37"/>
      <c r="G13" s="37"/>
      <c r="H13" s="629"/>
      <c r="I13" s="629"/>
      <c r="J13" s="629"/>
      <c r="K13" s="629"/>
      <c r="L13" s="629"/>
      <c r="M13" s="629"/>
      <c r="N13" s="35"/>
    </row>
    <row r="14" spans="1:14" ht="18.2" customHeight="1" x14ac:dyDescent="0.25">
      <c r="A14" s="628" t="s">
        <v>89</v>
      </c>
      <c r="B14" s="628"/>
      <c r="C14" s="628"/>
      <c r="D14" s="628"/>
      <c r="E14" s="628"/>
      <c r="F14" s="37"/>
      <c r="G14" s="37"/>
      <c r="H14" s="629"/>
      <c r="I14" s="629"/>
      <c r="J14" s="629"/>
      <c r="K14" s="629"/>
      <c r="L14" s="629"/>
      <c r="M14" s="629"/>
      <c r="N14" s="35"/>
    </row>
    <row r="15" spans="1:14" ht="18.2" customHeight="1" x14ac:dyDescent="0.25">
      <c r="A15" s="628" t="s">
        <v>90</v>
      </c>
      <c r="B15" s="628"/>
      <c r="C15" s="628"/>
      <c r="D15" s="628"/>
      <c r="E15" s="628"/>
      <c r="F15" s="37"/>
      <c r="G15" s="37"/>
      <c r="H15" s="629"/>
      <c r="I15" s="629"/>
      <c r="J15" s="629"/>
      <c r="K15" s="629"/>
      <c r="L15" s="629"/>
      <c r="M15" s="629"/>
      <c r="N15" s="35"/>
    </row>
    <row r="16" spans="1:14" ht="18.2" customHeight="1" x14ac:dyDescent="0.25">
      <c r="A16" s="628"/>
      <c r="B16" s="628"/>
      <c r="C16" s="628"/>
      <c r="D16" s="628"/>
      <c r="E16" s="628"/>
      <c r="F16" s="37"/>
      <c r="G16" s="37"/>
      <c r="H16" s="629"/>
      <c r="I16" s="629"/>
      <c r="J16" s="629"/>
      <c r="K16" s="629"/>
      <c r="L16" s="629"/>
      <c r="M16" s="629"/>
      <c r="N16" s="35"/>
    </row>
    <row r="17" spans="1:14" ht="18.2" customHeight="1" x14ac:dyDescent="0.25">
      <c r="A17" s="628" t="s">
        <v>91</v>
      </c>
      <c r="B17" s="628"/>
      <c r="C17" s="628"/>
      <c r="D17" s="628"/>
      <c r="E17" s="628"/>
      <c r="F17" s="37"/>
      <c r="G17" s="37"/>
      <c r="H17" s="629"/>
      <c r="I17" s="629"/>
      <c r="J17" s="629"/>
      <c r="K17" s="629"/>
      <c r="L17" s="629"/>
      <c r="M17" s="629"/>
      <c r="N17" s="35"/>
    </row>
    <row r="18" spans="1:14" ht="18.2" customHeight="1" x14ac:dyDescent="0.25">
      <c r="A18" s="628" t="s">
        <v>92</v>
      </c>
      <c r="B18" s="628"/>
      <c r="C18" s="628"/>
      <c r="D18" s="628"/>
      <c r="E18" s="628"/>
      <c r="F18" s="37"/>
      <c r="G18" s="37"/>
      <c r="H18" s="629"/>
      <c r="I18" s="629"/>
      <c r="J18" s="629"/>
      <c r="K18" s="629"/>
      <c r="L18" s="629"/>
      <c r="M18" s="629"/>
      <c r="N18" s="35"/>
    </row>
    <row r="19" spans="1:14" ht="18.2" customHeight="1" x14ac:dyDescent="0.25">
      <c r="A19" s="628" t="s">
        <v>93</v>
      </c>
      <c r="B19" s="628"/>
      <c r="C19" s="628"/>
      <c r="D19" s="628"/>
      <c r="E19" s="628"/>
      <c r="F19" s="37"/>
      <c r="G19" s="37"/>
      <c r="H19" s="629"/>
      <c r="I19" s="629"/>
      <c r="J19" s="629"/>
      <c r="K19" s="629"/>
      <c r="L19" s="629"/>
      <c r="M19" s="629"/>
      <c r="N19" s="35"/>
    </row>
    <row r="20" spans="1:14" ht="18.2" customHeight="1" x14ac:dyDescent="0.25">
      <c r="A20" s="628" t="s">
        <v>94</v>
      </c>
      <c r="B20" s="628"/>
      <c r="C20" s="628"/>
      <c r="D20" s="628"/>
      <c r="E20" s="628"/>
      <c r="F20" s="37"/>
      <c r="G20" s="37"/>
      <c r="H20" s="629"/>
      <c r="I20" s="629"/>
      <c r="J20" s="629"/>
      <c r="K20" s="629"/>
      <c r="L20" s="629"/>
      <c r="M20" s="629"/>
      <c r="N20" s="35"/>
    </row>
    <row r="21" spans="1:14" ht="18.2" customHeight="1" x14ac:dyDescent="0.25">
      <c r="A21" s="628"/>
      <c r="B21" s="628"/>
      <c r="C21" s="628"/>
      <c r="D21" s="628"/>
      <c r="E21" s="628"/>
      <c r="F21" s="37"/>
      <c r="G21" s="37"/>
      <c r="H21" s="629"/>
      <c r="I21" s="629"/>
      <c r="J21" s="629"/>
      <c r="K21" s="629"/>
      <c r="L21" s="629"/>
      <c r="M21" s="629"/>
      <c r="N21" s="35"/>
    </row>
    <row r="22" spans="1:14" ht="18.2" customHeight="1" x14ac:dyDescent="0.25">
      <c r="A22" s="628" t="s">
        <v>95</v>
      </c>
      <c r="B22" s="628"/>
      <c r="C22" s="628"/>
      <c r="D22" s="628"/>
      <c r="E22" s="628"/>
      <c r="F22" s="37"/>
      <c r="G22" s="37"/>
      <c r="H22" s="629"/>
      <c r="I22" s="629"/>
      <c r="J22" s="629"/>
      <c r="K22" s="629"/>
      <c r="L22" s="629"/>
      <c r="M22" s="629"/>
      <c r="N22" s="35"/>
    </row>
    <row r="23" spans="1:14" ht="18.2" customHeight="1" x14ac:dyDescent="0.25">
      <c r="A23" s="628" t="s">
        <v>96</v>
      </c>
      <c r="B23" s="628"/>
      <c r="C23" s="628"/>
      <c r="D23" s="628"/>
      <c r="E23" s="628"/>
      <c r="F23" s="37"/>
      <c r="G23" s="37"/>
      <c r="H23" s="629"/>
      <c r="I23" s="629"/>
      <c r="J23" s="629"/>
      <c r="K23" s="629"/>
      <c r="L23" s="629"/>
      <c r="M23" s="629"/>
      <c r="N23" s="35"/>
    </row>
    <row r="24" spans="1:14" ht="18.2" customHeight="1" x14ac:dyDescent="0.25">
      <c r="A24" s="628" t="s">
        <v>97</v>
      </c>
      <c r="B24" s="628"/>
      <c r="C24" s="628"/>
      <c r="D24" s="628"/>
      <c r="E24" s="628"/>
      <c r="F24" s="37"/>
      <c r="G24" s="37"/>
      <c r="H24" s="629"/>
      <c r="I24" s="629"/>
      <c r="J24" s="629"/>
      <c r="K24" s="629"/>
      <c r="L24" s="629"/>
      <c r="M24" s="629"/>
      <c r="N24" s="35"/>
    </row>
    <row r="25" spans="1:14" ht="18.2" customHeight="1" x14ac:dyDescent="0.25">
      <c r="A25" s="628" t="s">
        <v>98</v>
      </c>
      <c r="B25" s="628"/>
      <c r="C25" s="628"/>
      <c r="D25" s="628"/>
      <c r="E25" s="628"/>
      <c r="F25" s="37"/>
      <c r="G25" s="37"/>
      <c r="H25" s="629"/>
      <c r="I25" s="629"/>
      <c r="J25" s="629"/>
      <c r="K25" s="629"/>
      <c r="L25" s="629"/>
      <c r="M25" s="629"/>
      <c r="N25" s="35"/>
    </row>
    <row r="26" spans="1:14" ht="18.2" customHeight="1" x14ac:dyDescent="0.25">
      <c r="A26" s="628"/>
      <c r="B26" s="628"/>
      <c r="C26" s="628"/>
      <c r="D26" s="628"/>
      <c r="E26" s="628"/>
      <c r="F26" s="37"/>
      <c r="G26" s="37"/>
      <c r="H26" s="629"/>
      <c r="I26" s="629"/>
      <c r="J26" s="629"/>
      <c r="K26" s="629"/>
      <c r="L26" s="629"/>
      <c r="M26" s="629"/>
      <c r="N26" s="35"/>
    </row>
    <row r="27" spans="1:14" ht="18.2" customHeight="1" x14ac:dyDescent="0.25">
      <c r="A27" s="628" t="s">
        <v>99</v>
      </c>
      <c r="B27" s="628"/>
      <c r="C27" s="628"/>
      <c r="D27" s="628"/>
      <c r="E27" s="628"/>
      <c r="F27" s="37"/>
      <c r="G27" s="37"/>
      <c r="H27" s="629"/>
      <c r="I27" s="629"/>
      <c r="J27" s="629"/>
      <c r="K27" s="629"/>
      <c r="L27" s="629"/>
      <c r="M27" s="629"/>
      <c r="N27" s="35"/>
    </row>
    <row r="28" spans="1:14" ht="18.2" customHeight="1" x14ac:dyDescent="0.25">
      <c r="A28" s="628" t="s">
        <v>100</v>
      </c>
      <c r="B28" s="628"/>
      <c r="C28" s="628"/>
      <c r="D28" s="628"/>
      <c r="E28" s="628"/>
      <c r="F28" s="37"/>
      <c r="G28" s="37"/>
      <c r="H28" s="629"/>
      <c r="I28" s="629"/>
      <c r="J28" s="629"/>
      <c r="K28" s="629"/>
      <c r="L28" s="629"/>
      <c r="M28" s="629"/>
      <c r="N28" s="35"/>
    </row>
    <row r="29" spans="1:14" ht="18.2" customHeight="1" x14ac:dyDescent="0.25">
      <c r="A29" s="628" t="s">
        <v>101</v>
      </c>
      <c r="B29" s="628"/>
      <c r="C29" s="628"/>
      <c r="D29" s="628"/>
      <c r="E29" s="628"/>
      <c r="F29" s="37"/>
      <c r="G29" s="37"/>
      <c r="H29" s="629"/>
      <c r="I29" s="629"/>
      <c r="J29" s="629"/>
      <c r="K29" s="629"/>
      <c r="L29" s="629"/>
      <c r="M29" s="629"/>
      <c r="N29" s="35"/>
    </row>
    <row r="30" spans="1:14" ht="18.2" customHeight="1" x14ac:dyDescent="0.25">
      <c r="A30" s="628" t="s">
        <v>102</v>
      </c>
      <c r="B30" s="628"/>
      <c r="C30" s="628"/>
      <c r="D30" s="628"/>
      <c r="E30" s="628"/>
      <c r="F30" s="37"/>
      <c r="G30" s="37"/>
      <c r="H30" s="629"/>
      <c r="I30" s="629"/>
      <c r="J30" s="629"/>
      <c r="K30" s="629"/>
      <c r="L30" s="629"/>
      <c r="M30" s="629"/>
      <c r="N30" s="35"/>
    </row>
    <row r="31" spans="1:14" ht="18.2" customHeight="1" x14ac:dyDescent="0.25">
      <c r="A31" s="628"/>
      <c r="B31" s="628"/>
      <c r="C31" s="628"/>
      <c r="D31" s="628"/>
      <c r="E31" s="628"/>
      <c r="F31" s="37"/>
      <c r="G31" s="37"/>
      <c r="H31" s="629"/>
      <c r="I31" s="629"/>
      <c r="J31" s="629"/>
      <c r="K31" s="629"/>
      <c r="L31" s="629"/>
      <c r="M31" s="629"/>
      <c r="N31" s="35"/>
    </row>
    <row r="32" spans="1:14" ht="18.2" customHeight="1" x14ac:dyDescent="0.25">
      <c r="A32" s="628" t="s">
        <v>103</v>
      </c>
      <c r="B32" s="628"/>
      <c r="C32" s="628"/>
      <c r="D32" s="628"/>
      <c r="E32" s="628"/>
      <c r="F32" s="37"/>
      <c r="G32" s="37"/>
      <c r="H32" s="629"/>
      <c r="I32" s="629"/>
      <c r="J32" s="629"/>
      <c r="K32" s="629"/>
      <c r="L32" s="629"/>
      <c r="M32" s="629"/>
      <c r="N32" s="35"/>
    </row>
    <row r="33" spans="1:14" ht="18.2" customHeight="1" x14ac:dyDescent="0.25">
      <c r="A33" s="628" t="s">
        <v>104</v>
      </c>
      <c r="B33" s="628"/>
      <c r="C33" s="628"/>
      <c r="D33" s="628"/>
      <c r="E33" s="628"/>
      <c r="F33" s="37"/>
      <c r="G33" s="37"/>
      <c r="H33" s="629"/>
      <c r="I33" s="629"/>
      <c r="J33" s="629"/>
      <c r="K33" s="629"/>
      <c r="L33" s="629"/>
      <c r="M33" s="629"/>
      <c r="N33" s="35"/>
    </row>
    <row r="34" spans="1:14" ht="18.2" customHeight="1" x14ac:dyDescent="0.25">
      <c r="A34" s="628" t="s">
        <v>105</v>
      </c>
      <c r="B34" s="628"/>
      <c r="C34" s="628"/>
      <c r="D34" s="628"/>
      <c r="E34" s="628"/>
      <c r="F34" s="37"/>
      <c r="G34" s="37"/>
      <c r="H34" s="629"/>
      <c r="I34" s="629"/>
      <c r="J34" s="629"/>
      <c r="K34" s="629"/>
      <c r="L34" s="629"/>
      <c r="M34" s="629"/>
      <c r="N34" s="35"/>
    </row>
    <row r="35" spans="1:14" ht="18.2" customHeight="1" x14ac:dyDescent="0.25">
      <c r="A35" s="628" t="s">
        <v>106</v>
      </c>
      <c r="B35" s="628"/>
      <c r="C35" s="628"/>
      <c r="D35" s="628"/>
      <c r="E35" s="628"/>
      <c r="F35" s="37"/>
      <c r="G35" s="37"/>
      <c r="H35" s="629"/>
      <c r="I35" s="629"/>
      <c r="J35" s="629"/>
      <c r="K35" s="629"/>
      <c r="L35" s="629"/>
      <c r="M35" s="629"/>
      <c r="N35" s="35"/>
    </row>
    <row r="36" spans="1:14" ht="18.2" customHeight="1" x14ac:dyDescent="0.25">
      <c r="A36" s="628"/>
      <c r="B36" s="628"/>
      <c r="C36" s="628"/>
      <c r="D36" s="628"/>
      <c r="E36" s="628"/>
      <c r="F36" s="37"/>
      <c r="G36" s="37"/>
      <c r="H36" s="629"/>
      <c r="I36" s="629"/>
      <c r="J36" s="629"/>
      <c r="K36" s="629"/>
      <c r="L36" s="629"/>
      <c r="M36" s="629"/>
      <c r="N36" s="35"/>
    </row>
    <row r="37" spans="1:14" ht="18.2" customHeight="1" x14ac:dyDescent="0.25">
      <c r="A37" s="628" t="s">
        <v>107</v>
      </c>
      <c r="B37" s="628"/>
      <c r="C37" s="628"/>
      <c r="D37" s="628"/>
      <c r="E37" s="628"/>
      <c r="F37" s="37"/>
      <c r="G37" s="37"/>
      <c r="H37" s="629"/>
      <c r="I37" s="629"/>
      <c r="J37" s="629"/>
      <c r="K37" s="629"/>
      <c r="L37" s="629"/>
      <c r="M37" s="629"/>
      <c r="N37" s="35"/>
    </row>
    <row r="38" spans="1:14" ht="18.2" customHeight="1" x14ac:dyDescent="0.25">
      <c r="A38" s="628" t="s">
        <v>108</v>
      </c>
      <c r="B38" s="628"/>
      <c r="C38" s="628"/>
      <c r="D38" s="628"/>
      <c r="E38" s="628"/>
      <c r="F38" s="37"/>
      <c r="G38" s="37"/>
      <c r="H38" s="629"/>
      <c r="I38" s="629"/>
      <c r="J38" s="629"/>
      <c r="K38" s="629"/>
      <c r="L38" s="629"/>
      <c r="M38" s="629"/>
      <c r="N38" s="35"/>
    </row>
    <row r="39" spans="1:14" ht="18.2" customHeight="1" x14ac:dyDescent="0.25">
      <c r="A39" s="628" t="s">
        <v>109</v>
      </c>
      <c r="B39" s="628"/>
      <c r="C39" s="628"/>
      <c r="D39" s="628"/>
      <c r="E39" s="628"/>
      <c r="F39" s="37"/>
      <c r="G39" s="37"/>
      <c r="H39" s="629"/>
      <c r="I39" s="629"/>
      <c r="J39" s="629"/>
      <c r="K39" s="629"/>
      <c r="L39" s="629"/>
      <c r="M39" s="629"/>
      <c r="N39" s="35"/>
    </row>
    <row r="40" spans="1:14" ht="18.2" customHeight="1" x14ac:dyDescent="0.25">
      <c r="A40" s="628" t="s">
        <v>110</v>
      </c>
      <c r="B40" s="628"/>
      <c r="C40" s="628"/>
      <c r="D40" s="628"/>
      <c r="E40" s="628"/>
      <c r="F40" s="37"/>
      <c r="G40" s="37"/>
      <c r="H40" s="629"/>
      <c r="I40" s="629"/>
      <c r="J40" s="629"/>
      <c r="K40" s="629"/>
      <c r="L40" s="629"/>
      <c r="M40" s="629"/>
      <c r="N40" s="35"/>
    </row>
    <row r="41" spans="1:14" ht="18.2" customHeight="1" x14ac:dyDescent="0.25">
      <c r="A41" s="628"/>
      <c r="B41" s="628"/>
      <c r="C41" s="628"/>
      <c r="D41" s="628"/>
      <c r="E41" s="628"/>
      <c r="F41" s="37"/>
      <c r="G41" s="37"/>
      <c r="H41" s="629"/>
      <c r="I41" s="629"/>
      <c r="J41" s="629"/>
      <c r="K41" s="629"/>
      <c r="L41" s="629"/>
      <c r="M41" s="629"/>
      <c r="N41" s="35"/>
    </row>
    <row r="42" spans="1:14" ht="18.2" customHeight="1" x14ac:dyDescent="0.25">
      <c r="A42" s="628" t="s">
        <v>111</v>
      </c>
      <c r="B42" s="628"/>
      <c r="C42" s="628"/>
      <c r="D42" s="628"/>
      <c r="E42" s="628"/>
      <c r="F42" s="37"/>
      <c r="G42" s="37"/>
      <c r="H42" s="629"/>
      <c r="I42" s="629"/>
      <c r="J42" s="629"/>
      <c r="K42" s="629"/>
      <c r="L42" s="629"/>
      <c r="M42" s="629"/>
      <c r="N42" s="35"/>
    </row>
    <row r="43" spans="1:14" ht="18.2" customHeight="1" x14ac:dyDescent="0.25">
      <c r="A43" s="628" t="s">
        <v>112</v>
      </c>
      <c r="B43" s="628"/>
      <c r="C43" s="628"/>
      <c r="D43" s="628"/>
      <c r="E43" s="628"/>
      <c r="F43" s="37"/>
      <c r="G43" s="37"/>
      <c r="H43" s="629"/>
      <c r="I43" s="629"/>
      <c r="J43" s="629"/>
      <c r="K43" s="629"/>
      <c r="L43" s="629"/>
      <c r="M43" s="629"/>
      <c r="N43" s="35"/>
    </row>
    <row r="44" spans="1:14" ht="18.2" customHeight="1" x14ac:dyDescent="0.25">
      <c r="A44" s="628" t="s">
        <v>113</v>
      </c>
      <c r="B44" s="628"/>
      <c r="C44" s="628"/>
      <c r="D44" s="628"/>
      <c r="E44" s="628"/>
      <c r="F44" s="37"/>
      <c r="G44" s="37"/>
      <c r="H44" s="629"/>
      <c r="I44" s="629"/>
      <c r="J44" s="629"/>
      <c r="K44" s="629"/>
      <c r="L44" s="629"/>
      <c r="M44" s="629"/>
      <c r="N44" s="35"/>
    </row>
    <row r="45" spans="1:14" ht="18.2" customHeight="1" x14ac:dyDescent="0.25">
      <c r="A45" s="628" t="s">
        <v>114</v>
      </c>
      <c r="B45" s="628"/>
      <c r="C45" s="628"/>
      <c r="D45" s="628"/>
      <c r="E45" s="628"/>
      <c r="F45" s="37"/>
      <c r="G45" s="37"/>
      <c r="H45" s="629"/>
      <c r="I45" s="629"/>
      <c r="J45" s="629"/>
      <c r="K45" s="629"/>
      <c r="L45" s="629"/>
      <c r="M45" s="629"/>
      <c r="N45" s="35"/>
    </row>
    <row r="46" spans="1:14" ht="18.2" customHeight="1" x14ac:dyDescent="0.25">
      <c r="A46" s="628"/>
      <c r="B46" s="628"/>
      <c r="C46" s="628"/>
      <c r="D46" s="628"/>
      <c r="E46" s="628"/>
      <c r="F46" s="37"/>
      <c r="G46" s="37"/>
      <c r="H46" s="629"/>
      <c r="I46" s="629"/>
      <c r="J46" s="629"/>
      <c r="K46" s="629"/>
      <c r="L46" s="629"/>
      <c r="M46" s="629"/>
      <c r="N46" s="35"/>
    </row>
    <row r="47" spans="1:14" ht="18.2" customHeight="1" x14ac:dyDescent="0.25">
      <c r="A47" s="628" t="s">
        <v>115</v>
      </c>
      <c r="B47" s="628"/>
      <c r="C47" s="628"/>
      <c r="D47" s="628"/>
      <c r="E47" s="628"/>
      <c r="F47" s="37"/>
      <c r="G47" s="37"/>
      <c r="H47" s="629"/>
      <c r="I47" s="629"/>
      <c r="J47" s="629"/>
      <c r="K47" s="629"/>
      <c r="L47" s="629"/>
      <c r="M47" s="629"/>
      <c r="N47" s="35"/>
    </row>
    <row r="48" spans="1:14" ht="18.2" customHeight="1" x14ac:dyDescent="0.25">
      <c r="A48" s="628" t="s">
        <v>116</v>
      </c>
      <c r="B48" s="628"/>
      <c r="C48" s="628"/>
      <c r="D48" s="628"/>
      <c r="E48" s="628"/>
      <c r="F48" s="37"/>
      <c r="G48" s="37"/>
      <c r="H48" s="629"/>
      <c r="I48" s="629"/>
      <c r="J48" s="629"/>
      <c r="K48" s="629"/>
      <c r="L48" s="629"/>
      <c r="M48" s="629"/>
      <c r="N48" s="35"/>
    </row>
    <row r="49" spans="1:14" ht="18.2" customHeight="1" x14ac:dyDescent="0.25">
      <c r="A49" s="628" t="s">
        <v>117</v>
      </c>
      <c r="B49" s="628"/>
      <c r="C49" s="628"/>
      <c r="D49" s="628"/>
      <c r="E49" s="628"/>
      <c r="F49" s="37"/>
      <c r="G49" s="37"/>
      <c r="H49" s="629"/>
      <c r="I49" s="629"/>
      <c r="J49" s="629"/>
      <c r="K49" s="629"/>
      <c r="L49" s="629"/>
      <c r="M49" s="629"/>
      <c r="N49" s="35"/>
    </row>
    <row r="50" spans="1:14" ht="18.2" customHeight="1" x14ac:dyDescent="0.25">
      <c r="A50" s="628" t="s">
        <v>118</v>
      </c>
      <c r="B50" s="628"/>
      <c r="C50" s="628"/>
      <c r="D50" s="628"/>
      <c r="E50" s="628"/>
      <c r="F50" s="37"/>
      <c r="G50" s="37"/>
      <c r="H50" s="629"/>
      <c r="I50" s="629"/>
      <c r="J50" s="629"/>
      <c r="K50" s="629"/>
      <c r="L50" s="629"/>
      <c r="M50" s="629"/>
      <c r="N50" s="35"/>
    </row>
    <row r="51" spans="1:14" ht="18.2" customHeight="1" x14ac:dyDescent="0.25">
      <c r="A51" s="628"/>
      <c r="B51" s="628"/>
      <c r="C51" s="628"/>
      <c r="D51" s="628"/>
      <c r="E51" s="628"/>
      <c r="F51" s="37"/>
      <c r="G51" s="37"/>
      <c r="H51" s="629"/>
      <c r="I51" s="629"/>
      <c r="J51" s="629"/>
      <c r="K51" s="629"/>
      <c r="L51" s="629"/>
      <c r="M51" s="629"/>
      <c r="N51" s="35"/>
    </row>
    <row r="52" spans="1:14" ht="18.2" customHeight="1" x14ac:dyDescent="0.25">
      <c r="A52" s="628" t="s">
        <v>119</v>
      </c>
      <c r="B52" s="628"/>
      <c r="C52" s="628"/>
      <c r="D52" s="628"/>
      <c r="E52" s="628"/>
      <c r="F52" s="37"/>
      <c r="G52" s="37"/>
      <c r="H52" s="629"/>
      <c r="I52" s="629"/>
      <c r="J52" s="629"/>
      <c r="K52" s="629"/>
      <c r="L52" s="629"/>
      <c r="M52" s="629"/>
      <c r="N52" s="35"/>
    </row>
    <row r="53" spans="1:14" ht="18.2" customHeight="1" x14ac:dyDescent="0.25">
      <c r="A53" s="628" t="s">
        <v>120</v>
      </c>
      <c r="B53" s="628"/>
      <c r="C53" s="628"/>
      <c r="D53" s="628"/>
      <c r="E53" s="628"/>
      <c r="F53" s="37"/>
      <c r="G53" s="37"/>
      <c r="H53" s="629"/>
      <c r="I53" s="629"/>
      <c r="J53" s="629"/>
      <c r="K53" s="629"/>
      <c r="L53" s="629"/>
      <c r="M53" s="629"/>
      <c r="N53" s="35"/>
    </row>
    <row r="54" spans="1:14" ht="18.2" customHeight="1" x14ac:dyDescent="0.25">
      <c r="A54" s="628" t="s">
        <v>121</v>
      </c>
      <c r="B54" s="628"/>
      <c r="C54" s="628"/>
      <c r="D54" s="628"/>
      <c r="E54" s="628"/>
      <c r="F54" s="37"/>
      <c r="G54" s="37"/>
      <c r="H54" s="629"/>
      <c r="I54" s="629"/>
      <c r="J54" s="629"/>
      <c r="K54" s="629"/>
      <c r="L54" s="629"/>
      <c r="M54" s="629"/>
      <c r="N54" s="35"/>
    </row>
    <row r="55" spans="1:14" ht="18.2" customHeight="1" x14ac:dyDescent="0.25">
      <c r="A55" s="628" t="s">
        <v>122</v>
      </c>
      <c r="B55" s="628"/>
      <c r="C55" s="628"/>
      <c r="D55" s="628"/>
      <c r="E55" s="628"/>
      <c r="F55" s="37"/>
      <c r="G55" s="37"/>
      <c r="H55" s="629"/>
      <c r="I55" s="629"/>
      <c r="J55" s="629"/>
      <c r="K55" s="629"/>
      <c r="L55" s="629"/>
      <c r="M55" s="629"/>
      <c r="N55" s="35"/>
    </row>
    <row r="56" spans="1:14" ht="18.2" customHeight="1" x14ac:dyDescent="0.25">
      <c r="A56" s="628"/>
      <c r="B56" s="628"/>
      <c r="C56" s="628"/>
      <c r="D56" s="628"/>
      <c r="E56" s="628"/>
      <c r="F56" s="37"/>
      <c r="G56" s="37"/>
      <c r="H56" s="629"/>
      <c r="I56" s="629"/>
      <c r="J56" s="629"/>
      <c r="K56" s="629"/>
      <c r="L56" s="629"/>
      <c r="M56" s="629"/>
      <c r="N56" s="35"/>
    </row>
    <row r="57" spans="1:14" ht="18.2" customHeight="1" x14ac:dyDescent="0.25">
      <c r="A57" s="628" t="s">
        <v>123</v>
      </c>
      <c r="B57" s="628"/>
      <c r="C57" s="628"/>
      <c r="D57" s="628"/>
      <c r="E57" s="628"/>
      <c r="F57" s="37"/>
      <c r="G57" s="37"/>
      <c r="H57" s="629"/>
      <c r="I57" s="629"/>
      <c r="J57" s="629"/>
      <c r="K57" s="629"/>
      <c r="L57" s="629"/>
      <c r="M57" s="629"/>
      <c r="N57" s="35"/>
    </row>
    <row r="58" spans="1:14" ht="18.2" customHeight="1" x14ac:dyDescent="0.25">
      <c r="A58" s="628" t="s">
        <v>124</v>
      </c>
      <c r="B58" s="628"/>
      <c r="C58" s="628"/>
      <c r="D58" s="628"/>
      <c r="E58" s="628"/>
      <c r="F58" s="37"/>
      <c r="G58" s="37"/>
      <c r="H58" s="629"/>
      <c r="I58" s="629"/>
      <c r="J58" s="629"/>
      <c r="K58" s="629"/>
      <c r="L58" s="629"/>
      <c r="M58" s="629"/>
      <c r="N58" s="35"/>
    </row>
    <row r="59" spans="1:14" ht="18.2" customHeight="1" x14ac:dyDescent="0.25">
      <c r="A59" s="628" t="s">
        <v>125</v>
      </c>
      <c r="B59" s="628"/>
      <c r="C59" s="628"/>
      <c r="D59" s="628"/>
      <c r="E59" s="628"/>
      <c r="F59" s="37"/>
      <c r="G59" s="37"/>
      <c r="H59" s="629"/>
      <c r="I59" s="629"/>
      <c r="J59" s="629"/>
      <c r="K59" s="629"/>
      <c r="L59" s="629"/>
      <c r="M59" s="629"/>
      <c r="N59" s="35"/>
    </row>
    <row r="60" spans="1:14" ht="18.2" customHeight="1" x14ac:dyDescent="0.25">
      <c r="A60" s="628" t="s">
        <v>126</v>
      </c>
      <c r="B60" s="628"/>
      <c r="C60" s="628"/>
      <c r="D60" s="628"/>
      <c r="E60" s="628"/>
      <c r="F60" s="37"/>
      <c r="G60" s="37"/>
      <c r="H60" s="629"/>
      <c r="I60" s="629"/>
      <c r="J60" s="629"/>
      <c r="K60" s="629"/>
      <c r="L60" s="629"/>
      <c r="M60" s="629"/>
      <c r="N60" s="35"/>
    </row>
    <row r="61" spans="1:14" ht="18.2" customHeight="1" x14ac:dyDescent="0.25">
      <c r="A61" s="628"/>
      <c r="B61" s="628"/>
      <c r="C61" s="628"/>
      <c r="D61" s="628"/>
      <c r="E61" s="628"/>
      <c r="F61" s="37"/>
      <c r="G61" s="37"/>
      <c r="H61" s="629"/>
      <c r="I61" s="629"/>
      <c r="J61" s="629"/>
      <c r="K61" s="629"/>
      <c r="L61" s="629"/>
      <c r="M61" s="629"/>
      <c r="N61" s="35"/>
    </row>
    <row r="62" spans="1:14" ht="18.2" customHeight="1" x14ac:dyDescent="0.25">
      <c r="A62" s="628" t="s">
        <v>127</v>
      </c>
      <c r="B62" s="628"/>
      <c r="C62" s="628"/>
      <c r="D62" s="628"/>
      <c r="E62" s="628"/>
      <c r="F62" s="37"/>
      <c r="G62" s="37"/>
      <c r="H62" s="629"/>
      <c r="I62" s="629"/>
      <c r="J62" s="629"/>
      <c r="K62" s="629"/>
      <c r="L62" s="629"/>
      <c r="M62" s="629"/>
      <c r="N62" s="35"/>
    </row>
    <row r="63" spans="1:14" ht="18.2" customHeight="1" x14ac:dyDescent="0.25">
      <c r="A63" s="628" t="s">
        <v>128</v>
      </c>
      <c r="B63" s="628"/>
      <c r="C63" s="628"/>
      <c r="D63" s="628"/>
      <c r="E63" s="628"/>
      <c r="F63" s="37"/>
      <c r="G63" s="37"/>
      <c r="H63" s="629"/>
      <c r="I63" s="629"/>
      <c r="J63" s="629"/>
      <c r="K63" s="629"/>
      <c r="L63" s="629"/>
      <c r="M63" s="629"/>
      <c r="N63" s="35"/>
    </row>
    <row r="64" spans="1:14" ht="18.2" customHeight="1" x14ac:dyDescent="0.25">
      <c r="A64" s="628" t="s">
        <v>129</v>
      </c>
      <c r="B64" s="628"/>
      <c r="C64" s="628"/>
      <c r="D64" s="628"/>
      <c r="E64" s="628"/>
      <c r="F64" s="37"/>
      <c r="G64" s="37"/>
      <c r="H64" s="629"/>
      <c r="I64" s="629"/>
      <c r="J64" s="629"/>
      <c r="K64" s="629"/>
      <c r="L64" s="629"/>
      <c r="M64" s="629"/>
      <c r="N64" s="35"/>
    </row>
    <row r="65" spans="1:14" ht="18.2" customHeight="1" x14ac:dyDescent="0.25">
      <c r="A65" s="628" t="s">
        <v>130</v>
      </c>
      <c r="B65" s="628"/>
      <c r="C65" s="628"/>
      <c r="D65" s="628"/>
      <c r="E65" s="628"/>
      <c r="F65" s="37"/>
      <c r="G65" s="37"/>
      <c r="H65" s="629"/>
      <c r="I65" s="629"/>
      <c r="J65" s="629"/>
      <c r="K65" s="629"/>
      <c r="L65" s="629"/>
      <c r="M65" s="629"/>
      <c r="N65" s="35"/>
    </row>
    <row r="66" spans="1:14" ht="18.2" customHeight="1" x14ac:dyDescent="0.25">
      <c r="A66" s="628"/>
      <c r="B66" s="628"/>
      <c r="C66" s="628"/>
      <c r="D66" s="628"/>
      <c r="E66" s="628"/>
      <c r="F66" s="37"/>
      <c r="G66" s="37"/>
      <c r="H66" s="629"/>
      <c r="I66" s="629"/>
      <c r="J66" s="629"/>
      <c r="K66" s="629"/>
      <c r="L66" s="629"/>
      <c r="M66" s="629"/>
      <c r="N66" s="35"/>
    </row>
    <row r="67" spans="1:14" ht="18.2" customHeight="1" x14ac:dyDescent="0.25">
      <c r="A67" s="628" t="s">
        <v>131</v>
      </c>
      <c r="B67" s="628"/>
      <c r="C67" s="628"/>
      <c r="D67" s="628"/>
      <c r="E67" s="628"/>
      <c r="F67" s="37"/>
      <c r="G67" s="37"/>
      <c r="H67" s="629"/>
      <c r="I67" s="629"/>
      <c r="J67" s="629"/>
      <c r="K67" s="629"/>
      <c r="L67" s="629"/>
      <c r="M67" s="629"/>
      <c r="N67" s="35"/>
    </row>
    <row r="68" spans="1:14" ht="18.2" customHeight="1" x14ac:dyDescent="0.25">
      <c r="A68" s="628" t="s">
        <v>132</v>
      </c>
      <c r="B68" s="628"/>
      <c r="C68" s="628"/>
      <c r="D68" s="628"/>
      <c r="E68" s="628"/>
      <c r="F68" s="37"/>
      <c r="G68" s="37"/>
      <c r="H68" s="629"/>
      <c r="I68" s="629"/>
      <c r="J68" s="629"/>
      <c r="K68" s="629"/>
      <c r="L68" s="629"/>
      <c r="M68" s="629"/>
      <c r="N68" s="35"/>
    </row>
    <row r="69" spans="1:14" ht="18.2" customHeight="1" x14ac:dyDescent="0.25">
      <c r="A69" s="628" t="s">
        <v>133</v>
      </c>
      <c r="B69" s="628"/>
      <c r="C69" s="628"/>
      <c r="D69" s="628"/>
      <c r="E69" s="628"/>
      <c r="F69" s="37"/>
      <c r="G69" s="37"/>
      <c r="H69" s="629"/>
      <c r="I69" s="629"/>
      <c r="J69" s="629"/>
      <c r="K69" s="629"/>
      <c r="L69" s="629"/>
      <c r="M69" s="629"/>
      <c r="N69" s="35"/>
    </row>
    <row r="70" spans="1:14" ht="18.2" customHeight="1" x14ac:dyDescent="0.25">
      <c r="A70" s="628" t="s">
        <v>134</v>
      </c>
      <c r="B70" s="628"/>
      <c r="C70" s="628"/>
      <c r="D70" s="628"/>
      <c r="E70" s="628"/>
      <c r="F70" s="37"/>
      <c r="G70" s="37"/>
      <c r="H70" s="629"/>
      <c r="I70" s="629"/>
      <c r="J70" s="629"/>
      <c r="K70" s="629"/>
      <c r="L70" s="629"/>
      <c r="M70" s="629"/>
      <c r="N70" s="35"/>
    </row>
    <row r="71" spans="1:14" ht="18.2" customHeight="1" x14ac:dyDescent="0.25">
      <c r="A71" s="628"/>
      <c r="B71" s="628"/>
      <c r="C71" s="628"/>
      <c r="D71" s="628"/>
      <c r="E71" s="628"/>
      <c r="F71" s="37"/>
      <c r="G71" s="37"/>
      <c r="H71" s="629"/>
      <c r="I71" s="629"/>
      <c r="J71" s="629"/>
      <c r="K71" s="629"/>
      <c r="L71" s="629"/>
      <c r="M71" s="629"/>
      <c r="N71" s="35"/>
    </row>
    <row r="72" spans="1:14" ht="18.2" customHeight="1" x14ac:dyDescent="0.25">
      <c r="A72" s="628" t="s">
        <v>135</v>
      </c>
      <c r="B72" s="628"/>
      <c r="C72" s="628"/>
      <c r="D72" s="628"/>
      <c r="E72" s="628"/>
      <c r="F72" s="37"/>
      <c r="G72" s="37"/>
      <c r="H72" s="629"/>
      <c r="I72" s="629"/>
      <c r="J72" s="629"/>
      <c r="K72" s="629"/>
      <c r="L72" s="629"/>
      <c r="M72" s="629"/>
      <c r="N72" s="35"/>
    </row>
    <row r="73" spans="1:14" ht="18.2" customHeight="1" x14ac:dyDescent="0.25">
      <c r="A73" s="628" t="s">
        <v>136</v>
      </c>
      <c r="B73" s="628"/>
      <c r="C73" s="628"/>
      <c r="D73" s="628"/>
      <c r="E73" s="628"/>
      <c r="F73" s="37"/>
      <c r="G73" s="37"/>
      <c r="H73" s="629"/>
      <c r="I73" s="629"/>
      <c r="J73" s="629"/>
      <c r="K73" s="629"/>
      <c r="L73" s="629"/>
      <c r="M73" s="629"/>
      <c r="N73" s="35"/>
    </row>
    <row r="74" spans="1:14" ht="18.2" customHeight="1" x14ac:dyDescent="0.25">
      <c r="A74" s="628" t="s">
        <v>137</v>
      </c>
      <c r="B74" s="628"/>
      <c r="C74" s="628"/>
      <c r="D74" s="628"/>
      <c r="E74" s="628"/>
      <c r="F74" s="37"/>
      <c r="G74" s="37"/>
      <c r="H74" s="629"/>
      <c r="I74" s="629"/>
      <c r="J74" s="629"/>
      <c r="K74" s="629"/>
      <c r="L74" s="629"/>
      <c r="M74" s="629"/>
      <c r="N74" s="35"/>
    </row>
    <row r="75" spans="1:14" ht="18.2" customHeight="1" x14ac:dyDescent="0.25">
      <c r="A75" s="628" t="s">
        <v>138</v>
      </c>
      <c r="B75" s="628"/>
      <c r="C75" s="628"/>
      <c r="D75" s="628"/>
      <c r="E75" s="628"/>
      <c r="F75" s="37"/>
      <c r="G75" s="37"/>
      <c r="H75" s="629"/>
      <c r="I75" s="629"/>
      <c r="J75" s="629"/>
      <c r="K75" s="629"/>
      <c r="L75" s="629"/>
      <c r="M75" s="629"/>
      <c r="N75" s="35"/>
    </row>
    <row r="76" spans="1:14" ht="18.2" customHeight="1" x14ac:dyDescent="0.25">
      <c r="A76" s="628"/>
      <c r="B76" s="628"/>
      <c r="C76" s="628"/>
      <c r="D76" s="628"/>
      <c r="E76" s="628"/>
      <c r="F76" s="37"/>
      <c r="G76" s="37"/>
      <c r="H76" s="629"/>
      <c r="I76" s="629"/>
      <c r="J76" s="629"/>
      <c r="K76" s="629"/>
      <c r="L76" s="629"/>
      <c r="M76" s="629"/>
      <c r="N76" s="35"/>
    </row>
    <row r="77" spans="1:14" ht="18.2" customHeight="1" x14ac:dyDescent="0.25">
      <c r="A77" s="628" t="s">
        <v>139</v>
      </c>
      <c r="B77" s="628"/>
      <c r="C77" s="628"/>
      <c r="D77" s="628"/>
      <c r="E77" s="628"/>
      <c r="F77" s="37"/>
      <c r="G77" s="37"/>
      <c r="H77" s="629"/>
      <c r="I77" s="629"/>
      <c r="J77" s="629"/>
      <c r="K77" s="629"/>
      <c r="L77" s="629"/>
      <c r="M77" s="629"/>
      <c r="N77" s="35"/>
    </row>
    <row r="78" spans="1:14" ht="18.2" customHeight="1" x14ac:dyDescent="0.25">
      <c r="A78" s="628" t="s">
        <v>140</v>
      </c>
      <c r="B78" s="628"/>
      <c r="C78" s="628"/>
      <c r="D78" s="628"/>
      <c r="E78" s="628"/>
      <c r="F78" s="37"/>
      <c r="G78" s="37"/>
      <c r="H78" s="629"/>
      <c r="I78" s="629"/>
      <c r="J78" s="629"/>
      <c r="K78" s="629"/>
      <c r="L78" s="629"/>
      <c r="M78" s="629"/>
      <c r="N78" s="35"/>
    </row>
    <row r="79" spans="1:14" ht="18.2" customHeight="1" x14ac:dyDescent="0.25">
      <c r="A79" s="628" t="s">
        <v>141</v>
      </c>
      <c r="B79" s="628"/>
      <c r="C79" s="628"/>
      <c r="D79" s="628"/>
      <c r="E79" s="628"/>
      <c r="F79" s="37"/>
      <c r="G79" s="37"/>
      <c r="H79" s="629"/>
      <c r="I79" s="629"/>
      <c r="J79" s="629"/>
      <c r="K79" s="629"/>
      <c r="L79" s="629"/>
      <c r="M79" s="629"/>
      <c r="N79" s="35"/>
    </row>
    <row r="80" spans="1:14" ht="18.2" customHeight="1" x14ac:dyDescent="0.25">
      <c r="A80" s="628" t="s">
        <v>142</v>
      </c>
      <c r="B80" s="628"/>
      <c r="C80" s="628"/>
      <c r="D80" s="628"/>
      <c r="E80" s="628"/>
      <c r="F80" s="37"/>
      <c r="G80" s="37"/>
      <c r="H80" s="629"/>
      <c r="I80" s="629"/>
      <c r="J80" s="629"/>
      <c r="K80" s="629"/>
      <c r="L80" s="629"/>
      <c r="M80" s="629"/>
      <c r="N80" s="35"/>
    </row>
    <row r="81" spans="1:14" ht="18.2" customHeight="1" x14ac:dyDescent="0.25">
      <c r="A81" s="628"/>
      <c r="B81" s="628"/>
      <c r="C81" s="628"/>
      <c r="D81" s="628"/>
      <c r="E81" s="628"/>
      <c r="F81" s="37"/>
      <c r="G81" s="37"/>
      <c r="H81" s="629"/>
      <c r="I81" s="629"/>
      <c r="J81" s="629"/>
      <c r="K81" s="629"/>
      <c r="L81" s="629"/>
      <c r="M81" s="629"/>
      <c r="N81" s="35"/>
    </row>
    <row r="82" spans="1:14" ht="18.2" customHeight="1" x14ac:dyDescent="0.25">
      <c r="A82" s="628" t="s">
        <v>143</v>
      </c>
      <c r="B82" s="628"/>
      <c r="C82" s="628"/>
      <c r="D82" s="628"/>
      <c r="E82" s="628"/>
      <c r="F82" s="37"/>
      <c r="G82" s="37"/>
      <c r="H82" s="629"/>
      <c r="I82" s="629"/>
      <c r="J82" s="629"/>
      <c r="K82" s="629"/>
      <c r="L82" s="629"/>
      <c r="M82" s="629"/>
      <c r="N82" s="35"/>
    </row>
    <row r="83" spans="1:14" ht="18.2" customHeight="1" x14ac:dyDescent="0.25">
      <c r="A83" s="628" t="s">
        <v>144</v>
      </c>
      <c r="B83" s="628"/>
      <c r="C83" s="628"/>
      <c r="D83" s="628"/>
      <c r="E83" s="628"/>
      <c r="F83" s="37"/>
      <c r="G83" s="37"/>
      <c r="H83" s="629"/>
      <c r="I83" s="629"/>
      <c r="J83" s="629"/>
      <c r="K83" s="629"/>
      <c r="L83" s="629"/>
      <c r="M83" s="629"/>
      <c r="N83" s="35"/>
    </row>
    <row r="84" spans="1:14" ht="18.2" customHeight="1" x14ac:dyDescent="0.25">
      <c r="A84" s="628" t="s">
        <v>145</v>
      </c>
      <c r="B84" s="628"/>
      <c r="C84" s="628"/>
      <c r="D84" s="628"/>
      <c r="E84" s="628"/>
      <c r="F84" s="37"/>
      <c r="G84" s="37"/>
      <c r="H84" s="629"/>
      <c r="I84" s="629"/>
      <c r="J84" s="629"/>
      <c r="K84" s="629"/>
      <c r="L84" s="629"/>
      <c r="M84" s="629"/>
      <c r="N84" s="35"/>
    </row>
    <row r="85" spans="1:14" ht="18.2" customHeight="1" x14ac:dyDescent="0.25">
      <c r="A85" s="628" t="s">
        <v>146</v>
      </c>
      <c r="B85" s="628"/>
      <c r="C85" s="628"/>
      <c r="D85" s="628"/>
      <c r="E85" s="628"/>
      <c r="F85" s="37"/>
      <c r="G85" s="37"/>
      <c r="H85" s="629"/>
      <c r="I85" s="629"/>
      <c r="J85" s="629"/>
      <c r="K85" s="629"/>
      <c r="L85" s="629"/>
      <c r="M85" s="629"/>
      <c r="N85" s="35"/>
    </row>
    <row r="86" spans="1:14" ht="18.2" customHeight="1" x14ac:dyDescent="0.25">
      <c r="A86" s="628"/>
      <c r="B86" s="628"/>
      <c r="C86" s="628"/>
      <c r="D86" s="628"/>
      <c r="E86" s="628"/>
      <c r="F86" s="37"/>
      <c r="G86" s="37"/>
      <c r="H86" s="629"/>
      <c r="I86" s="629"/>
      <c r="J86" s="629"/>
      <c r="K86" s="629"/>
      <c r="L86" s="629"/>
      <c r="M86" s="629"/>
      <c r="N86" s="35"/>
    </row>
    <row r="87" spans="1:14" ht="18.2" customHeight="1" x14ac:dyDescent="0.25">
      <c r="A87" s="628" t="s">
        <v>147</v>
      </c>
      <c r="B87" s="628"/>
      <c r="C87" s="628"/>
      <c r="D87" s="628"/>
      <c r="E87" s="628"/>
      <c r="F87" s="37"/>
      <c r="G87" s="37"/>
      <c r="H87" s="629"/>
      <c r="I87" s="629"/>
      <c r="J87" s="629"/>
      <c r="K87" s="629"/>
      <c r="L87" s="629"/>
      <c r="M87" s="629"/>
      <c r="N87" s="35"/>
    </row>
    <row r="88" spans="1:14" ht="18.2" customHeight="1" x14ac:dyDescent="0.25">
      <c r="A88" s="628" t="s">
        <v>148</v>
      </c>
      <c r="B88" s="628"/>
      <c r="C88" s="628"/>
      <c r="D88" s="628"/>
      <c r="E88" s="628"/>
      <c r="F88" s="37"/>
      <c r="G88" s="37"/>
      <c r="H88" s="629"/>
      <c r="I88" s="629"/>
      <c r="J88" s="629"/>
      <c r="K88" s="629"/>
      <c r="L88" s="629"/>
      <c r="M88" s="629"/>
      <c r="N88" s="35"/>
    </row>
    <row r="89" spans="1:14" ht="18.2" customHeight="1" x14ac:dyDescent="0.25">
      <c r="A89" s="628" t="s">
        <v>149</v>
      </c>
      <c r="B89" s="628"/>
      <c r="C89" s="628"/>
      <c r="D89" s="628"/>
      <c r="E89" s="628"/>
      <c r="F89" s="37"/>
      <c r="G89" s="37"/>
      <c r="H89" s="629"/>
      <c r="I89" s="629"/>
      <c r="J89" s="629"/>
      <c r="K89" s="629"/>
      <c r="L89" s="629"/>
      <c r="M89" s="629"/>
      <c r="N89" s="35"/>
    </row>
    <row r="90" spans="1:14" ht="18.2" customHeight="1" x14ac:dyDescent="0.25">
      <c r="A90" s="628" t="s">
        <v>150</v>
      </c>
      <c r="B90" s="628"/>
      <c r="C90" s="628"/>
      <c r="D90" s="628"/>
      <c r="E90" s="628"/>
      <c r="F90" s="37"/>
      <c r="G90" s="37"/>
      <c r="H90" s="629"/>
      <c r="I90" s="629"/>
      <c r="J90" s="629"/>
      <c r="K90" s="629"/>
      <c r="L90" s="629"/>
      <c r="M90" s="629"/>
      <c r="N90" s="35"/>
    </row>
    <row r="91" spans="1:14" ht="18.2" customHeight="1" x14ac:dyDescent="0.25">
      <c r="A91" s="628"/>
      <c r="B91" s="628"/>
      <c r="C91" s="628"/>
      <c r="D91" s="628"/>
      <c r="E91" s="628"/>
      <c r="F91" s="37"/>
      <c r="G91" s="37"/>
      <c r="H91" s="629"/>
      <c r="I91" s="629"/>
      <c r="J91" s="629"/>
      <c r="K91" s="629"/>
      <c r="L91" s="629"/>
      <c r="M91" s="629"/>
      <c r="N91" s="35"/>
    </row>
    <row r="92" spans="1:14" ht="18.2" customHeight="1" x14ac:dyDescent="0.25">
      <c r="A92" s="628" t="s">
        <v>151</v>
      </c>
      <c r="B92" s="628"/>
      <c r="C92" s="628"/>
      <c r="D92" s="628"/>
      <c r="E92" s="628"/>
      <c r="F92" s="37"/>
      <c r="G92" s="37"/>
      <c r="H92" s="629"/>
      <c r="I92" s="629"/>
      <c r="J92" s="629"/>
      <c r="K92" s="629"/>
      <c r="L92" s="629"/>
      <c r="M92" s="629"/>
      <c r="N92" s="35"/>
    </row>
    <row r="93" spans="1:14" ht="18.2" customHeight="1" x14ac:dyDescent="0.25">
      <c r="A93" s="628" t="s">
        <v>152</v>
      </c>
      <c r="B93" s="628"/>
      <c r="C93" s="628"/>
      <c r="D93" s="628"/>
      <c r="E93" s="628"/>
      <c r="F93" s="37"/>
      <c r="G93" s="37"/>
      <c r="H93" s="629"/>
      <c r="I93" s="629"/>
      <c r="J93" s="629"/>
      <c r="K93" s="629"/>
      <c r="L93" s="629"/>
      <c r="M93" s="629"/>
      <c r="N93" s="35"/>
    </row>
    <row r="94" spans="1:14" ht="18.2" customHeight="1" x14ac:dyDescent="0.25">
      <c r="A94" s="628" t="s">
        <v>153</v>
      </c>
      <c r="B94" s="628"/>
      <c r="C94" s="628"/>
      <c r="D94" s="628"/>
      <c r="E94" s="628"/>
      <c r="F94" s="37"/>
      <c r="G94" s="37"/>
      <c r="H94" s="629"/>
      <c r="I94" s="629"/>
      <c r="J94" s="629"/>
      <c r="K94" s="629"/>
      <c r="L94" s="629"/>
      <c r="M94" s="629"/>
      <c r="N94" s="35"/>
    </row>
    <row r="95" spans="1:14" ht="18.2" customHeight="1" x14ac:dyDescent="0.25">
      <c r="A95" s="628" t="s">
        <v>154</v>
      </c>
      <c r="B95" s="628"/>
      <c r="C95" s="628"/>
      <c r="D95" s="628"/>
      <c r="E95" s="628"/>
      <c r="F95" s="37"/>
      <c r="G95" s="37"/>
      <c r="H95" s="629"/>
      <c r="I95" s="629"/>
      <c r="J95" s="629"/>
      <c r="K95" s="629"/>
      <c r="L95" s="629"/>
      <c r="M95" s="629"/>
      <c r="N95" s="35"/>
    </row>
    <row r="96" spans="1:14" ht="18.2" customHeight="1" x14ac:dyDescent="0.25">
      <c r="A96" s="628"/>
      <c r="B96" s="628"/>
      <c r="C96" s="628"/>
      <c r="D96" s="628"/>
      <c r="E96" s="628"/>
      <c r="F96" s="37"/>
      <c r="G96" s="37"/>
      <c r="H96" s="629"/>
      <c r="I96" s="629"/>
      <c r="J96" s="629"/>
      <c r="K96" s="629"/>
      <c r="L96" s="629"/>
      <c r="M96" s="629"/>
      <c r="N96" s="35"/>
    </row>
    <row r="97" spans="1:14" ht="18.2" customHeight="1" x14ac:dyDescent="0.25">
      <c r="A97" s="628" t="s">
        <v>155</v>
      </c>
      <c r="B97" s="628"/>
      <c r="C97" s="628"/>
      <c r="D97" s="628"/>
      <c r="E97" s="628"/>
      <c r="F97" s="37"/>
      <c r="G97" s="37"/>
      <c r="H97" s="629"/>
      <c r="I97" s="629"/>
      <c r="J97" s="629"/>
      <c r="K97" s="629"/>
      <c r="L97" s="629"/>
      <c r="M97" s="629"/>
      <c r="N97" s="35"/>
    </row>
    <row r="98" spans="1:14" ht="18.2" customHeight="1" x14ac:dyDescent="0.25">
      <c r="A98" s="628" t="s">
        <v>156</v>
      </c>
      <c r="B98" s="628"/>
      <c r="C98" s="628"/>
      <c r="D98" s="628"/>
      <c r="E98" s="628"/>
      <c r="F98" s="37"/>
      <c r="G98" s="37"/>
      <c r="H98" s="629"/>
      <c r="I98" s="629"/>
      <c r="J98" s="629"/>
      <c r="K98" s="629"/>
      <c r="L98" s="629"/>
      <c r="M98" s="629"/>
      <c r="N98" s="35"/>
    </row>
    <row r="99" spans="1:14" ht="18.2" customHeight="1" x14ac:dyDescent="0.25">
      <c r="A99" s="628" t="s">
        <v>157</v>
      </c>
      <c r="B99" s="628"/>
      <c r="C99" s="628"/>
      <c r="D99" s="628"/>
      <c r="E99" s="628"/>
      <c r="F99" s="37"/>
      <c r="G99" s="37"/>
      <c r="H99" s="629"/>
      <c r="I99" s="629"/>
      <c r="J99" s="629"/>
      <c r="K99" s="629"/>
      <c r="L99" s="629"/>
      <c r="M99" s="629"/>
      <c r="N99" s="35"/>
    </row>
    <row r="100" spans="1:14" ht="18.2" customHeight="1" x14ac:dyDescent="0.25">
      <c r="A100" s="628" t="s">
        <v>158</v>
      </c>
      <c r="B100" s="628"/>
      <c r="C100" s="628"/>
      <c r="D100" s="628"/>
      <c r="E100" s="628"/>
      <c r="F100" s="37"/>
      <c r="G100" s="37"/>
      <c r="H100" s="629"/>
      <c r="I100" s="629"/>
      <c r="J100" s="629"/>
      <c r="K100" s="629"/>
      <c r="L100" s="629"/>
      <c r="M100" s="629"/>
      <c r="N100" s="35"/>
    </row>
    <row r="101" spans="1:14" ht="18.2" customHeight="1" x14ac:dyDescent="0.25">
      <c r="A101" s="628"/>
      <c r="B101" s="628"/>
      <c r="C101" s="628"/>
      <c r="D101" s="628"/>
      <c r="E101" s="628"/>
      <c r="F101" s="37"/>
      <c r="G101" s="37"/>
      <c r="H101" s="629"/>
      <c r="I101" s="629"/>
      <c r="J101" s="629"/>
      <c r="K101" s="629"/>
      <c r="L101" s="629"/>
      <c r="M101" s="629"/>
      <c r="N101" s="35"/>
    </row>
    <row r="102" spans="1:14" ht="18.2" customHeight="1" x14ac:dyDescent="0.25">
      <c r="A102" s="628" t="s">
        <v>159</v>
      </c>
      <c r="B102" s="628"/>
      <c r="C102" s="628"/>
      <c r="D102" s="628"/>
      <c r="E102" s="628"/>
      <c r="F102" s="37"/>
      <c r="G102" s="37"/>
      <c r="H102" s="629"/>
      <c r="I102" s="629"/>
      <c r="J102" s="629"/>
      <c r="K102" s="629"/>
      <c r="L102" s="629"/>
      <c r="M102" s="629"/>
      <c r="N102" s="35"/>
    </row>
    <row r="103" spans="1:14" ht="18.2" customHeight="1" x14ac:dyDescent="0.25">
      <c r="A103" s="628" t="s">
        <v>160</v>
      </c>
      <c r="B103" s="628"/>
      <c r="C103" s="628"/>
      <c r="D103" s="628"/>
      <c r="E103" s="628"/>
      <c r="F103" s="37"/>
      <c r="G103" s="37"/>
      <c r="H103" s="629"/>
      <c r="I103" s="629"/>
      <c r="J103" s="629"/>
      <c r="K103" s="629"/>
      <c r="L103" s="629"/>
      <c r="M103" s="629"/>
      <c r="N103" s="35"/>
    </row>
    <row r="104" spans="1:14" ht="18.2" customHeight="1" x14ac:dyDescent="0.25">
      <c r="A104" s="628" t="s">
        <v>161</v>
      </c>
      <c r="B104" s="628"/>
      <c r="C104" s="628"/>
      <c r="D104" s="628"/>
      <c r="E104" s="628"/>
      <c r="F104" s="37"/>
      <c r="G104" s="37"/>
      <c r="H104" s="629"/>
      <c r="I104" s="629"/>
      <c r="J104" s="629"/>
      <c r="K104" s="629"/>
      <c r="L104" s="629"/>
      <c r="M104" s="629"/>
      <c r="N104" s="35"/>
    </row>
    <row r="105" spans="1:14" ht="18.2" customHeight="1" x14ac:dyDescent="0.25">
      <c r="A105" s="628" t="s">
        <v>162</v>
      </c>
      <c r="B105" s="628"/>
      <c r="C105" s="628"/>
      <c r="D105" s="628"/>
      <c r="E105" s="628"/>
      <c r="F105" s="37"/>
      <c r="G105" s="37"/>
      <c r="H105" s="629"/>
      <c r="I105" s="629"/>
      <c r="J105" s="629"/>
      <c r="K105" s="629"/>
      <c r="L105" s="629"/>
      <c r="M105" s="629"/>
      <c r="N105" s="35"/>
    </row>
    <row r="106" spans="1:14" ht="18.2" customHeight="1" x14ac:dyDescent="0.25">
      <c r="A106" s="628"/>
      <c r="B106" s="628"/>
      <c r="C106" s="628"/>
      <c r="D106" s="628"/>
      <c r="E106" s="628"/>
      <c r="F106" s="37"/>
      <c r="G106" s="37"/>
      <c r="H106" s="629"/>
      <c r="I106" s="629"/>
      <c r="J106" s="629"/>
      <c r="K106" s="629"/>
      <c r="L106" s="629"/>
      <c r="M106" s="629"/>
      <c r="N106" s="35"/>
    </row>
    <row r="107" spans="1:14" ht="18.2" customHeight="1" x14ac:dyDescent="0.25">
      <c r="A107" s="628" t="s">
        <v>163</v>
      </c>
      <c r="B107" s="628"/>
      <c r="C107" s="628"/>
      <c r="D107" s="628"/>
      <c r="E107" s="628"/>
      <c r="F107" s="37"/>
      <c r="G107" s="37"/>
      <c r="H107" s="629"/>
      <c r="I107" s="629"/>
      <c r="J107" s="629"/>
      <c r="K107" s="629"/>
      <c r="L107" s="629"/>
      <c r="M107" s="629"/>
      <c r="N107" s="35"/>
    </row>
    <row r="108" spans="1:14" ht="18.2" customHeight="1" x14ac:dyDescent="0.25">
      <c r="A108" s="628" t="s">
        <v>164</v>
      </c>
      <c r="B108" s="628"/>
      <c r="C108" s="628"/>
      <c r="D108" s="628"/>
      <c r="E108" s="628"/>
      <c r="F108" s="37"/>
      <c r="G108" s="37"/>
      <c r="H108" s="629"/>
      <c r="I108" s="629"/>
      <c r="J108" s="629"/>
      <c r="K108" s="629"/>
      <c r="L108" s="629"/>
      <c r="M108" s="629"/>
      <c r="N108" s="35"/>
    </row>
    <row r="109" spans="1:14" ht="18.2" customHeight="1" x14ac:dyDescent="0.25">
      <c r="A109" s="628" t="s">
        <v>165</v>
      </c>
      <c r="B109" s="628"/>
      <c r="C109" s="628"/>
      <c r="D109" s="628"/>
      <c r="E109" s="628"/>
      <c r="F109" s="37"/>
      <c r="G109" s="37"/>
      <c r="H109" s="629"/>
      <c r="I109" s="629"/>
      <c r="J109" s="629"/>
      <c r="K109" s="629"/>
      <c r="L109" s="629"/>
      <c r="M109" s="629"/>
      <c r="N109" s="35"/>
    </row>
    <row r="110" spans="1:14" ht="18.2" customHeight="1" x14ac:dyDescent="0.25">
      <c r="A110" s="628" t="s">
        <v>166</v>
      </c>
      <c r="B110" s="628"/>
      <c r="C110" s="628"/>
      <c r="D110" s="628"/>
      <c r="E110" s="628"/>
      <c r="F110" s="37"/>
      <c r="G110" s="37"/>
      <c r="H110" s="629"/>
      <c r="I110" s="629"/>
      <c r="J110" s="629"/>
      <c r="K110" s="629"/>
      <c r="L110" s="629"/>
      <c r="M110" s="629"/>
      <c r="N110" s="35"/>
    </row>
    <row r="111" spans="1:14" ht="18.2" customHeight="1" x14ac:dyDescent="0.25">
      <c r="A111" s="628"/>
      <c r="B111" s="628"/>
      <c r="C111" s="628"/>
      <c r="D111" s="628"/>
      <c r="E111" s="628"/>
      <c r="F111" s="37"/>
      <c r="G111" s="37"/>
      <c r="H111" s="629"/>
      <c r="I111" s="629"/>
      <c r="J111" s="629"/>
      <c r="K111" s="629"/>
      <c r="L111" s="629"/>
      <c r="M111" s="629"/>
      <c r="N111" s="35"/>
    </row>
    <row r="112" spans="1:14" ht="18.2" customHeight="1" x14ac:dyDescent="0.25">
      <c r="A112" s="628" t="s">
        <v>167</v>
      </c>
      <c r="B112" s="628"/>
      <c r="C112" s="628"/>
      <c r="D112" s="628"/>
      <c r="E112" s="628"/>
      <c r="F112" s="37"/>
      <c r="G112" s="37"/>
      <c r="H112" s="629"/>
      <c r="I112" s="629"/>
      <c r="J112" s="629"/>
      <c r="K112" s="629"/>
      <c r="L112" s="629"/>
      <c r="M112" s="629"/>
      <c r="N112" s="35"/>
    </row>
    <row r="113" spans="1:14" ht="18.2" customHeight="1" x14ac:dyDescent="0.25">
      <c r="A113" s="628" t="s">
        <v>168</v>
      </c>
      <c r="B113" s="628"/>
      <c r="C113" s="628"/>
      <c r="D113" s="628"/>
      <c r="E113" s="628"/>
      <c r="F113" s="37"/>
      <c r="G113" s="37"/>
      <c r="H113" s="629"/>
      <c r="I113" s="629"/>
      <c r="J113" s="629"/>
      <c r="K113" s="629"/>
      <c r="L113" s="629"/>
      <c r="M113" s="629"/>
      <c r="N113" s="35"/>
    </row>
    <row r="114" spans="1:14" ht="18.2" customHeight="1" x14ac:dyDescent="0.25">
      <c r="A114" s="628" t="s">
        <v>169</v>
      </c>
      <c r="B114" s="628"/>
      <c r="C114" s="628"/>
      <c r="D114" s="628"/>
      <c r="E114" s="628"/>
      <c r="F114" s="37"/>
      <c r="G114" s="37"/>
      <c r="H114" s="629"/>
      <c r="I114" s="629"/>
      <c r="J114" s="629"/>
      <c r="K114" s="629"/>
      <c r="L114" s="629"/>
      <c r="M114" s="629"/>
      <c r="N114" s="35"/>
    </row>
    <row r="115" spans="1:14" ht="18.2" customHeight="1" x14ac:dyDescent="0.25">
      <c r="A115" s="628" t="s">
        <v>170</v>
      </c>
      <c r="B115" s="628"/>
      <c r="C115" s="628"/>
      <c r="D115" s="628"/>
      <c r="E115" s="628"/>
      <c r="F115" s="37"/>
      <c r="G115" s="37"/>
      <c r="H115" s="629"/>
      <c r="I115" s="629"/>
      <c r="J115" s="629"/>
      <c r="K115" s="629"/>
      <c r="L115" s="629"/>
      <c r="M115" s="629"/>
      <c r="N115" s="35"/>
    </row>
    <row r="116" spans="1:14" ht="18.2" customHeight="1" x14ac:dyDescent="0.25">
      <c r="A116" s="182"/>
      <c r="B116" s="182"/>
      <c r="C116" s="182"/>
      <c r="D116" s="182"/>
      <c r="E116" s="328"/>
      <c r="F116" s="327"/>
      <c r="G116" s="327"/>
      <c r="H116" s="330"/>
      <c r="I116" s="331"/>
      <c r="J116" s="331"/>
      <c r="K116" s="331"/>
      <c r="L116" s="331"/>
      <c r="M116" s="332"/>
      <c r="N116" s="35"/>
    </row>
    <row r="117" spans="1:14" ht="18.2" customHeight="1" x14ac:dyDescent="0.25">
      <c r="A117" s="182" t="s">
        <v>171</v>
      </c>
      <c r="B117" s="182"/>
      <c r="C117" s="182"/>
      <c r="D117" s="182"/>
      <c r="E117" s="328"/>
      <c r="F117" s="327"/>
      <c r="G117" s="327"/>
      <c r="H117" s="330"/>
      <c r="I117" s="331"/>
      <c r="J117" s="331"/>
      <c r="K117" s="331"/>
      <c r="L117" s="331"/>
      <c r="M117" s="332"/>
      <c r="N117" s="35"/>
    </row>
    <row r="118" spans="1:14" ht="18.2" customHeight="1" x14ac:dyDescent="0.25">
      <c r="A118" s="628" t="s">
        <v>172</v>
      </c>
      <c r="B118" s="628"/>
      <c r="C118" s="628"/>
      <c r="D118" s="628"/>
      <c r="E118" s="628"/>
      <c r="F118" s="37"/>
      <c r="G118" s="37"/>
      <c r="H118" s="629"/>
      <c r="I118" s="629"/>
      <c r="J118" s="629"/>
      <c r="K118" s="629"/>
      <c r="L118" s="629"/>
      <c r="M118" s="629"/>
      <c r="N118" s="35"/>
    </row>
    <row r="119" spans="1:14" ht="18.2" customHeight="1" x14ac:dyDescent="0.25">
      <c r="A119" s="628" t="s">
        <v>173</v>
      </c>
      <c r="B119" s="628"/>
      <c r="C119" s="628"/>
      <c r="D119" s="628"/>
      <c r="E119" s="628"/>
      <c r="F119" s="37"/>
      <c r="G119" s="37"/>
      <c r="H119" s="629"/>
      <c r="I119" s="629"/>
      <c r="J119" s="629"/>
      <c r="K119" s="629"/>
      <c r="L119" s="629"/>
      <c r="M119" s="629"/>
      <c r="N119" s="35"/>
    </row>
    <row r="120" spans="1:14" ht="18.2" customHeight="1" x14ac:dyDescent="0.25">
      <c r="A120" s="628" t="s">
        <v>174</v>
      </c>
      <c r="B120" s="628"/>
      <c r="C120" s="628"/>
      <c r="D120" s="628"/>
      <c r="E120" s="628"/>
      <c r="F120" s="37"/>
      <c r="G120" s="37"/>
      <c r="H120" s="629"/>
      <c r="I120" s="629"/>
      <c r="J120" s="629"/>
      <c r="K120" s="629"/>
      <c r="L120" s="629"/>
      <c r="M120" s="629"/>
      <c r="N120" s="35"/>
    </row>
    <row r="121" spans="1:14" ht="18.2" customHeight="1" x14ac:dyDescent="0.25">
      <c r="A121" s="628"/>
      <c r="B121" s="628"/>
      <c r="C121" s="628"/>
      <c r="D121" s="628"/>
      <c r="E121" s="628"/>
      <c r="F121" s="37"/>
      <c r="G121" s="37"/>
      <c r="H121" s="629"/>
      <c r="I121" s="629"/>
      <c r="J121" s="629"/>
      <c r="K121" s="629"/>
      <c r="L121" s="629"/>
      <c r="M121" s="629"/>
      <c r="N121" s="35"/>
    </row>
    <row r="122" spans="1:14" ht="18.2" customHeight="1" x14ac:dyDescent="0.25">
      <c r="A122" s="628" t="s">
        <v>175</v>
      </c>
      <c r="B122" s="628"/>
      <c r="C122" s="628"/>
      <c r="D122" s="628"/>
      <c r="E122" s="628"/>
      <c r="F122" s="37"/>
      <c r="G122" s="37"/>
      <c r="H122" s="629"/>
      <c r="I122" s="629"/>
      <c r="J122" s="629"/>
      <c r="K122" s="629"/>
      <c r="L122" s="629"/>
      <c r="M122" s="629"/>
      <c r="N122" s="35"/>
    </row>
    <row r="123" spans="1:14" ht="18.2" customHeight="1" x14ac:dyDescent="0.25">
      <c r="A123" s="628" t="s">
        <v>176</v>
      </c>
      <c r="B123" s="628"/>
      <c r="C123" s="628"/>
      <c r="D123" s="628"/>
      <c r="E123" s="628"/>
      <c r="F123" s="37"/>
      <c r="G123" s="37"/>
      <c r="H123" s="629"/>
      <c r="I123" s="629"/>
      <c r="J123" s="629"/>
      <c r="K123" s="629"/>
      <c r="L123" s="629"/>
      <c r="M123" s="629"/>
      <c r="N123" s="35"/>
    </row>
    <row r="124" spans="1:14" ht="18.2" customHeight="1" x14ac:dyDescent="0.25">
      <c r="A124" s="628" t="s">
        <v>177</v>
      </c>
      <c r="B124" s="628"/>
      <c r="C124" s="628"/>
      <c r="D124" s="628"/>
      <c r="E124" s="628"/>
      <c r="F124" s="37"/>
      <c r="G124" s="37"/>
      <c r="H124" s="629"/>
      <c r="I124" s="629"/>
      <c r="J124" s="629"/>
      <c r="K124" s="629"/>
      <c r="L124" s="629"/>
      <c r="M124" s="629"/>
      <c r="N124" s="35"/>
    </row>
    <row r="125" spans="1:14" ht="18.2" customHeight="1" x14ac:dyDescent="0.25">
      <c r="A125" s="628" t="s">
        <v>178</v>
      </c>
      <c r="B125" s="628"/>
      <c r="C125" s="628"/>
      <c r="D125" s="628"/>
      <c r="E125" s="628"/>
      <c r="F125" s="37"/>
      <c r="G125" s="37"/>
      <c r="H125" s="629"/>
      <c r="I125" s="629"/>
      <c r="J125" s="629"/>
      <c r="K125" s="629"/>
      <c r="L125" s="629"/>
      <c r="M125" s="629"/>
      <c r="N125" s="35"/>
    </row>
    <row r="126" spans="1:14" ht="18.2" customHeight="1" x14ac:dyDescent="0.25">
      <c r="A126" s="628"/>
      <c r="B126" s="628"/>
      <c r="C126" s="628"/>
      <c r="D126" s="628"/>
      <c r="E126" s="628"/>
      <c r="F126" s="37"/>
      <c r="G126" s="37"/>
      <c r="H126" s="629"/>
      <c r="I126" s="629"/>
      <c r="J126" s="629"/>
      <c r="K126" s="629"/>
      <c r="L126" s="629"/>
      <c r="M126" s="629"/>
      <c r="N126" s="35"/>
    </row>
    <row r="127" spans="1:14" ht="18.2" customHeight="1" x14ac:dyDescent="0.25">
      <c r="A127" s="628" t="s">
        <v>179</v>
      </c>
      <c r="B127" s="628"/>
      <c r="C127" s="628"/>
      <c r="D127" s="628"/>
      <c r="E127" s="628"/>
      <c r="F127" s="37"/>
      <c r="G127" s="37"/>
      <c r="H127" s="629"/>
      <c r="I127" s="629"/>
      <c r="J127" s="629"/>
      <c r="K127" s="629"/>
      <c r="L127" s="629"/>
      <c r="M127" s="629"/>
      <c r="N127" s="35"/>
    </row>
    <row r="128" spans="1:14" ht="18.2" customHeight="1" x14ac:dyDescent="0.25">
      <c r="A128" s="628" t="s">
        <v>180</v>
      </c>
      <c r="B128" s="628"/>
      <c r="C128" s="628"/>
      <c r="D128" s="628"/>
      <c r="E128" s="628"/>
      <c r="F128" s="37"/>
      <c r="G128" s="37"/>
      <c r="H128" s="629"/>
      <c r="I128" s="629"/>
      <c r="J128" s="629"/>
      <c r="K128" s="629"/>
      <c r="L128" s="629"/>
      <c r="M128" s="629"/>
      <c r="N128" s="35"/>
    </row>
    <row r="129" spans="1:14" ht="18.2" customHeight="1" x14ac:dyDescent="0.25">
      <c r="A129" s="628" t="s">
        <v>181</v>
      </c>
      <c r="B129" s="628"/>
      <c r="C129" s="628"/>
      <c r="D129" s="628"/>
      <c r="E129" s="628"/>
      <c r="F129" s="37"/>
      <c r="G129" s="37"/>
      <c r="H129" s="629"/>
      <c r="I129" s="629"/>
      <c r="J129" s="629"/>
      <c r="K129" s="629"/>
      <c r="L129" s="629"/>
      <c r="M129" s="629"/>
      <c r="N129" s="35"/>
    </row>
    <row r="130" spans="1:14" ht="18.2" customHeight="1" x14ac:dyDescent="0.25">
      <c r="A130" s="628"/>
      <c r="B130" s="628"/>
      <c r="C130" s="628"/>
      <c r="D130" s="628"/>
      <c r="E130" s="628"/>
      <c r="F130" s="37"/>
      <c r="G130" s="37"/>
      <c r="H130" s="629"/>
      <c r="I130" s="629"/>
      <c r="J130" s="629"/>
      <c r="K130" s="629"/>
      <c r="L130" s="629"/>
      <c r="M130" s="629"/>
      <c r="N130" s="35"/>
    </row>
    <row r="131" spans="1:14" ht="64.150000000000006" customHeight="1" x14ac:dyDescent="0.25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</row>
    <row r="132" spans="1:14" ht="3.75" customHeight="1" x14ac:dyDescent="0.25">
      <c r="A132" s="35"/>
      <c r="B132" s="35"/>
      <c r="C132" s="35"/>
      <c r="D132" s="35"/>
      <c r="E132" s="636"/>
      <c r="F132" s="636"/>
      <c r="G132" s="636"/>
      <c r="H132" s="636"/>
      <c r="I132" s="35"/>
      <c r="J132" s="35"/>
      <c r="K132" s="35"/>
      <c r="L132" s="637"/>
      <c r="M132" s="637"/>
      <c r="N132" s="637"/>
    </row>
    <row r="133" spans="1:14" ht="9.75" customHeight="1" x14ac:dyDescent="0.25">
      <c r="A133" s="634"/>
      <c r="B133" s="634"/>
      <c r="C133" s="35"/>
      <c r="D133" s="35"/>
      <c r="E133" s="636"/>
      <c r="F133" s="636"/>
      <c r="G133" s="636"/>
      <c r="H133" s="636"/>
      <c r="I133" s="35"/>
      <c r="J133" s="35"/>
      <c r="K133" s="35"/>
      <c r="L133" s="637"/>
      <c r="M133" s="637"/>
      <c r="N133" s="637"/>
    </row>
    <row r="134" spans="1:14" ht="6.75" customHeight="1" x14ac:dyDescent="0.25">
      <c r="A134" s="634"/>
      <c r="B134" s="634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</row>
  </sheetData>
  <sheetProtection algorithmName="SHA-512" hashValue="bcCWpPjO0dMQsqiE7CizCtd3CnKuPMPnqxEgN80MSEB5r9+vv4t8DT36W11CJhtZJUndcy4JvM8ebJUwzdJoSw==" saltValue="QPqo1R5qgTCrQFUJH+GqCw==" spinCount="100000" sheet="1" objects="1" scenarios="1"/>
  <mergeCells count="251">
    <mergeCell ref="A130:E130"/>
    <mergeCell ref="H130:M130"/>
    <mergeCell ref="E132:H133"/>
    <mergeCell ref="L132:N133"/>
    <mergeCell ref="A133:B134"/>
    <mergeCell ref="A127:E127"/>
    <mergeCell ref="H127:M127"/>
    <mergeCell ref="A128:E128"/>
    <mergeCell ref="H128:M128"/>
    <mergeCell ref="A129:E129"/>
    <mergeCell ref="H129:M129"/>
    <mergeCell ref="A124:E124"/>
    <mergeCell ref="H124:M124"/>
    <mergeCell ref="A125:E125"/>
    <mergeCell ref="H125:M125"/>
    <mergeCell ref="A126:E126"/>
    <mergeCell ref="H126:M126"/>
    <mergeCell ref="A121:E121"/>
    <mergeCell ref="H121:M121"/>
    <mergeCell ref="A122:E122"/>
    <mergeCell ref="H122:M122"/>
    <mergeCell ref="A123:E123"/>
    <mergeCell ref="H123:M123"/>
    <mergeCell ref="A118:E118"/>
    <mergeCell ref="H118:M118"/>
    <mergeCell ref="A119:E119"/>
    <mergeCell ref="H119:M119"/>
    <mergeCell ref="A120:E120"/>
    <mergeCell ref="H120:M120"/>
    <mergeCell ref="A115:E115"/>
    <mergeCell ref="H115:M115"/>
    <mergeCell ref="A112:E112"/>
    <mergeCell ref="H112:M112"/>
    <mergeCell ref="A113:E113"/>
    <mergeCell ref="H113:M113"/>
    <mergeCell ref="A114:E114"/>
    <mergeCell ref="H114:M114"/>
    <mergeCell ref="A109:E109"/>
    <mergeCell ref="H109:M109"/>
    <mergeCell ref="A110:E110"/>
    <mergeCell ref="H110:M110"/>
    <mergeCell ref="A111:E111"/>
    <mergeCell ref="H111:M111"/>
    <mergeCell ref="A106:E106"/>
    <mergeCell ref="H106:M106"/>
    <mergeCell ref="A107:E107"/>
    <mergeCell ref="H107:M107"/>
    <mergeCell ref="A108:E108"/>
    <mergeCell ref="H108:M108"/>
    <mergeCell ref="A103:E103"/>
    <mergeCell ref="H103:M103"/>
    <mergeCell ref="A104:E104"/>
    <mergeCell ref="H104:M104"/>
    <mergeCell ref="A105:E105"/>
    <mergeCell ref="H105:M105"/>
    <mergeCell ref="A100:E100"/>
    <mergeCell ref="H100:M100"/>
    <mergeCell ref="A101:E101"/>
    <mergeCell ref="H101:M101"/>
    <mergeCell ref="A102:E102"/>
    <mergeCell ref="H102:M102"/>
    <mergeCell ref="A97:E97"/>
    <mergeCell ref="H97:M97"/>
    <mergeCell ref="A98:E98"/>
    <mergeCell ref="H98:M98"/>
    <mergeCell ref="A99:E99"/>
    <mergeCell ref="H99:M99"/>
    <mergeCell ref="A94:E94"/>
    <mergeCell ref="H94:M94"/>
    <mergeCell ref="A95:E95"/>
    <mergeCell ref="H95:M95"/>
    <mergeCell ref="A96:E96"/>
    <mergeCell ref="H96:M96"/>
    <mergeCell ref="A91:E91"/>
    <mergeCell ref="H91:M91"/>
    <mergeCell ref="A92:E92"/>
    <mergeCell ref="H92:M92"/>
    <mergeCell ref="A93:E93"/>
    <mergeCell ref="H93:M93"/>
    <mergeCell ref="A88:E88"/>
    <mergeCell ref="H88:M88"/>
    <mergeCell ref="A89:E89"/>
    <mergeCell ref="H89:M89"/>
    <mergeCell ref="A90:E90"/>
    <mergeCell ref="H90:M90"/>
    <mergeCell ref="A85:E85"/>
    <mergeCell ref="H85:M85"/>
    <mergeCell ref="A86:E86"/>
    <mergeCell ref="H86:M86"/>
    <mergeCell ref="A87:E87"/>
    <mergeCell ref="H87:M87"/>
    <mergeCell ref="A82:E82"/>
    <mergeCell ref="H82:M82"/>
    <mergeCell ref="A83:E83"/>
    <mergeCell ref="H83:M83"/>
    <mergeCell ref="A84:E84"/>
    <mergeCell ref="H84:M84"/>
    <mergeCell ref="A79:E79"/>
    <mergeCell ref="H79:M79"/>
    <mergeCell ref="A80:E80"/>
    <mergeCell ref="H80:M80"/>
    <mergeCell ref="A81:E81"/>
    <mergeCell ref="H81:M81"/>
    <mergeCell ref="A76:E76"/>
    <mergeCell ref="H76:M76"/>
    <mergeCell ref="A77:E77"/>
    <mergeCell ref="H77:M77"/>
    <mergeCell ref="A78:E78"/>
    <mergeCell ref="H78:M78"/>
    <mergeCell ref="A73:E73"/>
    <mergeCell ref="H73:M73"/>
    <mergeCell ref="A74:E74"/>
    <mergeCell ref="H74:M74"/>
    <mergeCell ref="A75:E75"/>
    <mergeCell ref="H75:M75"/>
    <mergeCell ref="A70:E70"/>
    <mergeCell ref="H70:M70"/>
    <mergeCell ref="A71:E71"/>
    <mergeCell ref="H71:M71"/>
    <mergeCell ref="A72:E72"/>
    <mergeCell ref="H72:M72"/>
    <mergeCell ref="A67:E67"/>
    <mergeCell ref="H67:M67"/>
    <mergeCell ref="A68:E68"/>
    <mergeCell ref="H68:M68"/>
    <mergeCell ref="A69:E69"/>
    <mergeCell ref="H69:M69"/>
    <mergeCell ref="A64:E64"/>
    <mergeCell ref="H64:M64"/>
    <mergeCell ref="A65:E65"/>
    <mergeCell ref="H65:M65"/>
    <mergeCell ref="A66:E66"/>
    <mergeCell ref="H66:M66"/>
    <mergeCell ref="A61:E61"/>
    <mergeCell ref="H61:M61"/>
    <mergeCell ref="A62:E62"/>
    <mergeCell ref="H62:M62"/>
    <mergeCell ref="A63:E63"/>
    <mergeCell ref="H63:M63"/>
    <mergeCell ref="A58:E58"/>
    <mergeCell ref="H58:M58"/>
    <mergeCell ref="A59:E59"/>
    <mergeCell ref="H59:M59"/>
    <mergeCell ref="A60:E60"/>
    <mergeCell ref="H60:M60"/>
    <mergeCell ref="A55:E55"/>
    <mergeCell ref="H55:M55"/>
    <mergeCell ref="A56:E56"/>
    <mergeCell ref="H56:M56"/>
    <mergeCell ref="A57:E57"/>
    <mergeCell ref="H57:M57"/>
    <mergeCell ref="A52:E52"/>
    <mergeCell ref="H52:M52"/>
    <mergeCell ref="A53:E53"/>
    <mergeCell ref="H53:M53"/>
    <mergeCell ref="A54:E54"/>
    <mergeCell ref="H54:M54"/>
    <mergeCell ref="A49:E49"/>
    <mergeCell ref="H49:M49"/>
    <mergeCell ref="A50:E50"/>
    <mergeCell ref="H50:M50"/>
    <mergeCell ref="A51:E51"/>
    <mergeCell ref="H51:M51"/>
    <mergeCell ref="A46:E46"/>
    <mergeCell ref="H46:M46"/>
    <mergeCell ref="A47:E47"/>
    <mergeCell ref="H47:M47"/>
    <mergeCell ref="A48:E48"/>
    <mergeCell ref="H48:M48"/>
    <mergeCell ref="A43:E43"/>
    <mergeCell ref="H43:M43"/>
    <mergeCell ref="A44:E44"/>
    <mergeCell ref="H44:M44"/>
    <mergeCell ref="A45:E45"/>
    <mergeCell ref="H45:M45"/>
    <mergeCell ref="A40:E40"/>
    <mergeCell ref="H40:M40"/>
    <mergeCell ref="A41:E41"/>
    <mergeCell ref="H41:M41"/>
    <mergeCell ref="A42:E42"/>
    <mergeCell ref="H42:M42"/>
    <mergeCell ref="A37:E37"/>
    <mergeCell ref="H37:M37"/>
    <mergeCell ref="A38:E38"/>
    <mergeCell ref="H38:M38"/>
    <mergeCell ref="A39:E39"/>
    <mergeCell ref="H39:M39"/>
    <mergeCell ref="A34:E34"/>
    <mergeCell ref="H34:M34"/>
    <mergeCell ref="A35:E35"/>
    <mergeCell ref="H35:M35"/>
    <mergeCell ref="A36:E36"/>
    <mergeCell ref="H36:M36"/>
    <mergeCell ref="A31:E31"/>
    <mergeCell ref="H31:M31"/>
    <mergeCell ref="A32:E32"/>
    <mergeCell ref="H32:M32"/>
    <mergeCell ref="A33:E33"/>
    <mergeCell ref="H33:M33"/>
    <mergeCell ref="A28:E28"/>
    <mergeCell ref="H28:M28"/>
    <mergeCell ref="A29:E29"/>
    <mergeCell ref="H29:M29"/>
    <mergeCell ref="A30:E30"/>
    <mergeCell ref="H30:M30"/>
    <mergeCell ref="A25:E25"/>
    <mergeCell ref="H25:M25"/>
    <mergeCell ref="A26:E26"/>
    <mergeCell ref="H26:M26"/>
    <mergeCell ref="A27:E27"/>
    <mergeCell ref="H27:M27"/>
    <mergeCell ref="A22:E22"/>
    <mergeCell ref="H22:M22"/>
    <mergeCell ref="A23:E23"/>
    <mergeCell ref="H23:M23"/>
    <mergeCell ref="A24:E24"/>
    <mergeCell ref="H24:M24"/>
    <mergeCell ref="A19:E19"/>
    <mergeCell ref="H19:M19"/>
    <mergeCell ref="A20:E20"/>
    <mergeCell ref="H20:M20"/>
    <mergeCell ref="A21:E21"/>
    <mergeCell ref="H21:M21"/>
    <mergeCell ref="A16:E16"/>
    <mergeCell ref="H16:M16"/>
    <mergeCell ref="A17:E17"/>
    <mergeCell ref="H17:M17"/>
    <mergeCell ref="A18:E18"/>
    <mergeCell ref="H18:M18"/>
    <mergeCell ref="A13:E13"/>
    <mergeCell ref="H13:M13"/>
    <mergeCell ref="A14:E14"/>
    <mergeCell ref="H14:M14"/>
    <mergeCell ref="A15:E15"/>
    <mergeCell ref="H15:M15"/>
    <mergeCell ref="E5:I5"/>
    <mergeCell ref="A7:N7"/>
    <mergeCell ref="E9:I9"/>
    <mergeCell ref="A11:E11"/>
    <mergeCell ref="H11:M11"/>
    <mergeCell ref="A12:E12"/>
    <mergeCell ref="H12:M12"/>
    <mergeCell ref="B2:C2"/>
    <mergeCell ref="E2:I2"/>
    <mergeCell ref="K2:L2"/>
    <mergeCell ref="M2:N2"/>
    <mergeCell ref="A3:A4"/>
    <mergeCell ref="B3:C4"/>
    <mergeCell ref="E3:I3"/>
    <mergeCell ref="K3:L4"/>
    <mergeCell ref="M3:N3"/>
  </mergeCells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ascieSAB"/>
  <dimension ref="A1:N134"/>
  <sheetViews>
    <sheetView topLeftCell="A98"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630"/>
      <c r="C2" s="630"/>
      <c r="D2" s="35"/>
      <c r="E2" s="631"/>
      <c r="F2" s="631"/>
      <c r="G2" s="631"/>
      <c r="H2" s="631"/>
      <c r="I2" s="631"/>
      <c r="J2" s="35"/>
      <c r="K2" s="630"/>
      <c r="L2" s="630"/>
      <c r="M2" s="632"/>
      <c r="N2" s="632"/>
    </row>
    <row r="3" spans="1:14" ht="12.95" customHeight="1" x14ac:dyDescent="0.25">
      <c r="A3" s="630"/>
      <c r="B3" s="630"/>
      <c r="C3" s="630"/>
      <c r="D3" s="35"/>
      <c r="E3" s="631"/>
      <c r="F3" s="631"/>
      <c r="G3" s="631"/>
      <c r="H3" s="631"/>
      <c r="I3" s="631"/>
      <c r="J3" s="35"/>
      <c r="K3" s="630"/>
      <c r="L3" s="630"/>
      <c r="M3" s="633"/>
      <c r="N3" s="633"/>
    </row>
    <row r="4" spans="1:14" ht="0.75" customHeight="1" x14ac:dyDescent="0.25">
      <c r="A4" s="630"/>
      <c r="B4" s="630"/>
      <c r="C4" s="630"/>
      <c r="D4" s="35"/>
      <c r="E4" s="35"/>
      <c r="F4" s="35"/>
      <c r="G4" s="35"/>
      <c r="H4" s="35"/>
      <c r="I4" s="35"/>
      <c r="J4" s="35"/>
      <c r="K4" s="630"/>
      <c r="L4" s="630"/>
      <c r="M4" s="35"/>
      <c r="N4" s="35"/>
    </row>
    <row r="5" spans="1:14" ht="12.95" customHeight="1" x14ac:dyDescent="0.25">
      <c r="A5" s="35"/>
      <c r="B5" s="35"/>
      <c r="C5" s="35"/>
      <c r="D5" s="35"/>
      <c r="E5" s="631"/>
      <c r="F5" s="631"/>
      <c r="G5" s="631"/>
      <c r="H5" s="631"/>
      <c r="I5" s="631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634"/>
      <c r="B7" s="634"/>
      <c r="C7" s="634"/>
      <c r="D7" s="634"/>
      <c r="E7" s="634"/>
      <c r="F7" s="634"/>
      <c r="G7" s="634"/>
      <c r="H7" s="634"/>
      <c r="I7" s="634"/>
      <c r="J7" s="634"/>
      <c r="K7" s="634"/>
      <c r="L7" s="634"/>
      <c r="M7" s="634"/>
      <c r="N7" s="634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635"/>
      <c r="F9" s="635"/>
      <c r="G9" s="635"/>
      <c r="H9" s="635"/>
      <c r="I9" s="635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626" t="s">
        <v>86</v>
      </c>
      <c r="B11" s="626"/>
      <c r="C11" s="626"/>
      <c r="D11" s="626"/>
      <c r="E11" s="626"/>
      <c r="F11" s="329" t="s">
        <v>330</v>
      </c>
      <c r="G11" s="329" t="s">
        <v>299</v>
      </c>
      <c r="H11" s="627"/>
      <c r="I11" s="627"/>
      <c r="J11" s="627"/>
      <c r="K11" s="627"/>
      <c r="L11" s="627"/>
      <c r="M11" s="627"/>
      <c r="N11" s="35"/>
    </row>
    <row r="12" spans="1:14" ht="18.2" customHeight="1" x14ac:dyDescent="0.25">
      <c r="A12" s="628" t="s">
        <v>87</v>
      </c>
      <c r="B12" s="628"/>
      <c r="C12" s="628"/>
      <c r="D12" s="628"/>
      <c r="E12" s="628"/>
      <c r="F12" s="37"/>
      <c r="G12" s="37"/>
      <c r="H12" s="629"/>
      <c r="I12" s="629"/>
      <c r="J12" s="629"/>
      <c r="K12" s="629"/>
      <c r="L12" s="629"/>
      <c r="M12" s="629"/>
      <c r="N12" s="35"/>
    </row>
    <row r="13" spans="1:14" ht="18.2" customHeight="1" x14ac:dyDescent="0.25">
      <c r="A13" s="628" t="s">
        <v>88</v>
      </c>
      <c r="B13" s="628"/>
      <c r="C13" s="628"/>
      <c r="D13" s="628"/>
      <c r="E13" s="628"/>
      <c r="F13" s="37"/>
      <c r="G13" s="37"/>
      <c r="H13" s="629"/>
      <c r="I13" s="629"/>
      <c r="J13" s="629"/>
      <c r="K13" s="629"/>
      <c r="L13" s="629"/>
      <c r="M13" s="629"/>
      <c r="N13" s="35"/>
    </row>
    <row r="14" spans="1:14" ht="18.2" customHeight="1" x14ac:dyDescent="0.25">
      <c r="A14" s="628" t="s">
        <v>89</v>
      </c>
      <c r="B14" s="628"/>
      <c r="C14" s="628"/>
      <c r="D14" s="628"/>
      <c r="E14" s="628"/>
      <c r="F14" s="37"/>
      <c r="G14" s="37"/>
      <c r="H14" s="629"/>
      <c r="I14" s="629"/>
      <c r="J14" s="629"/>
      <c r="K14" s="629"/>
      <c r="L14" s="629"/>
      <c r="M14" s="629"/>
      <c r="N14" s="35"/>
    </row>
    <row r="15" spans="1:14" ht="18.2" customHeight="1" x14ac:dyDescent="0.25">
      <c r="A15" s="628" t="s">
        <v>90</v>
      </c>
      <c r="B15" s="628"/>
      <c r="C15" s="628"/>
      <c r="D15" s="628"/>
      <c r="E15" s="628"/>
      <c r="F15" s="37"/>
      <c r="G15" s="37"/>
      <c r="H15" s="629"/>
      <c r="I15" s="629"/>
      <c r="J15" s="629"/>
      <c r="K15" s="629"/>
      <c r="L15" s="629"/>
      <c r="M15" s="629"/>
      <c r="N15" s="35"/>
    </row>
    <row r="16" spans="1:14" ht="18.2" customHeight="1" x14ac:dyDescent="0.25">
      <c r="A16" s="628"/>
      <c r="B16" s="628"/>
      <c r="C16" s="628"/>
      <c r="D16" s="628"/>
      <c r="E16" s="628"/>
      <c r="F16" s="37"/>
      <c r="G16" s="37"/>
      <c r="H16" s="629"/>
      <c r="I16" s="629"/>
      <c r="J16" s="629"/>
      <c r="K16" s="629"/>
      <c r="L16" s="629"/>
      <c r="M16" s="629"/>
      <c r="N16" s="35"/>
    </row>
    <row r="17" spans="1:14" ht="18.2" customHeight="1" x14ac:dyDescent="0.25">
      <c r="A17" s="628" t="s">
        <v>91</v>
      </c>
      <c r="B17" s="628"/>
      <c r="C17" s="628"/>
      <c r="D17" s="628"/>
      <c r="E17" s="628"/>
      <c r="F17" s="37"/>
      <c r="G17" s="37"/>
      <c r="H17" s="629"/>
      <c r="I17" s="629"/>
      <c r="J17" s="629"/>
      <c r="K17" s="629"/>
      <c r="L17" s="629"/>
      <c r="M17" s="629"/>
      <c r="N17" s="35"/>
    </row>
    <row r="18" spans="1:14" ht="18.2" customHeight="1" x14ac:dyDescent="0.25">
      <c r="A18" s="628" t="s">
        <v>92</v>
      </c>
      <c r="B18" s="628"/>
      <c r="C18" s="628"/>
      <c r="D18" s="628"/>
      <c r="E18" s="628"/>
      <c r="F18" s="37"/>
      <c r="G18" s="37"/>
      <c r="H18" s="629"/>
      <c r="I18" s="629"/>
      <c r="J18" s="629"/>
      <c r="K18" s="629"/>
      <c r="L18" s="629"/>
      <c r="M18" s="629"/>
      <c r="N18" s="35"/>
    </row>
    <row r="19" spans="1:14" ht="18.2" customHeight="1" x14ac:dyDescent="0.25">
      <c r="A19" s="628" t="s">
        <v>93</v>
      </c>
      <c r="B19" s="628"/>
      <c r="C19" s="628"/>
      <c r="D19" s="628"/>
      <c r="E19" s="628"/>
      <c r="F19" s="37"/>
      <c r="G19" s="37"/>
      <c r="H19" s="629"/>
      <c r="I19" s="629"/>
      <c r="J19" s="629"/>
      <c r="K19" s="629"/>
      <c r="L19" s="629"/>
      <c r="M19" s="629"/>
      <c r="N19" s="35"/>
    </row>
    <row r="20" spans="1:14" ht="18.2" customHeight="1" x14ac:dyDescent="0.25">
      <c r="A20" s="628" t="s">
        <v>94</v>
      </c>
      <c r="B20" s="628"/>
      <c r="C20" s="628"/>
      <c r="D20" s="628"/>
      <c r="E20" s="628"/>
      <c r="F20" s="37"/>
      <c r="G20" s="37"/>
      <c r="H20" s="629"/>
      <c r="I20" s="629"/>
      <c r="J20" s="629"/>
      <c r="K20" s="629"/>
      <c r="L20" s="629"/>
      <c r="M20" s="629"/>
      <c r="N20" s="35"/>
    </row>
    <row r="21" spans="1:14" ht="18.2" customHeight="1" x14ac:dyDescent="0.25">
      <c r="A21" s="628"/>
      <c r="B21" s="628"/>
      <c r="C21" s="628"/>
      <c r="D21" s="628"/>
      <c r="E21" s="628"/>
      <c r="F21" s="37"/>
      <c r="G21" s="37"/>
      <c r="H21" s="629"/>
      <c r="I21" s="629"/>
      <c r="J21" s="629"/>
      <c r="K21" s="629"/>
      <c r="L21" s="629"/>
      <c r="M21" s="629"/>
      <c r="N21" s="35"/>
    </row>
    <row r="22" spans="1:14" ht="18.2" customHeight="1" x14ac:dyDescent="0.25">
      <c r="A22" s="628" t="s">
        <v>95</v>
      </c>
      <c r="B22" s="628"/>
      <c r="C22" s="628"/>
      <c r="D22" s="628"/>
      <c r="E22" s="628"/>
      <c r="F22" s="37"/>
      <c r="G22" s="37"/>
      <c r="H22" s="629"/>
      <c r="I22" s="629"/>
      <c r="J22" s="629"/>
      <c r="K22" s="629"/>
      <c r="L22" s="629"/>
      <c r="M22" s="629"/>
      <c r="N22" s="35"/>
    </row>
    <row r="23" spans="1:14" ht="18.2" customHeight="1" x14ac:dyDescent="0.25">
      <c r="A23" s="628" t="s">
        <v>96</v>
      </c>
      <c r="B23" s="628"/>
      <c r="C23" s="628"/>
      <c r="D23" s="628"/>
      <c r="E23" s="628"/>
      <c r="F23" s="37"/>
      <c r="G23" s="37"/>
      <c r="H23" s="629"/>
      <c r="I23" s="629"/>
      <c r="J23" s="629"/>
      <c r="K23" s="629"/>
      <c r="L23" s="629"/>
      <c r="M23" s="629"/>
      <c r="N23" s="35"/>
    </row>
    <row r="24" spans="1:14" ht="18.2" customHeight="1" x14ac:dyDescent="0.25">
      <c r="A24" s="628" t="s">
        <v>97</v>
      </c>
      <c r="B24" s="628"/>
      <c r="C24" s="628"/>
      <c r="D24" s="628"/>
      <c r="E24" s="628"/>
      <c r="F24" s="37"/>
      <c r="G24" s="37"/>
      <c r="H24" s="629"/>
      <c r="I24" s="629"/>
      <c r="J24" s="629"/>
      <c r="K24" s="629"/>
      <c r="L24" s="629"/>
      <c r="M24" s="629"/>
      <c r="N24" s="35"/>
    </row>
    <row r="25" spans="1:14" ht="18.2" customHeight="1" x14ac:dyDescent="0.25">
      <c r="A25" s="628" t="s">
        <v>98</v>
      </c>
      <c r="B25" s="628"/>
      <c r="C25" s="628"/>
      <c r="D25" s="628"/>
      <c r="E25" s="628"/>
      <c r="F25" s="37"/>
      <c r="G25" s="37"/>
      <c r="H25" s="629"/>
      <c r="I25" s="629"/>
      <c r="J25" s="629"/>
      <c r="K25" s="629"/>
      <c r="L25" s="629"/>
      <c r="M25" s="629"/>
      <c r="N25" s="35"/>
    </row>
    <row r="26" spans="1:14" ht="18.2" customHeight="1" x14ac:dyDescent="0.25">
      <c r="A26" s="628"/>
      <c r="B26" s="628"/>
      <c r="C26" s="628"/>
      <c r="D26" s="628"/>
      <c r="E26" s="628"/>
      <c r="F26" s="37"/>
      <c r="G26" s="37"/>
      <c r="H26" s="629"/>
      <c r="I26" s="629"/>
      <c r="J26" s="629"/>
      <c r="K26" s="629"/>
      <c r="L26" s="629"/>
      <c r="M26" s="629"/>
      <c r="N26" s="35"/>
    </row>
    <row r="27" spans="1:14" ht="18.2" customHeight="1" x14ac:dyDescent="0.25">
      <c r="A27" s="628" t="s">
        <v>99</v>
      </c>
      <c r="B27" s="628"/>
      <c r="C27" s="628"/>
      <c r="D27" s="628"/>
      <c r="E27" s="628"/>
      <c r="F27" s="37"/>
      <c r="G27" s="37"/>
      <c r="H27" s="629"/>
      <c r="I27" s="629"/>
      <c r="J27" s="629"/>
      <c r="K27" s="629"/>
      <c r="L27" s="629"/>
      <c r="M27" s="629"/>
      <c r="N27" s="35"/>
    </row>
    <row r="28" spans="1:14" ht="18.2" customHeight="1" x14ac:dyDescent="0.25">
      <c r="A28" s="628" t="s">
        <v>100</v>
      </c>
      <c r="B28" s="628"/>
      <c r="C28" s="628"/>
      <c r="D28" s="628"/>
      <c r="E28" s="628"/>
      <c r="F28" s="37"/>
      <c r="G28" s="37"/>
      <c r="H28" s="629"/>
      <c r="I28" s="629"/>
      <c r="J28" s="629"/>
      <c r="K28" s="629"/>
      <c r="L28" s="629"/>
      <c r="M28" s="629"/>
      <c r="N28" s="35"/>
    </row>
    <row r="29" spans="1:14" ht="18.2" customHeight="1" x14ac:dyDescent="0.25">
      <c r="A29" s="628" t="s">
        <v>101</v>
      </c>
      <c r="B29" s="628"/>
      <c r="C29" s="628"/>
      <c r="D29" s="628"/>
      <c r="E29" s="628"/>
      <c r="F29" s="37"/>
      <c r="G29" s="37"/>
      <c r="H29" s="629"/>
      <c r="I29" s="629"/>
      <c r="J29" s="629"/>
      <c r="K29" s="629"/>
      <c r="L29" s="629"/>
      <c r="M29" s="629"/>
      <c r="N29" s="35"/>
    </row>
    <row r="30" spans="1:14" ht="18.2" customHeight="1" x14ac:dyDescent="0.25">
      <c r="A30" s="628" t="s">
        <v>102</v>
      </c>
      <c r="B30" s="628"/>
      <c r="C30" s="628"/>
      <c r="D30" s="628"/>
      <c r="E30" s="628"/>
      <c r="F30" s="37"/>
      <c r="G30" s="37"/>
      <c r="H30" s="629"/>
      <c r="I30" s="629"/>
      <c r="J30" s="629"/>
      <c r="K30" s="629"/>
      <c r="L30" s="629"/>
      <c r="M30" s="629"/>
      <c r="N30" s="35"/>
    </row>
    <row r="31" spans="1:14" ht="18.2" customHeight="1" x14ac:dyDescent="0.25">
      <c r="A31" s="628"/>
      <c r="B31" s="628"/>
      <c r="C31" s="628"/>
      <c r="D31" s="628"/>
      <c r="E31" s="628"/>
      <c r="F31" s="37"/>
      <c r="G31" s="37"/>
      <c r="H31" s="629"/>
      <c r="I31" s="629"/>
      <c r="J31" s="629"/>
      <c r="K31" s="629"/>
      <c r="L31" s="629"/>
      <c r="M31" s="629"/>
      <c r="N31" s="35"/>
    </row>
    <row r="32" spans="1:14" ht="18.2" customHeight="1" x14ac:dyDescent="0.25">
      <c r="A32" s="628" t="s">
        <v>103</v>
      </c>
      <c r="B32" s="628"/>
      <c r="C32" s="628"/>
      <c r="D32" s="628"/>
      <c r="E32" s="628"/>
      <c r="F32" s="37"/>
      <c r="G32" s="37"/>
      <c r="H32" s="629"/>
      <c r="I32" s="629"/>
      <c r="J32" s="629"/>
      <c r="K32" s="629"/>
      <c r="L32" s="629"/>
      <c r="M32" s="629"/>
      <c r="N32" s="35"/>
    </row>
    <row r="33" spans="1:14" ht="18.2" customHeight="1" x14ac:dyDescent="0.25">
      <c r="A33" s="628" t="s">
        <v>104</v>
      </c>
      <c r="B33" s="628"/>
      <c r="C33" s="628"/>
      <c r="D33" s="628"/>
      <c r="E33" s="628"/>
      <c r="F33" s="37"/>
      <c r="G33" s="37"/>
      <c r="H33" s="629"/>
      <c r="I33" s="629"/>
      <c r="J33" s="629"/>
      <c r="K33" s="629"/>
      <c r="L33" s="629"/>
      <c r="M33" s="629"/>
      <c r="N33" s="35"/>
    </row>
    <row r="34" spans="1:14" ht="18.2" customHeight="1" x14ac:dyDescent="0.25">
      <c r="A34" s="628" t="s">
        <v>105</v>
      </c>
      <c r="B34" s="628"/>
      <c r="C34" s="628"/>
      <c r="D34" s="628"/>
      <c r="E34" s="628"/>
      <c r="F34" s="37"/>
      <c r="G34" s="37"/>
      <c r="H34" s="629"/>
      <c r="I34" s="629"/>
      <c r="J34" s="629"/>
      <c r="K34" s="629"/>
      <c r="L34" s="629"/>
      <c r="M34" s="629"/>
      <c r="N34" s="35"/>
    </row>
    <row r="35" spans="1:14" ht="18.2" customHeight="1" x14ac:dyDescent="0.25">
      <c r="A35" s="628" t="s">
        <v>106</v>
      </c>
      <c r="B35" s="628"/>
      <c r="C35" s="628"/>
      <c r="D35" s="628"/>
      <c r="E35" s="628"/>
      <c r="F35" s="37"/>
      <c r="G35" s="37"/>
      <c r="H35" s="629"/>
      <c r="I35" s="629"/>
      <c r="J35" s="629"/>
      <c r="K35" s="629"/>
      <c r="L35" s="629"/>
      <c r="M35" s="629"/>
      <c r="N35" s="35"/>
    </row>
    <row r="36" spans="1:14" ht="18.2" customHeight="1" x14ac:dyDescent="0.25">
      <c r="A36" s="628"/>
      <c r="B36" s="628"/>
      <c r="C36" s="628"/>
      <c r="D36" s="628"/>
      <c r="E36" s="628"/>
      <c r="F36" s="37"/>
      <c r="G36" s="37"/>
      <c r="H36" s="629"/>
      <c r="I36" s="629"/>
      <c r="J36" s="629"/>
      <c r="K36" s="629"/>
      <c r="L36" s="629"/>
      <c r="M36" s="629"/>
      <c r="N36" s="35"/>
    </row>
    <row r="37" spans="1:14" ht="18.2" customHeight="1" x14ac:dyDescent="0.25">
      <c r="A37" s="628" t="s">
        <v>107</v>
      </c>
      <c r="B37" s="628"/>
      <c r="C37" s="628"/>
      <c r="D37" s="628"/>
      <c r="E37" s="628"/>
      <c r="F37" s="37"/>
      <c r="G37" s="37"/>
      <c r="H37" s="629"/>
      <c r="I37" s="629"/>
      <c r="J37" s="629"/>
      <c r="K37" s="629"/>
      <c r="L37" s="629"/>
      <c r="M37" s="629"/>
      <c r="N37" s="35"/>
    </row>
    <row r="38" spans="1:14" ht="18.2" customHeight="1" x14ac:dyDescent="0.25">
      <c r="A38" s="628" t="s">
        <v>108</v>
      </c>
      <c r="B38" s="628"/>
      <c r="C38" s="628"/>
      <c r="D38" s="628"/>
      <c r="E38" s="628"/>
      <c r="F38" s="37"/>
      <c r="G38" s="37"/>
      <c r="H38" s="629"/>
      <c r="I38" s="629"/>
      <c r="J38" s="629"/>
      <c r="K38" s="629"/>
      <c r="L38" s="629"/>
      <c r="M38" s="629"/>
      <c r="N38" s="35"/>
    </row>
    <row r="39" spans="1:14" ht="18.2" customHeight="1" x14ac:dyDescent="0.25">
      <c r="A39" s="628" t="s">
        <v>109</v>
      </c>
      <c r="B39" s="628"/>
      <c r="C39" s="628"/>
      <c r="D39" s="628"/>
      <c r="E39" s="628"/>
      <c r="F39" s="37"/>
      <c r="G39" s="37"/>
      <c r="H39" s="629"/>
      <c r="I39" s="629"/>
      <c r="J39" s="629"/>
      <c r="K39" s="629"/>
      <c r="L39" s="629"/>
      <c r="M39" s="629"/>
      <c r="N39" s="35"/>
    </row>
    <row r="40" spans="1:14" ht="18.2" customHeight="1" x14ac:dyDescent="0.25">
      <c r="A40" s="628" t="s">
        <v>110</v>
      </c>
      <c r="B40" s="628"/>
      <c r="C40" s="628"/>
      <c r="D40" s="628"/>
      <c r="E40" s="628"/>
      <c r="F40" s="37"/>
      <c r="G40" s="37"/>
      <c r="H40" s="629"/>
      <c r="I40" s="629"/>
      <c r="J40" s="629"/>
      <c r="K40" s="629"/>
      <c r="L40" s="629"/>
      <c r="M40" s="629"/>
      <c r="N40" s="35"/>
    </row>
    <row r="41" spans="1:14" ht="18.2" customHeight="1" x14ac:dyDescent="0.25">
      <c r="A41" s="628"/>
      <c r="B41" s="628"/>
      <c r="C41" s="628"/>
      <c r="D41" s="628"/>
      <c r="E41" s="628"/>
      <c r="F41" s="37"/>
      <c r="G41" s="37"/>
      <c r="H41" s="629"/>
      <c r="I41" s="629"/>
      <c r="J41" s="629"/>
      <c r="K41" s="629"/>
      <c r="L41" s="629"/>
      <c r="M41" s="629"/>
      <c r="N41" s="35"/>
    </row>
    <row r="42" spans="1:14" ht="18.2" customHeight="1" x14ac:dyDescent="0.25">
      <c r="A42" s="628" t="s">
        <v>111</v>
      </c>
      <c r="B42" s="628"/>
      <c r="C42" s="628"/>
      <c r="D42" s="628"/>
      <c r="E42" s="628"/>
      <c r="F42" s="37"/>
      <c r="G42" s="37"/>
      <c r="H42" s="629"/>
      <c r="I42" s="629"/>
      <c r="J42" s="629"/>
      <c r="K42" s="629"/>
      <c r="L42" s="629"/>
      <c r="M42" s="629"/>
      <c r="N42" s="35"/>
    </row>
    <row r="43" spans="1:14" ht="18.2" customHeight="1" x14ac:dyDescent="0.25">
      <c r="A43" s="628" t="s">
        <v>112</v>
      </c>
      <c r="B43" s="628"/>
      <c r="C43" s="628"/>
      <c r="D43" s="628"/>
      <c r="E43" s="628"/>
      <c r="F43" s="37"/>
      <c r="G43" s="37"/>
      <c r="H43" s="629"/>
      <c r="I43" s="629"/>
      <c r="J43" s="629"/>
      <c r="K43" s="629"/>
      <c r="L43" s="629"/>
      <c r="M43" s="629"/>
      <c r="N43" s="35"/>
    </row>
    <row r="44" spans="1:14" ht="18.2" customHeight="1" x14ac:dyDescent="0.25">
      <c r="A44" s="628" t="s">
        <v>113</v>
      </c>
      <c r="B44" s="628"/>
      <c r="C44" s="628"/>
      <c r="D44" s="628"/>
      <c r="E44" s="628"/>
      <c r="F44" s="37"/>
      <c r="G44" s="37"/>
      <c r="H44" s="629"/>
      <c r="I44" s="629"/>
      <c r="J44" s="629"/>
      <c r="K44" s="629"/>
      <c r="L44" s="629"/>
      <c r="M44" s="629"/>
      <c r="N44" s="35"/>
    </row>
    <row r="45" spans="1:14" ht="18.2" customHeight="1" x14ac:dyDescent="0.25">
      <c r="A45" s="628" t="s">
        <v>114</v>
      </c>
      <c r="B45" s="628"/>
      <c r="C45" s="628"/>
      <c r="D45" s="628"/>
      <c r="E45" s="628"/>
      <c r="F45" s="37"/>
      <c r="G45" s="37"/>
      <c r="H45" s="629"/>
      <c r="I45" s="629"/>
      <c r="J45" s="629"/>
      <c r="K45" s="629"/>
      <c r="L45" s="629"/>
      <c r="M45" s="629"/>
      <c r="N45" s="35"/>
    </row>
    <row r="46" spans="1:14" ht="18.2" customHeight="1" x14ac:dyDescent="0.25">
      <c r="A46" s="628"/>
      <c r="B46" s="628"/>
      <c r="C46" s="628"/>
      <c r="D46" s="628"/>
      <c r="E46" s="628"/>
      <c r="F46" s="37"/>
      <c r="G46" s="37"/>
      <c r="H46" s="629"/>
      <c r="I46" s="629"/>
      <c r="J46" s="629"/>
      <c r="K46" s="629"/>
      <c r="L46" s="629"/>
      <c r="M46" s="629"/>
      <c r="N46" s="35"/>
    </row>
    <row r="47" spans="1:14" ht="18.2" customHeight="1" x14ac:dyDescent="0.25">
      <c r="A47" s="628" t="s">
        <v>115</v>
      </c>
      <c r="B47" s="628"/>
      <c r="C47" s="628"/>
      <c r="D47" s="628"/>
      <c r="E47" s="628"/>
      <c r="F47" s="37"/>
      <c r="G47" s="37"/>
      <c r="H47" s="629"/>
      <c r="I47" s="629"/>
      <c r="J47" s="629"/>
      <c r="K47" s="629"/>
      <c r="L47" s="629"/>
      <c r="M47" s="629"/>
      <c r="N47" s="35"/>
    </row>
    <row r="48" spans="1:14" ht="18.2" customHeight="1" x14ac:dyDescent="0.25">
      <c r="A48" s="628" t="s">
        <v>116</v>
      </c>
      <c r="B48" s="628"/>
      <c r="C48" s="628"/>
      <c r="D48" s="628"/>
      <c r="E48" s="628"/>
      <c r="F48" s="37"/>
      <c r="G48" s="37"/>
      <c r="H48" s="629"/>
      <c r="I48" s="629"/>
      <c r="J48" s="629"/>
      <c r="K48" s="629"/>
      <c r="L48" s="629"/>
      <c r="M48" s="629"/>
      <c r="N48" s="35"/>
    </row>
    <row r="49" spans="1:14" ht="18.2" customHeight="1" x14ac:dyDescent="0.25">
      <c r="A49" s="628" t="s">
        <v>117</v>
      </c>
      <c r="B49" s="628"/>
      <c r="C49" s="628"/>
      <c r="D49" s="628"/>
      <c r="E49" s="628"/>
      <c r="F49" s="37"/>
      <c r="G49" s="37"/>
      <c r="H49" s="629"/>
      <c r="I49" s="629"/>
      <c r="J49" s="629"/>
      <c r="K49" s="629"/>
      <c r="L49" s="629"/>
      <c r="M49" s="629"/>
      <c r="N49" s="35"/>
    </row>
    <row r="50" spans="1:14" ht="18.2" customHeight="1" x14ac:dyDescent="0.25">
      <c r="A50" s="628" t="s">
        <v>118</v>
      </c>
      <c r="B50" s="628"/>
      <c r="C50" s="628"/>
      <c r="D50" s="628"/>
      <c r="E50" s="628"/>
      <c r="F50" s="37"/>
      <c r="G50" s="37"/>
      <c r="H50" s="629"/>
      <c r="I50" s="629"/>
      <c r="J50" s="629"/>
      <c r="K50" s="629"/>
      <c r="L50" s="629"/>
      <c r="M50" s="629"/>
      <c r="N50" s="35"/>
    </row>
    <row r="51" spans="1:14" ht="18.2" customHeight="1" x14ac:dyDescent="0.25">
      <c r="A51" s="628"/>
      <c r="B51" s="628"/>
      <c r="C51" s="628"/>
      <c r="D51" s="628"/>
      <c r="E51" s="628"/>
      <c r="F51" s="37"/>
      <c r="G51" s="37"/>
      <c r="H51" s="629"/>
      <c r="I51" s="629"/>
      <c r="J51" s="629"/>
      <c r="K51" s="629"/>
      <c r="L51" s="629"/>
      <c r="M51" s="629"/>
      <c r="N51" s="35"/>
    </row>
    <row r="52" spans="1:14" ht="18.2" customHeight="1" x14ac:dyDescent="0.25">
      <c r="A52" s="628" t="s">
        <v>119</v>
      </c>
      <c r="B52" s="628"/>
      <c r="C52" s="628"/>
      <c r="D52" s="628"/>
      <c r="E52" s="628"/>
      <c r="F52" s="37"/>
      <c r="G52" s="37"/>
      <c r="H52" s="629"/>
      <c r="I52" s="629"/>
      <c r="J52" s="629"/>
      <c r="K52" s="629"/>
      <c r="L52" s="629"/>
      <c r="M52" s="629"/>
      <c r="N52" s="35"/>
    </row>
    <row r="53" spans="1:14" ht="18.2" customHeight="1" x14ac:dyDescent="0.25">
      <c r="A53" s="628" t="s">
        <v>120</v>
      </c>
      <c r="B53" s="628"/>
      <c r="C53" s="628"/>
      <c r="D53" s="628"/>
      <c r="E53" s="628"/>
      <c r="F53" s="37"/>
      <c r="G53" s="37"/>
      <c r="H53" s="629"/>
      <c r="I53" s="629"/>
      <c r="J53" s="629"/>
      <c r="K53" s="629"/>
      <c r="L53" s="629"/>
      <c r="M53" s="629"/>
      <c r="N53" s="35"/>
    </row>
    <row r="54" spans="1:14" ht="18.2" customHeight="1" x14ac:dyDescent="0.25">
      <c r="A54" s="628" t="s">
        <v>121</v>
      </c>
      <c r="B54" s="628"/>
      <c r="C54" s="628"/>
      <c r="D54" s="628"/>
      <c r="E54" s="628"/>
      <c r="F54" s="37"/>
      <c r="G54" s="37"/>
      <c r="H54" s="629"/>
      <c r="I54" s="629"/>
      <c r="J54" s="629"/>
      <c r="K54" s="629"/>
      <c r="L54" s="629"/>
      <c r="M54" s="629"/>
      <c r="N54" s="35"/>
    </row>
    <row r="55" spans="1:14" ht="18.2" customHeight="1" x14ac:dyDescent="0.25">
      <c r="A55" s="628" t="s">
        <v>122</v>
      </c>
      <c r="B55" s="628"/>
      <c r="C55" s="628"/>
      <c r="D55" s="628"/>
      <c r="E55" s="628"/>
      <c r="F55" s="37"/>
      <c r="G55" s="37"/>
      <c r="H55" s="629"/>
      <c r="I55" s="629"/>
      <c r="J55" s="629"/>
      <c r="K55" s="629"/>
      <c r="L55" s="629"/>
      <c r="M55" s="629"/>
      <c r="N55" s="35"/>
    </row>
    <row r="56" spans="1:14" ht="18.2" customHeight="1" x14ac:dyDescent="0.25">
      <c r="A56" s="628"/>
      <c r="B56" s="628"/>
      <c r="C56" s="628"/>
      <c r="D56" s="628"/>
      <c r="E56" s="628"/>
      <c r="F56" s="37"/>
      <c r="G56" s="37"/>
      <c r="H56" s="629"/>
      <c r="I56" s="629"/>
      <c r="J56" s="629"/>
      <c r="K56" s="629"/>
      <c r="L56" s="629"/>
      <c r="M56" s="629"/>
      <c r="N56" s="35"/>
    </row>
    <row r="57" spans="1:14" ht="18.2" customHeight="1" x14ac:dyDescent="0.25">
      <c r="A57" s="628" t="s">
        <v>123</v>
      </c>
      <c r="B57" s="628"/>
      <c r="C57" s="628"/>
      <c r="D57" s="628"/>
      <c r="E57" s="628"/>
      <c r="F57" s="37"/>
      <c r="G57" s="37"/>
      <c r="H57" s="629"/>
      <c r="I57" s="629"/>
      <c r="J57" s="629"/>
      <c r="K57" s="629"/>
      <c r="L57" s="629"/>
      <c r="M57" s="629"/>
      <c r="N57" s="35"/>
    </row>
    <row r="58" spans="1:14" ht="18.2" customHeight="1" x14ac:dyDescent="0.25">
      <c r="A58" s="628" t="s">
        <v>124</v>
      </c>
      <c r="B58" s="628"/>
      <c r="C58" s="628"/>
      <c r="D58" s="628"/>
      <c r="E58" s="628"/>
      <c r="F58" s="37"/>
      <c r="G58" s="37"/>
      <c r="H58" s="629"/>
      <c r="I58" s="629"/>
      <c r="J58" s="629"/>
      <c r="K58" s="629"/>
      <c r="L58" s="629"/>
      <c r="M58" s="629"/>
      <c r="N58" s="35"/>
    </row>
    <row r="59" spans="1:14" ht="18.2" customHeight="1" x14ac:dyDescent="0.25">
      <c r="A59" s="628" t="s">
        <v>125</v>
      </c>
      <c r="B59" s="628"/>
      <c r="C59" s="628"/>
      <c r="D59" s="628"/>
      <c r="E59" s="628"/>
      <c r="F59" s="37"/>
      <c r="G59" s="37"/>
      <c r="H59" s="629"/>
      <c r="I59" s="629"/>
      <c r="J59" s="629"/>
      <c r="K59" s="629"/>
      <c r="L59" s="629"/>
      <c r="M59" s="629"/>
      <c r="N59" s="35"/>
    </row>
    <row r="60" spans="1:14" ht="18.2" customHeight="1" x14ac:dyDescent="0.25">
      <c r="A60" s="628" t="s">
        <v>126</v>
      </c>
      <c r="B60" s="628"/>
      <c r="C60" s="628"/>
      <c r="D60" s="628"/>
      <c r="E60" s="628"/>
      <c r="F60" s="37"/>
      <c r="G60" s="37"/>
      <c r="H60" s="629"/>
      <c r="I60" s="629"/>
      <c r="J60" s="629"/>
      <c r="K60" s="629"/>
      <c r="L60" s="629"/>
      <c r="M60" s="629"/>
      <c r="N60" s="35"/>
    </row>
    <row r="61" spans="1:14" ht="18.2" customHeight="1" x14ac:dyDescent="0.25">
      <c r="A61" s="628"/>
      <c r="B61" s="628"/>
      <c r="C61" s="628"/>
      <c r="D61" s="628"/>
      <c r="E61" s="628"/>
      <c r="F61" s="37"/>
      <c r="G61" s="37"/>
      <c r="H61" s="629"/>
      <c r="I61" s="629"/>
      <c r="J61" s="629"/>
      <c r="K61" s="629"/>
      <c r="L61" s="629"/>
      <c r="M61" s="629"/>
      <c r="N61" s="35"/>
    </row>
    <row r="62" spans="1:14" ht="18.2" customHeight="1" x14ac:dyDescent="0.25">
      <c r="A62" s="628" t="s">
        <v>127</v>
      </c>
      <c r="B62" s="628"/>
      <c r="C62" s="628"/>
      <c r="D62" s="628"/>
      <c r="E62" s="628"/>
      <c r="F62" s="37"/>
      <c r="G62" s="37"/>
      <c r="H62" s="629"/>
      <c r="I62" s="629"/>
      <c r="J62" s="629"/>
      <c r="K62" s="629"/>
      <c r="L62" s="629"/>
      <c r="M62" s="629"/>
      <c r="N62" s="35"/>
    </row>
    <row r="63" spans="1:14" ht="18.2" customHeight="1" x14ac:dyDescent="0.25">
      <c r="A63" s="628" t="s">
        <v>128</v>
      </c>
      <c r="B63" s="628"/>
      <c r="C63" s="628"/>
      <c r="D63" s="628"/>
      <c r="E63" s="628"/>
      <c r="F63" s="37"/>
      <c r="G63" s="37"/>
      <c r="H63" s="629"/>
      <c r="I63" s="629"/>
      <c r="J63" s="629"/>
      <c r="K63" s="629"/>
      <c r="L63" s="629"/>
      <c r="M63" s="629"/>
      <c r="N63" s="35"/>
    </row>
    <row r="64" spans="1:14" ht="18.2" customHeight="1" x14ac:dyDescent="0.25">
      <c r="A64" s="628" t="s">
        <v>129</v>
      </c>
      <c r="B64" s="628"/>
      <c r="C64" s="628"/>
      <c r="D64" s="628"/>
      <c r="E64" s="628"/>
      <c r="F64" s="37"/>
      <c r="G64" s="37"/>
      <c r="H64" s="629"/>
      <c r="I64" s="629"/>
      <c r="J64" s="629"/>
      <c r="K64" s="629"/>
      <c r="L64" s="629"/>
      <c r="M64" s="629"/>
      <c r="N64" s="35"/>
    </row>
    <row r="65" spans="1:14" ht="18.2" customHeight="1" x14ac:dyDescent="0.25">
      <c r="A65" s="628" t="s">
        <v>130</v>
      </c>
      <c r="B65" s="628"/>
      <c r="C65" s="628"/>
      <c r="D65" s="628"/>
      <c r="E65" s="628"/>
      <c r="F65" s="37"/>
      <c r="G65" s="37"/>
      <c r="H65" s="629"/>
      <c r="I65" s="629"/>
      <c r="J65" s="629"/>
      <c r="K65" s="629"/>
      <c r="L65" s="629"/>
      <c r="M65" s="629"/>
      <c r="N65" s="35"/>
    </row>
    <row r="66" spans="1:14" ht="18.2" customHeight="1" x14ac:dyDescent="0.25">
      <c r="A66" s="628"/>
      <c r="B66" s="628"/>
      <c r="C66" s="628"/>
      <c r="D66" s="628"/>
      <c r="E66" s="628"/>
      <c r="F66" s="37"/>
      <c r="G66" s="37"/>
      <c r="H66" s="629"/>
      <c r="I66" s="629"/>
      <c r="J66" s="629"/>
      <c r="K66" s="629"/>
      <c r="L66" s="629"/>
      <c r="M66" s="629"/>
      <c r="N66" s="35"/>
    </row>
    <row r="67" spans="1:14" ht="18.2" customHeight="1" x14ac:dyDescent="0.25">
      <c r="A67" s="628" t="s">
        <v>131</v>
      </c>
      <c r="B67" s="628"/>
      <c r="C67" s="628"/>
      <c r="D67" s="628"/>
      <c r="E67" s="628"/>
      <c r="F67" s="37"/>
      <c r="G67" s="37"/>
      <c r="H67" s="629"/>
      <c r="I67" s="629"/>
      <c r="J67" s="629"/>
      <c r="K67" s="629"/>
      <c r="L67" s="629"/>
      <c r="M67" s="629"/>
      <c r="N67" s="35"/>
    </row>
    <row r="68" spans="1:14" ht="18.2" customHeight="1" x14ac:dyDescent="0.25">
      <c r="A68" s="628" t="s">
        <v>132</v>
      </c>
      <c r="B68" s="628"/>
      <c r="C68" s="628"/>
      <c r="D68" s="628"/>
      <c r="E68" s="628"/>
      <c r="F68" s="37"/>
      <c r="G68" s="37"/>
      <c r="H68" s="629"/>
      <c r="I68" s="629"/>
      <c r="J68" s="629"/>
      <c r="K68" s="629"/>
      <c r="L68" s="629"/>
      <c r="M68" s="629"/>
      <c r="N68" s="35"/>
    </row>
    <row r="69" spans="1:14" ht="18.2" customHeight="1" x14ac:dyDescent="0.25">
      <c r="A69" s="628" t="s">
        <v>133</v>
      </c>
      <c r="B69" s="628"/>
      <c r="C69" s="628"/>
      <c r="D69" s="628"/>
      <c r="E69" s="628"/>
      <c r="F69" s="37"/>
      <c r="G69" s="37"/>
      <c r="H69" s="629"/>
      <c r="I69" s="629"/>
      <c r="J69" s="629"/>
      <c r="K69" s="629"/>
      <c r="L69" s="629"/>
      <c r="M69" s="629"/>
      <c r="N69" s="35"/>
    </row>
    <row r="70" spans="1:14" ht="18.2" customHeight="1" x14ac:dyDescent="0.25">
      <c r="A70" s="628" t="s">
        <v>134</v>
      </c>
      <c r="B70" s="628"/>
      <c r="C70" s="628"/>
      <c r="D70" s="628"/>
      <c r="E70" s="628"/>
      <c r="F70" s="37"/>
      <c r="G70" s="37"/>
      <c r="H70" s="629"/>
      <c r="I70" s="629"/>
      <c r="J70" s="629"/>
      <c r="K70" s="629"/>
      <c r="L70" s="629"/>
      <c r="M70" s="629"/>
      <c r="N70" s="35"/>
    </row>
    <row r="71" spans="1:14" ht="18.2" customHeight="1" x14ac:dyDescent="0.25">
      <c r="A71" s="628"/>
      <c r="B71" s="628"/>
      <c r="C71" s="628"/>
      <c r="D71" s="628"/>
      <c r="E71" s="628"/>
      <c r="F71" s="37"/>
      <c r="G71" s="37"/>
      <c r="H71" s="629"/>
      <c r="I71" s="629"/>
      <c r="J71" s="629"/>
      <c r="K71" s="629"/>
      <c r="L71" s="629"/>
      <c r="M71" s="629"/>
      <c r="N71" s="35"/>
    </row>
    <row r="72" spans="1:14" ht="18.2" customHeight="1" x14ac:dyDescent="0.25">
      <c r="A72" s="628" t="s">
        <v>135</v>
      </c>
      <c r="B72" s="628"/>
      <c r="C72" s="628"/>
      <c r="D72" s="628"/>
      <c r="E72" s="628"/>
      <c r="F72" s="37"/>
      <c r="G72" s="37"/>
      <c r="H72" s="629"/>
      <c r="I72" s="629"/>
      <c r="J72" s="629"/>
      <c r="K72" s="629"/>
      <c r="L72" s="629"/>
      <c r="M72" s="629"/>
      <c r="N72" s="35"/>
    </row>
    <row r="73" spans="1:14" ht="18.2" customHeight="1" x14ac:dyDescent="0.25">
      <c r="A73" s="628" t="s">
        <v>136</v>
      </c>
      <c r="B73" s="628"/>
      <c r="C73" s="628"/>
      <c r="D73" s="628"/>
      <c r="E73" s="628"/>
      <c r="F73" s="37"/>
      <c r="G73" s="37"/>
      <c r="H73" s="629"/>
      <c r="I73" s="629"/>
      <c r="J73" s="629"/>
      <c r="K73" s="629"/>
      <c r="L73" s="629"/>
      <c r="M73" s="629"/>
      <c r="N73" s="35"/>
    </row>
    <row r="74" spans="1:14" ht="18.2" customHeight="1" x14ac:dyDescent="0.25">
      <c r="A74" s="628" t="s">
        <v>137</v>
      </c>
      <c r="B74" s="628"/>
      <c r="C74" s="628"/>
      <c r="D74" s="628"/>
      <c r="E74" s="628"/>
      <c r="F74" s="37"/>
      <c r="G74" s="37"/>
      <c r="H74" s="629"/>
      <c r="I74" s="629"/>
      <c r="J74" s="629"/>
      <c r="K74" s="629"/>
      <c r="L74" s="629"/>
      <c r="M74" s="629"/>
      <c r="N74" s="35"/>
    </row>
    <row r="75" spans="1:14" ht="18.2" customHeight="1" x14ac:dyDescent="0.25">
      <c r="A75" s="628" t="s">
        <v>138</v>
      </c>
      <c r="B75" s="628"/>
      <c r="C75" s="628"/>
      <c r="D75" s="628"/>
      <c r="E75" s="628"/>
      <c r="F75" s="37"/>
      <c r="G75" s="37"/>
      <c r="H75" s="629"/>
      <c r="I75" s="629"/>
      <c r="J75" s="629"/>
      <c r="K75" s="629"/>
      <c r="L75" s="629"/>
      <c r="M75" s="629"/>
      <c r="N75" s="35"/>
    </row>
    <row r="76" spans="1:14" ht="18.2" customHeight="1" x14ac:dyDescent="0.25">
      <c r="A76" s="628"/>
      <c r="B76" s="628"/>
      <c r="C76" s="628"/>
      <c r="D76" s="628"/>
      <c r="E76" s="628"/>
      <c r="F76" s="37"/>
      <c r="G76" s="37"/>
      <c r="H76" s="629"/>
      <c r="I76" s="629"/>
      <c r="J76" s="629"/>
      <c r="K76" s="629"/>
      <c r="L76" s="629"/>
      <c r="M76" s="629"/>
      <c r="N76" s="35"/>
    </row>
    <row r="77" spans="1:14" ht="18.2" customHeight="1" x14ac:dyDescent="0.25">
      <c r="A77" s="628" t="s">
        <v>139</v>
      </c>
      <c r="B77" s="628"/>
      <c r="C77" s="628"/>
      <c r="D77" s="628"/>
      <c r="E77" s="628"/>
      <c r="F77" s="37"/>
      <c r="G77" s="37"/>
      <c r="H77" s="629"/>
      <c r="I77" s="629"/>
      <c r="J77" s="629"/>
      <c r="K77" s="629"/>
      <c r="L77" s="629"/>
      <c r="M77" s="629"/>
      <c r="N77" s="35"/>
    </row>
    <row r="78" spans="1:14" ht="18.2" customHeight="1" x14ac:dyDescent="0.25">
      <c r="A78" s="628" t="s">
        <v>140</v>
      </c>
      <c r="B78" s="628"/>
      <c r="C78" s="628"/>
      <c r="D78" s="628"/>
      <c r="E78" s="628"/>
      <c r="F78" s="37"/>
      <c r="G78" s="37"/>
      <c r="H78" s="629"/>
      <c r="I78" s="629"/>
      <c r="J78" s="629"/>
      <c r="K78" s="629"/>
      <c r="L78" s="629"/>
      <c r="M78" s="629"/>
      <c r="N78" s="35"/>
    </row>
    <row r="79" spans="1:14" ht="18.2" customHeight="1" x14ac:dyDescent="0.25">
      <c r="A79" s="628" t="s">
        <v>141</v>
      </c>
      <c r="B79" s="628"/>
      <c r="C79" s="628"/>
      <c r="D79" s="628"/>
      <c r="E79" s="628"/>
      <c r="F79" s="37"/>
      <c r="G79" s="37"/>
      <c r="H79" s="629"/>
      <c r="I79" s="629"/>
      <c r="J79" s="629"/>
      <c r="K79" s="629"/>
      <c r="L79" s="629"/>
      <c r="M79" s="629"/>
      <c r="N79" s="35"/>
    </row>
    <row r="80" spans="1:14" ht="18.2" customHeight="1" x14ac:dyDescent="0.25">
      <c r="A80" s="628" t="s">
        <v>142</v>
      </c>
      <c r="B80" s="628"/>
      <c r="C80" s="628"/>
      <c r="D80" s="628"/>
      <c r="E80" s="628"/>
      <c r="F80" s="37"/>
      <c r="G80" s="37"/>
      <c r="H80" s="629"/>
      <c r="I80" s="629"/>
      <c r="J80" s="629"/>
      <c r="K80" s="629"/>
      <c r="L80" s="629"/>
      <c r="M80" s="629"/>
      <c r="N80" s="35"/>
    </row>
    <row r="81" spans="1:14" ht="18.2" customHeight="1" x14ac:dyDescent="0.25">
      <c r="A81" s="628"/>
      <c r="B81" s="628"/>
      <c r="C81" s="628"/>
      <c r="D81" s="628"/>
      <c r="E81" s="628"/>
      <c r="F81" s="37"/>
      <c r="G81" s="37"/>
      <c r="H81" s="629"/>
      <c r="I81" s="629"/>
      <c r="J81" s="629"/>
      <c r="K81" s="629"/>
      <c r="L81" s="629"/>
      <c r="M81" s="629"/>
      <c r="N81" s="35"/>
    </row>
    <row r="82" spans="1:14" ht="18.2" customHeight="1" x14ac:dyDescent="0.25">
      <c r="A82" s="628" t="s">
        <v>143</v>
      </c>
      <c r="B82" s="628"/>
      <c r="C82" s="628"/>
      <c r="D82" s="628"/>
      <c r="E82" s="628"/>
      <c r="F82" s="37"/>
      <c r="G82" s="37"/>
      <c r="H82" s="629"/>
      <c r="I82" s="629"/>
      <c r="J82" s="629"/>
      <c r="K82" s="629"/>
      <c r="L82" s="629"/>
      <c r="M82" s="629"/>
      <c r="N82" s="35"/>
    </row>
    <row r="83" spans="1:14" ht="18.2" customHeight="1" x14ac:dyDescent="0.25">
      <c r="A83" s="628" t="s">
        <v>144</v>
      </c>
      <c r="B83" s="628"/>
      <c r="C83" s="628"/>
      <c r="D83" s="628"/>
      <c r="E83" s="628"/>
      <c r="F83" s="37"/>
      <c r="G83" s="37"/>
      <c r="H83" s="629"/>
      <c r="I83" s="629"/>
      <c r="J83" s="629"/>
      <c r="K83" s="629"/>
      <c r="L83" s="629"/>
      <c r="M83" s="629"/>
      <c r="N83" s="35"/>
    </row>
    <row r="84" spans="1:14" ht="18.2" customHeight="1" x14ac:dyDescent="0.25">
      <c r="A84" s="628" t="s">
        <v>145</v>
      </c>
      <c r="B84" s="628"/>
      <c r="C84" s="628"/>
      <c r="D84" s="628"/>
      <c r="E84" s="628"/>
      <c r="F84" s="37"/>
      <c r="G84" s="37"/>
      <c r="H84" s="629"/>
      <c r="I84" s="629"/>
      <c r="J84" s="629"/>
      <c r="K84" s="629"/>
      <c r="L84" s="629"/>
      <c r="M84" s="629"/>
      <c r="N84" s="35"/>
    </row>
    <row r="85" spans="1:14" ht="18.2" customHeight="1" x14ac:dyDescent="0.25">
      <c r="A85" s="628" t="s">
        <v>146</v>
      </c>
      <c r="B85" s="628"/>
      <c r="C85" s="628"/>
      <c r="D85" s="628"/>
      <c r="E85" s="628"/>
      <c r="F85" s="37"/>
      <c r="G85" s="37"/>
      <c r="H85" s="629"/>
      <c r="I85" s="629"/>
      <c r="J85" s="629"/>
      <c r="K85" s="629"/>
      <c r="L85" s="629"/>
      <c r="M85" s="629"/>
      <c r="N85" s="35"/>
    </row>
    <row r="86" spans="1:14" ht="18.2" customHeight="1" x14ac:dyDescent="0.25">
      <c r="A86" s="628"/>
      <c r="B86" s="628"/>
      <c r="C86" s="628"/>
      <c r="D86" s="628"/>
      <c r="E86" s="628"/>
      <c r="F86" s="37"/>
      <c r="G86" s="37"/>
      <c r="H86" s="629"/>
      <c r="I86" s="629"/>
      <c r="J86" s="629"/>
      <c r="K86" s="629"/>
      <c r="L86" s="629"/>
      <c r="M86" s="629"/>
      <c r="N86" s="35"/>
    </row>
    <row r="87" spans="1:14" ht="18.2" customHeight="1" x14ac:dyDescent="0.25">
      <c r="A87" s="628" t="s">
        <v>147</v>
      </c>
      <c r="B87" s="628"/>
      <c r="C87" s="628"/>
      <c r="D87" s="628"/>
      <c r="E87" s="628"/>
      <c r="F87" s="37"/>
      <c r="G87" s="37"/>
      <c r="H87" s="629"/>
      <c r="I87" s="629"/>
      <c r="J87" s="629"/>
      <c r="K87" s="629"/>
      <c r="L87" s="629"/>
      <c r="M87" s="629"/>
      <c r="N87" s="35"/>
    </row>
    <row r="88" spans="1:14" ht="18.2" customHeight="1" x14ac:dyDescent="0.25">
      <c r="A88" s="628" t="s">
        <v>148</v>
      </c>
      <c r="B88" s="628"/>
      <c r="C88" s="628"/>
      <c r="D88" s="628"/>
      <c r="E88" s="628"/>
      <c r="F88" s="37"/>
      <c r="G88" s="37"/>
      <c r="H88" s="629"/>
      <c r="I88" s="629"/>
      <c r="J88" s="629"/>
      <c r="K88" s="629"/>
      <c r="L88" s="629"/>
      <c r="M88" s="629"/>
      <c r="N88" s="35"/>
    </row>
    <row r="89" spans="1:14" ht="18.2" customHeight="1" x14ac:dyDescent="0.25">
      <c r="A89" s="628" t="s">
        <v>149</v>
      </c>
      <c r="B89" s="628"/>
      <c r="C89" s="628"/>
      <c r="D89" s="628"/>
      <c r="E89" s="628"/>
      <c r="F89" s="37"/>
      <c r="G89" s="37"/>
      <c r="H89" s="629"/>
      <c r="I89" s="629"/>
      <c r="J89" s="629"/>
      <c r="K89" s="629"/>
      <c r="L89" s="629"/>
      <c r="M89" s="629"/>
      <c r="N89" s="35"/>
    </row>
    <row r="90" spans="1:14" ht="18.2" customHeight="1" x14ac:dyDescent="0.25">
      <c r="A90" s="628" t="s">
        <v>150</v>
      </c>
      <c r="B90" s="628"/>
      <c r="C90" s="628"/>
      <c r="D90" s="628"/>
      <c r="E90" s="628"/>
      <c r="F90" s="37"/>
      <c r="G90" s="37"/>
      <c r="H90" s="629"/>
      <c r="I90" s="629"/>
      <c r="J90" s="629"/>
      <c r="K90" s="629"/>
      <c r="L90" s="629"/>
      <c r="M90" s="629"/>
      <c r="N90" s="35"/>
    </row>
    <row r="91" spans="1:14" ht="18.2" customHeight="1" x14ac:dyDescent="0.25">
      <c r="A91" s="628"/>
      <c r="B91" s="628"/>
      <c r="C91" s="628"/>
      <c r="D91" s="628"/>
      <c r="E91" s="628"/>
      <c r="F91" s="37"/>
      <c r="G91" s="37"/>
      <c r="H91" s="629"/>
      <c r="I91" s="629"/>
      <c r="J91" s="629"/>
      <c r="K91" s="629"/>
      <c r="L91" s="629"/>
      <c r="M91" s="629"/>
      <c r="N91" s="35"/>
    </row>
    <row r="92" spans="1:14" ht="18.2" customHeight="1" x14ac:dyDescent="0.25">
      <c r="A92" s="628" t="s">
        <v>151</v>
      </c>
      <c r="B92" s="628"/>
      <c r="C92" s="628"/>
      <c r="D92" s="628"/>
      <c r="E92" s="628"/>
      <c r="F92" s="37"/>
      <c r="G92" s="37"/>
      <c r="H92" s="629"/>
      <c r="I92" s="629"/>
      <c r="J92" s="629"/>
      <c r="K92" s="629"/>
      <c r="L92" s="629"/>
      <c r="M92" s="629"/>
      <c r="N92" s="35"/>
    </row>
    <row r="93" spans="1:14" ht="18.2" customHeight="1" x14ac:dyDescent="0.25">
      <c r="A93" s="628" t="s">
        <v>152</v>
      </c>
      <c r="B93" s="628"/>
      <c r="C93" s="628"/>
      <c r="D93" s="628"/>
      <c r="E93" s="628"/>
      <c r="F93" s="37"/>
      <c r="G93" s="37"/>
      <c r="H93" s="629"/>
      <c r="I93" s="629"/>
      <c r="J93" s="629"/>
      <c r="K93" s="629"/>
      <c r="L93" s="629"/>
      <c r="M93" s="629"/>
      <c r="N93" s="35"/>
    </row>
    <row r="94" spans="1:14" ht="18.2" customHeight="1" x14ac:dyDescent="0.25">
      <c r="A94" s="628" t="s">
        <v>153</v>
      </c>
      <c r="B94" s="628"/>
      <c r="C94" s="628"/>
      <c r="D94" s="628"/>
      <c r="E94" s="628"/>
      <c r="F94" s="37"/>
      <c r="G94" s="37"/>
      <c r="H94" s="629"/>
      <c r="I94" s="629"/>
      <c r="J94" s="629"/>
      <c r="K94" s="629"/>
      <c r="L94" s="629"/>
      <c r="M94" s="629"/>
      <c r="N94" s="35"/>
    </row>
    <row r="95" spans="1:14" ht="18.2" customHeight="1" x14ac:dyDescent="0.25">
      <c r="A95" s="628" t="s">
        <v>154</v>
      </c>
      <c r="B95" s="628"/>
      <c r="C95" s="628"/>
      <c r="D95" s="628"/>
      <c r="E95" s="628"/>
      <c r="F95" s="37"/>
      <c r="G95" s="37"/>
      <c r="H95" s="629"/>
      <c r="I95" s="629"/>
      <c r="J95" s="629"/>
      <c r="K95" s="629"/>
      <c r="L95" s="629"/>
      <c r="M95" s="629"/>
      <c r="N95" s="35"/>
    </row>
    <row r="96" spans="1:14" ht="18.2" customHeight="1" x14ac:dyDescent="0.25">
      <c r="A96" s="628"/>
      <c r="B96" s="628"/>
      <c r="C96" s="628"/>
      <c r="D96" s="628"/>
      <c r="E96" s="628"/>
      <c r="F96" s="37"/>
      <c r="G96" s="37"/>
      <c r="H96" s="629"/>
      <c r="I96" s="629"/>
      <c r="J96" s="629"/>
      <c r="K96" s="629"/>
      <c r="L96" s="629"/>
      <c r="M96" s="629"/>
      <c r="N96" s="35"/>
    </row>
    <row r="97" spans="1:14" ht="18.2" customHeight="1" x14ac:dyDescent="0.25">
      <c r="A97" s="628" t="s">
        <v>155</v>
      </c>
      <c r="B97" s="628"/>
      <c r="C97" s="628"/>
      <c r="D97" s="628"/>
      <c r="E97" s="628"/>
      <c r="F97" s="37"/>
      <c r="G97" s="37"/>
      <c r="H97" s="629"/>
      <c r="I97" s="629"/>
      <c r="J97" s="629"/>
      <c r="K97" s="629"/>
      <c r="L97" s="629"/>
      <c r="M97" s="629"/>
      <c r="N97" s="35"/>
    </row>
    <row r="98" spans="1:14" ht="18.2" customHeight="1" x14ac:dyDescent="0.25">
      <c r="A98" s="628" t="s">
        <v>156</v>
      </c>
      <c r="B98" s="628"/>
      <c r="C98" s="628"/>
      <c r="D98" s="628"/>
      <c r="E98" s="628"/>
      <c r="F98" s="37"/>
      <c r="G98" s="37"/>
      <c r="H98" s="629"/>
      <c r="I98" s="629"/>
      <c r="J98" s="629"/>
      <c r="K98" s="629"/>
      <c r="L98" s="629"/>
      <c r="M98" s="629"/>
      <c r="N98" s="35"/>
    </row>
    <row r="99" spans="1:14" ht="18.2" customHeight="1" x14ac:dyDescent="0.25">
      <c r="A99" s="628" t="s">
        <v>157</v>
      </c>
      <c r="B99" s="628"/>
      <c r="C99" s="628"/>
      <c r="D99" s="628"/>
      <c r="E99" s="628"/>
      <c r="F99" s="37"/>
      <c r="G99" s="37"/>
      <c r="H99" s="629"/>
      <c r="I99" s="629"/>
      <c r="J99" s="629"/>
      <c r="K99" s="629"/>
      <c r="L99" s="629"/>
      <c r="M99" s="629"/>
      <c r="N99" s="35"/>
    </row>
    <row r="100" spans="1:14" ht="18.2" customHeight="1" x14ac:dyDescent="0.25">
      <c r="A100" s="628" t="s">
        <v>158</v>
      </c>
      <c r="B100" s="628"/>
      <c r="C100" s="628"/>
      <c r="D100" s="628"/>
      <c r="E100" s="628"/>
      <c r="F100" s="37"/>
      <c r="G100" s="37"/>
      <c r="H100" s="629"/>
      <c r="I100" s="629"/>
      <c r="J100" s="629"/>
      <c r="K100" s="629"/>
      <c r="L100" s="629"/>
      <c r="M100" s="629"/>
      <c r="N100" s="35"/>
    </row>
    <row r="101" spans="1:14" ht="18.2" customHeight="1" x14ac:dyDescent="0.25">
      <c r="A101" s="628"/>
      <c r="B101" s="628"/>
      <c r="C101" s="628"/>
      <c r="D101" s="628"/>
      <c r="E101" s="628"/>
      <c r="F101" s="37"/>
      <c r="G101" s="37"/>
      <c r="H101" s="629"/>
      <c r="I101" s="629"/>
      <c r="J101" s="629"/>
      <c r="K101" s="629"/>
      <c r="L101" s="629"/>
      <c r="M101" s="629"/>
      <c r="N101" s="35"/>
    </row>
    <row r="102" spans="1:14" ht="18.2" customHeight="1" x14ac:dyDescent="0.25">
      <c r="A102" s="628" t="s">
        <v>159</v>
      </c>
      <c r="B102" s="628"/>
      <c r="C102" s="628"/>
      <c r="D102" s="628"/>
      <c r="E102" s="628"/>
      <c r="F102" s="37"/>
      <c r="G102" s="37"/>
      <c r="H102" s="629"/>
      <c r="I102" s="629"/>
      <c r="J102" s="629"/>
      <c r="K102" s="629"/>
      <c r="L102" s="629"/>
      <c r="M102" s="629"/>
      <c r="N102" s="35"/>
    </row>
    <row r="103" spans="1:14" ht="18.2" customHeight="1" x14ac:dyDescent="0.25">
      <c r="A103" s="628" t="s">
        <v>160</v>
      </c>
      <c r="B103" s="628"/>
      <c r="C103" s="628"/>
      <c r="D103" s="628"/>
      <c r="E103" s="628"/>
      <c r="F103" s="37"/>
      <c r="G103" s="37"/>
      <c r="H103" s="629"/>
      <c r="I103" s="629"/>
      <c r="J103" s="629"/>
      <c r="K103" s="629"/>
      <c r="L103" s="629"/>
      <c r="M103" s="629"/>
      <c r="N103" s="35"/>
    </row>
    <row r="104" spans="1:14" ht="18.2" customHeight="1" x14ac:dyDescent="0.25">
      <c r="A104" s="628" t="s">
        <v>161</v>
      </c>
      <c r="B104" s="628"/>
      <c r="C104" s="628"/>
      <c r="D104" s="628"/>
      <c r="E104" s="628"/>
      <c r="F104" s="37"/>
      <c r="G104" s="37"/>
      <c r="H104" s="629"/>
      <c r="I104" s="629"/>
      <c r="J104" s="629"/>
      <c r="K104" s="629"/>
      <c r="L104" s="629"/>
      <c r="M104" s="629"/>
      <c r="N104" s="35"/>
    </row>
    <row r="105" spans="1:14" ht="18.2" customHeight="1" x14ac:dyDescent="0.25">
      <c r="A105" s="628" t="s">
        <v>162</v>
      </c>
      <c r="B105" s="628"/>
      <c r="C105" s="628"/>
      <c r="D105" s="628"/>
      <c r="E105" s="628"/>
      <c r="F105" s="37"/>
      <c r="G105" s="37"/>
      <c r="H105" s="629"/>
      <c r="I105" s="629"/>
      <c r="J105" s="629"/>
      <c r="K105" s="629"/>
      <c r="L105" s="629"/>
      <c r="M105" s="629"/>
      <c r="N105" s="35"/>
    </row>
    <row r="106" spans="1:14" ht="18.2" customHeight="1" x14ac:dyDescent="0.25">
      <c r="A106" s="628"/>
      <c r="B106" s="628"/>
      <c r="C106" s="628"/>
      <c r="D106" s="628"/>
      <c r="E106" s="628"/>
      <c r="F106" s="37"/>
      <c r="G106" s="37"/>
      <c r="H106" s="629"/>
      <c r="I106" s="629"/>
      <c r="J106" s="629"/>
      <c r="K106" s="629"/>
      <c r="L106" s="629"/>
      <c r="M106" s="629"/>
      <c r="N106" s="35"/>
    </row>
    <row r="107" spans="1:14" ht="18.2" customHeight="1" x14ac:dyDescent="0.25">
      <c r="A107" s="628" t="s">
        <v>163</v>
      </c>
      <c r="B107" s="628"/>
      <c r="C107" s="628"/>
      <c r="D107" s="628"/>
      <c r="E107" s="628"/>
      <c r="F107" s="37"/>
      <c r="G107" s="37"/>
      <c r="H107" s="629"/>
      <c r="I107" s="629"/>
      <c r="J107" s="629"/>
      <c r="K107" s="629"/>
      <c r="L107" s="629"/>
      <c r="M107" s="629"/>
      <c r="N107" s="35"/>
    </row>
    <row r="108" spans="1:14" ht="18.2" customHeight="1" x14ac:dyDescent="0.25">
      <c r="A108" s="628" t="s">
        <v>164</v>
      </c>
      <c r="B108" s="628"/>
      <c r="C108" s="628"/>
      <c r="D108" s="628"/>
      <c r="E108" s="628"/>
      <c r="F108" s="37"/>
      <c r="G108" s="37"/>
      <c r="H108" s="629"/>
      <c r="I108" s="629"/>
      <c r="J108" s="629"/>
      <c r="K108" s="629"/>
      <c r="L108" s="629"/>
      <c r="M108" s="629"/>
      <c r="N108" s="35"/>
    </row>
    <row r="109" spans="1:14" ht="18.2" customHeight="1" x14ac:dyDescent="0.25">
      <c r="A109" s="628" t="s">
        <v>165</v>
      </c>
      <c r="B109" s="628"/>
      <c r="C109" s="628"/>
      <c r="D109" s="628"/>
      <c r="E109" s="628"/>
      <c r="F109" s="37"/>
      <c r="G109" s="37"/>
      <c r="H109" s="629"/>
      <c r="I109" s="629"/>
      <c r="J109" s="629"/>
      <c r="K109" s="629"/>
      <c r="L109" s="629"/>
      <c r="M109" s="629"/>
      <c r="N109" s="35"/>
    </row>
    <row r="110" spans="1:14" ht="18.2" customHeight="1" x14ac:dyDescent="0.25">
      <c r="A110" s="628" t="s">
        <v>166</v>
      </c>
      <c r="B110" s="628"/>
      <c r="C110" s="628"/>
      <c r="D110" s="628"/>
      <c r="E110" s="628"/>
      <c r="F110" s="37"/>
      <c r="G110" s="37"/>
      <c r="H110" s="629"/>
      <c r="I110" s="629"/>
      <c r="J110" s="629"/>
      <c r="K110" s="629"/>
      <c r="L110" s="629"/>
      <c r="M110" s="629"/>
      <c r="N110" s="35"/>
    </row>
    <row r="111" spans="1:14" ht="18.2" customHeight="1" x14ac:dyDescent="0.25">
      <c r="A111" s="628"/>
      <c r="B111" s="628"/>
      <c r="C111" s="628"/>
      <c r="D111" s="628"/>
      <c r="E111" s="628"/>
      <c r="F111" s="37"/>
      <c r="G111" s="37"/>
      <c r="H111" s="629"/>
      <c r="I111" s="629"/>
      <c r="J111" s="629"/>
      <c r="K111" s="629"/>
      <c r="L111" s="629"/>
      <c r="M111" s="629"/>
      <c r="N111" s="35"/>
    </row>
    <row r="112" spans="1:14" ht="18.2" customHeight="1" x14ac:dyDescent="0.25">
      <c r="A112" s="628" t="s">
        <v>167</v>
      </c>
      <c r="B112" s="628"/>
      <c r="C112" s="628"/>
      <c r="D112" s="628"/>
      <c r="E112" s="628"/>
      <c r="F112" s="37"/>
      <c r="G112" s="37"/>
      <c r="H112" s="629"/>
      <c r="I112" s="629"/>
      <c r="J112" s="629"/>
      <c r="K112" s="629"/>
      <c r="L112" s="629"/>
      <c r="M112" s="629"/>
      <c r="N112" s="35"/>
    </row>
    <row r="113" spans="1:14" ht="18.2" customHeight="1" x14ac:dyDescent="0.25">
      <c r="A113" s="628" t="s">
        <v>168</v>
      </c>
      <c r="B113" s="628"/>
      <c r="C113" s="628"/>
      <c r="D113" s="628"/>
      <c r="E113" s="628"/>
      <c r="F113" s="37"/>
      <c r="G113" s="37"/>
      <c r="H113" s="629"/>
      <c r="I113" s="629"/>
      <c r="J113" s="629"/>
      <c r="K113" s="629"/>
      <c r="L113" s="629"/>
      <c r="M113" s="629"/>
      <c r="N113" s="35"/>
    </row>
    <row r="114" spans="1:14" ht="18.2" customHeight="1" x14ac:dyDescent="0.25">
      <c r="A114" s="628"/>
      <c r="B114" s="628"/>
      <c r="C114" s="628"/>
      <c r="D114" s="628"/>
      <c r="E114" s="628"/>
      <c r="F114" s="37"/>
      <c r="G114" s="37"/>
      <c r="H114" s="629"/>
      <c r="I114" s="629"/>
      <c r="J114" s="629"/>
      <c r="K114" s="629"/>
      <c r="L114" s="629"/>
      <c r="M114" s="629"/>
      <c r="N114" s="35"/>
    </row>
    <row r="115" spans="1:14" ht="18.2" customHeight="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</row>
    <row r="116" spans="1:14" ht="18.2" customHeight="1" x14ac:dyDescent="0.25">
      <c r="A116" s="35"/>
      <c r="B116" s="35"/>
      <c r="C116" s="35"/>
      <c r="D116" s="35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</row>
    <row r="117" spans="1:14" ht="18.2" customHeight="1" x14ac:dyDescent="0.25">
      <c r="A117" s="634"/>
      <c r="B117" s="634"/>
      <c r="C117" s="35"/>
      <c r="D117" s="35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</row>
    <row r="118" spans="1:14" ht="18.2" customHeight="1" x14ac:dyDescent="0.25">
      <c r="A118" s="634"/>
      <c r="B118" s="634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</row>
    <row r="119" spans="1:14" ht="18.2" customHeight="1" x14ac:dyDescent="0.25"/>
    <row r="120" spans="1:14" ht="18.2" customHeight="1" x14ac:dyDescent="0.25"/>
    <row r="121" spans="1:14" ht="18.2" customHeight="1" x14ac:dyDescent="0.25"/>
    <row r="122" spans="1:14" ht="18.2" customHeight="1" x14ac:dyDescent="0.25"/>
    <row r="123" spans="1:14" ht="18.2" customHeight="1" x14ac:dyDescent="0.25"/>
    <row r="124" spans="1:14" ht="18.2" customHeight="1" x14ac:dyDescent="0.25"/>
    <row r="125" spans="1:14" ht="18.2" customHeight="1" x14ac:dyDescent="0.25"/>
    <row r="126" spans="1:14" ht="18.2" customHeight="1" x14ac:dyDescent="0.25"/>
    <row r="127" spans="1:14" ht="18.2" customHeight="1" x14ac:dyDescent="0.25"/>
    <row r="128" spans="1:14" ht="18.2" customHeight="1" x14ac:dyDescent="0.25"/>
    <row r="129" ht="18.2" customHeight="1" x14ac:dyDescent="0.25"/>
    <row r="130" ht="18.2" customHeight="1" x14ac:dyDescent="0.25"/>
    <row r="131" ht="64.150000000000006" customHeight="1" x14ac:dyDescent="0.25"/>
    <row r="132" ht="3.75" customHeight="1" x14ac:dyDescent="0.25"/>
    <row r="133" ht="9.75" customHeight="1" x14ac:dyDescent="0.25"/>
    <row r="134" ht="6.75" customHeight="1" x14ac:dyDescent="0.25"/>
  </sheetData>
  <sheetProtection algorithmName="SHA-512" hashValue="u643tIAShjpqsj4wdpjlRa2F1wTh2T5hn6E7yJNYG8hTi8zGjGYMMjhNMGG/D110SUTSrTZN67m7ACxW/ZYYMw==" saltValue="ePvUhZ7/WXpcf15oVtczOw==" spinCount="100000" sheet="1" objects="1" scenarios="1"/>
  <mergeCells count="221">
    <mergeCell ref="A16:E16"/>
    <mergeCell ref="H16:M16"/>
    <mergeCell ref="A17:E17"/>
    <mergeCell ref="H17:M17"/>
    <mergeCell ref="A18:E18"/>
    <mergeCell ref="H18:M18"/>
    <mergeCell ref="A22:E22"/>
    <mergeCell ref="H22:M22"/>
    <mergeCell ref="A23:E23"/>
    <mergeCell ref="H23:M23"/>
    <mergeCell ref="A24:E24"/>
    <mergeCell ref="H24:M24"/>
    <mergeCell ref="A19:E19"/>
    <mergeCell ref="H19:M19"/>
    <mergeCell ref="A20:E20"/>
    <mergeCell ref="H20:M20"/>
    <mergeCell ref="A21:E21"/>
    <mergeCell ref="H21:M21"/>
    <mergeCell ref="A28:E28"/>
    <mergeCell ref="H28:M28"/>
    <mergeCell ref="A29:E29"/>
    <mergeCell ref="H29:M29"/>
    <mergeCell ref="A30:E30"/>
    <mergeCell ref="H30:M30"/>
    <mergeCell ref="A25:E25"/>
    <mergeCell ref="H25:M25"/>
    <mergeCell ref="A26:E26"/>
    <mergeCell ref="H26:M26"/>
    <mergeCell ref="A27:E27"/>
    <mergeCell ref="H27:M27"/>
    <mergeCell ref="A34:E34"/>
    <mergeCell ref="H34:M34"/>
    <mergeCell ref="A35:E35"/>
    <mergeCell ref="H35:M35"/>
    <mergeCell ref="A36:E36"/>
    <mergeCell ref="H36:M36"/>
    <mergeCell ref="A31:E31"/>
    <mergeCell ref="H31:M31"/>
    <mergeCell ref="A32:E32"/>
    <mergeCell ref="H32:M32"/>
    <mergeCell ref="A33:E33"/>
    <mergeCell ref="H33:M33"/>
    <mergeCell ref="A40:E40"/>
    <mergeCell ref="H40:M40"/>
    <mergeCell ref="A41:E41"/>
    <mergeCell ref="H41:M41"/>
    <mergeCell ref="A42:E42"/>
    <mergeCell ref="H42:M42"/>
    <mergeCell ref="A37:E37"/>
    <mergeCell ref="H37:M37"/>
    <mergeCell ref="A38:E38"/>
    <mergeCell ref="H38:M38"/>
    <mergeCell ref="A39:E39"/>
    <mergeCell ref="H39:M39"/>
    <mergeCell ref="A46:E46"/>
    <mergeCell ref="H46:M46"/>
    <mergeCell ref="A47:E47"/>
    <mergeCell ref="H47:M47"/>
    <mergeCell ref="A48:E48"/>
    <mergeCell ref="H48:M48"/>
    <mergeCell ref="A43:E43"/>
    <mergeCell ref="H43:M43"/>
    <mergeCell ref="A44:E44"/>
    <mergeCell ref="H44:M44"/>
    <mergeCell ref="A45:E45"/>
    <mergeCell ref="H45:M45"/>
    <mergeCell ref="A52:E52"/>
    <mergeCell ref="H52:M52"/>
    <mergeCell ref="A53:E53"/>
    <mergeCell ref="H53:M53"/>
    <mergeCell ref="A54:E54"/>
    <mergeCell ref="H54:M54"/>
    <mergeCell ref="A49:E49"/>
    <mergeCell ref="H49:M49"/>
    <mergeCell ref="A50:E50"/>
    <mergeCell ref="H50:M50"/>
    <mergeCell ref="A51:E51"/>
    <mergeCell ref="H51:M51"/>
    <mergeCell ref="A58:E58"/>
    <mergeCell ref="H58:M58"/>
    <mergeCell ref="A59:E59"/>
    <mergeCell ref="H59:M59"/>
    <mergeCell ref="A60:E60"/>
    <mergeCell ref="H60:M60"/>
    <mergeCell ref="A55:E55"/>
    <mergeCell ref="H55:M55"/>
    <mergeCell ref="A56:E56"/>
    <mergeCell ref="H56:M56"/>
    <mergeCell ref="A57:E57"/>
    <mergeCell ref="H57:M57"/>
    <mergeCell ref="A64:E64"/>
    <mergeCell ref="H64:M64"/>
    <mergeCell ref="A65:E65"/>
    <mergeCell ref="H65:M65"/>
    <mergeCell ref="A66:E66"/>
    <mergeCell ref="H66:M66"/>
    <mergeCell ref="A61:E61"/>
    <mergeCell ref="H61:M61"/>
    <mergeCell ref="A62:E62"/>
    <mergeCell ref="H62:M62"/>
    <mergeCell ref="A63:E63"/>
    <mergeCell ref="H63:M63"/>
    <mergeCell ref="A70:E70"/>
    <mergeCell ref="H70:M70"/>
    <mergeCell ref="A71:E71"/>
    <mergeCell ref="H71:M71"/>
    <mergeCell ref="A72:E72"/>
    <mergeCell ref="H72:M72"/>
    <mergeCell ref="A67:E67"/>
    <mergeCell ref="H67:M67"/>
    <mergeCell ref="A68:E68"/>
    <mergeCell ref="H68:M68"/>
    <mergeCell ref="A69:E69"/>
    <mergeCell ref="H69:M69"/>
    <mergeCell ref="A76:E76"/>
    <mergeCell ref="H76:M76"/>
    <mergeCell ref="A77:E77"/>
    <mergeCell ref="H77:M77"/>
    <mergeCell ref="A78:E78"/>
    <mergeCell ref="H78:M78"/>
    <mergeCell ref="A73:E73"/>
    <mergeCell ref="H73:M73"/>
    <mergeCell ref="A74:E74"/>
    <mergeCell ref="H74:M74"/>
    <mergeCell ref="A75:E75"/>
    <mergeCell ref="H75:M75"/>
    <mergeCell ref="A82:E82"/>
    <mergeCell ref="H82:M82"/>
    <mergeCell ref="A83:E83"/>
    <mergeCell ref="H83:M83"/>
    <mergeCell ref="A84:E84"/>
    <mergeCell ref="H84:M84"/>
    <mergeCell ref="A79:E79"/>
    <mergeCell ref="H79:M79"/>
    <mergeCell ref="A80:E80"/>
    <mergeCell ref="H80:M80"/>
    <mergeCell ref="A81:E81"/>
    <mergeCell ref="H81:M81"/>
    <mergeCell ref="A88:E88"/>
    <mergeCell ref="H88:M88"/>
    <mergeCell ref="A89:E89"/>
    <mergeCell ref="H89:M89"/>
    <mergeCell ref="A90:E90"/>
    <mergeCell ref="H90:M90"/>
    <mergeCell ref="A85:E85"/>
    <mergeCell ref="H85:M85"/>
    <mergeCell ref="A86:E86"/>
    <mergeCell ref="H86:M86"/>
    <mergeCell ref="A87:E87"/>
    <mergeCell ref="H87:M87"/>
    <mergeCell ref="A94:E94"/>
    <mergeCell ref="H94:M94"/>
    <mergeCell ref="A95:E95"/>
    <mergeCell ref="H95:M95"/>
    <mergeCell ref="A96:E96"/>
    <mergeCell ref="H96:M96"/>
    <mergeCell ref="A91:E91"/>
    <mergeCell ref="H91:M91"/>
    <mergeCell ref="A92:E92"/>
    <mergeCell ref="H92:M92"/>
    <mergeCell ref="A93:E93"/>
    <mergeCell ref="H93:M93"/>
    <mergeCell ref="H101:M101"/>
    <mergeCell ref="A102:E102"/>
    <mergeCell ref="H102:M102"/>
    <mergeCell ref="A97:E97"/>
    <mergeCell ref="H97:M97"/>
    <mergeCell ref="A98:E98"/>
    <mergeCell ref="H98:M98"/>
    <mergeCell ref="A99:E99"/>
    <mergeCell ref="H99:M99"/>
    <mergeCell ref="A113:E113"/>
    <mergeCell ref="H113:M113"/>
    <mergeCell ref="A114:E114"/>
    <mergeCell ref="H114:M114"/>
    <mergeCell ref="A117:B118"/>
    <mergeCell ref="A109:E109"/>
    <mergeCell ref="H109:M109"/>
    <mergeCell ref="A110:E110"/>
    <mergeCell ref="H110:M110"/>
    <mergeCell ref="A111:E111"/>
    <mergeCell ref="H111:M111"/>
    <mergeCell ref="B2:C2"/>
    <mergeCell ref="E2:I2"/>
    <mergeCell ref="K2:L2"/>
    <mergeCell ref="M2:N2"/>
    <mergeCell ref="A3:A4"/>
    <mergeCell ref="B3:C4"/>
    <mergeCell ref="E3:I3"/>
    <mergeCell ref="A112:E112"/>
    <mergeCell ref="H112:M112"/>
    <mergeCell ref="A106:E106"/>
    <mergeCell ref="H106:M106"/>
    <mergeCell ref="A107:E107"/>
    <mergeCell ref="H107:M107"/>
    <mergeCell ref="A108:E108"/>
    <mergeCell ref="H108:M108"/>
    <mergeCell ref="A103:E103"/>
    <mergeCell ref="H103:M103"/>
    <mergeCell ref="A104:E104"/>
    <mergeCell ref="H104:M104"/>
    <mergeCell ref="A105:E105"/>
    <mergeCell ref="H105:M105"/>
    <mergeCell ref="A100:E100"/>
    <mergeCell ref="H100:M100"/>
    <mergeCell ref="A101:E101"/>
    <mergeCell ref="A15:E15"/>
    <mergeCell ref="H15:M15"/>
    <mergeCell ref="A12:E12"/>
    <mergeCell ref="H12:M12"/>
    <mergeCell ref="A13:E13"/>
    <mergeCell ref="H13:M13"/>
    <mergeCell ref="A14:E14"/>
    <mergeCell ref="H14:M14"/>
    <mergeCell ref="K3:L4"/>
    <mergeCell ref="M3:N3"/>
    <mergeCell ref="E5:I5"/>
    <mergeCell ref="A7:N7"/>
    <mergeCell ref="E9:I9"/>
    <mergeCell ref="A11:E11"/>
    <mergeCell ref="H11:M11"/>
  </mergeCells>
  <pageMargins left="0.7" right="0.7" top="0.75" bottom="0.75" header="0.3" footer="0.3"/>
  <pageSetup paperSize="9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ascieDOM"/>
  <dimension ref="A1:N118"/>
  <sheetViews>
    <sheetView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630"/>
      <c r="C2" s="630"/>
      <c r="D2" s="35"/>
      <c r="E2" s="631"/>
      <c r="F2" s="631"/>
      <c r="G2" s="631"/>
      <c r="H2" s="631"/>
      <c r="I2" s="631"/>
      <c r="J2" s="35"/>
      <c r="K2" s="630"/>
      <c r="L2" s="630"/>
      <c r="M2" s="632"/>
      <c r="N2" s="632"/>
    </row>
    <row r="3" spans="1:14" ht="12.95" customHeight="1" x14ac:dyDescent="0.25">
      <c r="A3" s="630"/>
      <c r="B3" s="630"/>
      <c r="C3" s="630"/>
      <c r="D3" s="35"/>
      <c r="E3" s="631"/>
      <c r="F3" s="631"/>
      <c r="G3" s="631"/>
      <c r="H3" s="631"/>
      <c r="I3" s="631"/>
      <c r="J3" s="35"/>
      <c r="K3" s="630"/>
      <c r="L3" s="630"/>
      <c r="M3" s="633"/>
      <c r="N3" s="633"/>
    </row>
    <row r="4" spans="1:14" ht="0.75" customHeight="1" x14ac:dyDescent="0.25">
      <c r="A4" s="630"/>
      <c r="B4" s="630"/>
      <c r="C4" s="630"/>
      <c r="D4" s="35"/>
      <c r="E4" s="35"/>
      <c r="F4" s="35"/>
      <c r="G4" s="35"/>
      <c r="H4" s="35"/>
      <c r="I4" s="35"/>
      <c r="J4" s="35"/>
      <c r="K4" s="630"/>
      <c r="L4" s="630"/>
      <c r="M4" s="35"/>
      <c r="N4" s="35"/>
    </row>
    <row r="5" spans="1:14" ht="12.95" customHeight="1" x14ac:dyDescent="0.25">
      <c r="A5" s="35"/>
      <c r="B5" s="35"/>
      <c r="C5" s="35"/>
      <c r="D5" s="35"/>
      <c r="E5" s="631"/>
      <c r="F5" s="631"/>
      <c r="G5" s="631"/>
      <c r="H5" s="631"/>
      <c r="I5" s="631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634"/>
      <c r="B7" s="634"/>
      <c r="C7" s="634"/>
      <c r="D7" s="634"/>
      <c r="E7" s="634"/>
      <c r="F7" s="634"/>
      <c r="G7" s="634"/>
      <c r="H7" s="634"/>
      <c r="I7" s="634"/>
      <c r="J7" s="634"/>
      <c r="K7" s="634"/>
      <c r="L7" s="634"/>
      <c r="M7" s="634"/>
      <c r="N7" s="634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635"/>
      <c r="F9" s="635"/>
      <c r="G9" s="635"/>
      <c r="H9" s="635"/>
      <c r="I9" s="635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626" t="s">
        <v>86</v>
      </c>
      <c r="B11" s="626"/>
      <c r="C11" s="626"/>
      <c r="D11" s="626"/>
      <c r="E11" s="626"/>
      <c r="F11" s="329" t="s">
        <v>330</v>
      </c>
      <c r="G11" s="329" t="s">
        <v>299</v>
      </c>
      <c r="H11" s="627"/>
      <c r="I11" s="627"/>
      <c r="J11" s="627"/>
      <c r="K11" s="627"/>
      <c r="L11" s="627"/>
      <c r="M11" s="627"/>
      <c r="N11" s="35"/>
    </row>
    <row r="12" spans="1:14" ht="18.2" customHeight="1" x14ac:dyDescent="0.25">
      <c r="A12" s="628" t="s">
        <v>87</v>
      </c>
      <c r="B12" s="628"/>
      <c r="C12" s="628"/>
      <c r="D12" s="628"/>
      <c r="E12" s="628"/>
      <c r="F12" s="37"/>
      <c r="G12" s="37"/>
      <c r="H12" s="629"/>
      <c r="I12" s="629"/>
      <c r="J12" s="629"/>
      <c r="K12" s="629"/>
      <c r="L12" s="629"/>
      <c r="M12" s="629"/>
      <c r="N12" s="35"/>
    </row>
    <row r="13" spans="1:14" ht="18.2" customHeight="1" x14ac:dyDescent="0.25">
      <c r="A13" s="628" t="s">
        <v>88</v>
      </c>
      <c r="B13" s="628"/>
      <c r="C13" s="628"/>
      <c r="D13" s="628"/>
      <c r="E13" s="628"/>
      <c r="F13" s="37"/>
      <c r="G13" s="37"/>
      <c r="H13" s="629"/>
      <c r="I13" s="629"/>
      <c r="J13" s="629"/>
      <c r="K13" s="629"/>
      <c r="L13" s="629"/>
      <c r="M13" s="629"/>
      <c r="N13" s="35"/>
    </row>
    <row r="14" spans="1:14" ht="18.2" customHeight="1" x14ac:dyDescent="0.25">
      <c r="A14" s="628" t="s">
        <v>89</v>
      </c>
      <c r="B14" s="628"/>
      <c r="C14" s="628"/>
      <c r="D14" s="628"/>
      <c r="E14" s="628"/>
      <c r="F14" s="37"/>
      <c r="G14" s="37"/>
      <c r="H14" s="629"/>
      <c r="I14" s="629"/>
      <c r="J14" s="629"/>
      <c r="K14" s="629"/>
      <c r="L14" s="629"/>
      <c r="M14" s="629"/>
      <c r="N14" s="35"/>
    </row>
    <row r="15" spans="1:14" ht="18.2" customHeight="1" x14ac:dyDescent="0.25">
      <c r="A15" s="628" t="s">
        <v>90</v>
      </c>
      <c r="B15" s="628"/>
      <c r="C15" s="628"/>
      <c r="D15" s="628"/>
      <c r="E15" s="628"/>
      <c r="F15" s="37"/>
      <c r="G15" s="37"/>
      <c r="H15" s="629"/>
      <c r="I15" s="629"/>
      <c r="J15" s="629"/>
      <c r="K15" s="629"/>
      <c r="L15" s="629"/>
      <c r="M15" s="629"/>
      <c r="N15" s="35"/>
    </row>
    <row r="16" spans="1:14" ht="18.2" customHeight="1" x14ac:dyDescent="0.25">
      <c r="A16" s="628"/>
      <c r="B16" s="628"/>
      <c r="C16" s="628"/>
      <c r="D16" s="628"/>
      <c r="E16" s="628"/>
      <c r="F16" s="37"/>
      <c r="G16" s="37"/>
      <c r="H16" s="629"/>
      <c r="I16" s="629"/>
      <c r="J16" s="629"/>
      <c r="K16" s="629"/>
      <c r="L16" s="629"/>
      <c r="M16" s="629"/>
      <c r="N16" s="35"/>
    </row>
    <row r="17" spans="1:14" ht="18.2" customHeight="1" x14ac:dyDescent="0.25">
      <c r="A17" s="628" t="s">
        <v>91</v>
      </c>
      <c r="B17" s="628"/>
      <c r="C17" s="628"/>
      <c r="D17" s="628"/>
      <c r="E17" s="628"/>
      <c r="F17" s="37"/>
      <c r="G17" s="37"/>
      <c r="H17" s="629"/>
      <c r="I17" s="629"/>
      <c r="J17" s="629"/>
      <c r="K17" s="629"/>
      <c r="L17" s="629"/>
      <c r="M17" s="629"/>
      <c r="N17" s="35"/>
    </row>
    <row r="18" spans="1:14" ht="18.2" customHeight="1" x14ac:dyDescent="0.25">
      <c r="A18" s="628" t="s">
        <v>92</v>
      </c>
      <c r="B18" s="628"/>
      <c r="C18" s="628"/>
      <c r="D18" s="628"/>
      <c r="E18" s="628"/>
      <c r="F18" s="37"/>
      <c r="G18" s="37"/>
      <c r="H18" s="629"/>
      <c r="I18" s="629"/>
      <c r="J18" s="629"/>
      <c r="K18" s="629"/>
      <c r="L18" s="629"/>
      <c r="M18" s="629"/>
      <c r="N18" s="35"/>
    </row>
    <row r="19" spans="1:14" ht="18.2" customHeight="1" x14ac:dyDescent="0.25">
      <c r="A19" s="628" t="s">
        <v>93</v>
      </c>
      <c r="B19" s="628"/>
      <c r="C19" s="628"/>
      <c r="D19" s="628"/>
      <c r="E19" s="628"/>
      <c r="F19" s="37"/>
      <c r="G19" s="37"/>
      <c r="H19" s="629"/>
      <c r="I19" s="629"/>
      <c r="J19" s="629"/>
      <c r="K19" s="629"/>
      <c r="L19" s="629"/>
      <c r="M19" s="629"/>
      <c r="N19" s="35"/>
    </row>
    <row r="20" spans="1:14" ht="18.2" customHeight="1" x14ac:dyDescent="0.25">
      <c r="A20" s="628" t="s">
        <v>94</v>
      </c>
      <c r="B20" s="628"/>
      <c r="C20" s="628"/>
      <c r="D20" s="628"/>
      <c r="E20" s="628"/>
      <c r="F20" s="37"/>
      <c r="G20" s="37"/>
      <c r="H20" s="629"/>
      <c r="I20" s="629"/>
      <c r="J20" s="629"/>
      <c r="K20" s="629"/>
      <c r="L20" s="629"/>
      <c r="M20" s="629"/>
      <c r="N20" s="35"/>
    </row>
    <row r="21" spans="1:14" ht="18.2" customHeight="1" x14ac:dyDescent="0.25">
      <c r="A21" s="628"/>
      <c r="B21" s="628"/>
      <c r="C21" s="628"/>
      <c r="D21" s="628"/>
      <c r="E21" s="628"/>
      <c r="F21" s="37"/>
      <c r="G21" s="37"/>
      <c r="H21" s="629"/>
      <c r="I21" s="629"/>
      <c r="J21" s="629"/>
      <c r="K21" s="629"/>
      <c r="L21" s="629"/>
      <c r="M21" s="629"/>
      <c r="N21" s="35"/>
    </row>
    <row r="22" spans="1:14" ht="18.2" customHeight="1" x14ac:dyDescent="0.25">
      <c r="A22" s="628" t="s">
        <v>95</v>
      </c>
      <c r="B22" s="628"/>
      <c r="C22" s="628"/>
      <c r="D22" s="628"/>
      <c r="E22" s="628"/>
      <c r="F22" s="37"/>
      <c r="G22" s="37"/>
      <c r="H22" s="629"/>
      <c r="I22" s="629"/>
      <c r="J22" s="629"/>
      <c r="K22" s="629"/>
      <c r="L22" s="629"/>
      <c r="M22" s="629"/>
      <c r="N22" s="35"/>
    </row>
    <row r="23" spans="1:14" ht="18.2" customHeight="1" x14ac:dyDescent="0.25">
      <c r="A23" s="628" t="s">
        <v>96</v>
      </c>
      <c r="B23" s="628"/>
      <c r="C23" s="628"/>
      <c r="D23" s="628"/>
      <c r="E23" s="628"/>
      <c r="F23" s="37"/>
      <c r="G23" s="37"/>
      <c r="H23" s="629"/>
      <c r="I23" s="629"/>
      <c r="J23" s="629"/>
      <c r="K23" s="629"/>
      <c r="L23" s="629"/>
      <c r="M23" s="629"/>
      <c r="N23" s="35"/>
    </row>
    <row r="24" spans="1:14" ht="18.2" customHeight="1" x14ac:dyDescent="0.25">
      <c r="A24" s="628" t="s">
        <v>97</v>
      </c>
      <c r="B24" s="628"/>
      <c r="C24" s="628"/>
      <c r="D24" s="628"/>
      <c r="E24" s="628"/>
      <c r="F24" s="37"/>
      <c r="G24" s="37"/>
      <c r="H24" s="629"/>
      <c r="I24" s="629"/>
      <c r="J24" s="629"/>
      <c r="K24" s="629"/>
      <c r="L24" s="629"/>
      <c r="M24" s="629"/>
      <c r="N24" s="35"/>
    </row>
    <row r="25" spans="1:14" ht="18.2" customHeight="1" x14ac:dyDescent="0.25">
      <c r="A25" s="628" t="s">
        <v>98</v>
      </c>
      <c r="B25" s="628"/>
      <c r="C25" s="628"/>
      <c r="D25" s="628"/>
      <c r="E25" s="628"/>
      <c r="F25" s="37"/>
      <c r="G25" s="37"/>
      <c r="H25" s="629"/>
      <c r="I25" s="629"/>
      <c r="J25" s="629"/>
      <c r="K25" s="629"/>
      <c r="L25" s="629"/>
      <c r="M25" s="629"/>
      <c r="N25" s="35"/>
    </row>
    <row r="26" spans="1:14" ht="18.2" customHeight="1" x14ac:dyDescent="0.25">
      <c r="A26" s="628"/>
      <c r="B26" s="628"/>
      <c r="C26" s="628"/>
      <c r="D26" s="628"/>
      <c r="E26" s="628"/>
      <c r="F26" s="37"/>
      <c r="G26" s="37"/>
      <c r="H26" s="629"/>
      <c r="I26" s="629"/>
      <c r="J26" s="629"/>
      <c r="K26" s="629"/>
      <c r="L26" s="629"/>
      <c r="M26" s="629"/>
      <c r="N26" s="35"/>
    </row>
    <row r="27" spans="1:14" ht="18.2" customHeight="1" x14ac:dyDescent="0.25">
      <c r="A27" s="628" t="s">
        <v>99</v>
      </c>
      <c r="B27" s="628"/>
      <c r="C27" s="628"/>
      <c r="D27" s="628"/>
      <c r="E27" s="628"/>
      <c r="F27" s="37"/>
      <c r="G27" s="37"/>
      <c r="H27" s="629"/>
      <c r="I27" s="629"/>
      <c r="J27" s="629"/>
      <c r="K27" s="629"/>
      <c r="L27" s="629"/>
      <c r="M27" s="629"/>
      <c r="N27" s="35"/>
    </row>
    <row r="28" spans="1:14" ht="18.2" customHeight="1" x14ac:dyDescent="0.25">
      <c r="A28" s="628" t="s">
        <v>100</v>
      </c>
      <c r="B28" s="628"/>
      <c r="C28" s="628"/>
      <c r="D28" s="628"/>
      <c r="E28" s="628"/>
      <c r="F28" s="37"/>
      <c r="G28" s="37"/>
      <c r="H28" s="629"/>
      <c r="I28" s="629"/>
      <c r="J28" s="629"/>
      <c r="K28" s="629"/>
      <c r="L28" s="629"/>
      <c r="M28" s="629"/>
      <c r="N28" s="35"/>
    </row>
    <row r="29" spans="1:14" ht="18.2" customHeight="1" x14ac:dyDescent="0.25">
      <c r="A29" s="628" t="s">
        <v>101</v>
      </c>
      <c r="B29" s="628"/>
      <c r="C29" s="628"/>
      <c r="D29" s="628"/>
      <c r="E29" s="628"/>
      <c r="F29" s="37"/>
      <c r="G29" s="37"/>
      <c r="H29" s="629"/>
      <c r="I29" s="629"/>
      <c r="J29" s="629"/>
      <c r="K29" s="629"/>
      <c r="L29" s="629"/>
      <c r="M29" s="629"/>
      <c r="N29" s="35"/>
    </row>
    <row r="30" spans="1:14" ht="18.2" customHeight="1" x14ac:dyDescent="0.25">
      <c r="A30" s="628" t="s">
        <v>102</v>
      </c>
      <c r="B30" s="628"/>
      <c r="C30" s="628"/>
      <c r="D30" s="628"/>
      <c r="E30" s="628"/>
      <c r="F30" s="37"/>
      <c r="G30" s="37"/>
      <c r="H30" s="629"/>
      <c r="I30" s="629"/>
      <c r="J30" s="629"/>
      <c r="K30" s="629"/>
      <c r="L30" s="629"/>
      <c r="M30" s="629"/>
      <c r="N30" s="35"/>
    </row>
    <row r="31" spans="1:14" ht="18.2" customHeight="1" x14ac:dyDescent="0.25">
      <c r="A31" s="628"/>
      <c r="B31" s="628"/>
      <c r="C31" s="628"/>
      <c r="D31" s="628"/>
      <c r="E31" s="628"/>
      <c r="F31" s="37"/>
      <c r="G31" s="37"/>
      <c r="H31" s="629"/>
      <c r="I31" s="629"/>
      <c r="J31" s="629"/>
      <c r="K31" s="629"/>
      <c r="L31" s="629"/>
      <c r="M31" s="629"/>
      <c r="N31" s="35"/>
    </row>
    <row r="32" spans="1:14" ht="18.2" customHeight="1" x14ac:dyDescent="0.25">
      <c r="A32" s="628" t="s">
        <v>103</v>
      </c>
      <c r="B32" s="628"/>
      <c r="C32" s="628"/>
      <c r="D32" s="628"/>
      <c r="E32" s="628"/>
      <c r="F32" s="37"/>
      <c r="G32" s="37"/>
      <c r="H32" s="629"/>
      <c r="I32" s="629"/>
      <c r="J32" s="629"/>
      <c r="K32" s="629"/>
      <c r="L32" s="629"/>
      <c r="M32" s="629"/>
      <c r="N32" s="35"/>
    </row>
    <row r="33" spans="1:14" ht="18.2" customHeight="1" x14ac:dyDescent="0.25">
      <c r="A33" s="628" t="s">
        <v>104</v>
      </c>
      <c r="B33" s="628"/>
      <c r="C33" s="628"/>
      <c r="D33" s="628"/>
      <c r="E33" s="628"/>
      <c r="F33" s="37"/>
      <c r="G33" s="37"/>
      <c r="H33" s="629"/>
      <c r="I33" s="629"/>
      <c r="J33" s="629"/>
      <c r="K33" s="629"/>
      <c r="L33" s="629"/>
      <c r="M33" s="629"/>
      <c r="N33" s="35"/>
    </row>
    <row r="34" spans="1:14" ht="18.2" customHeight="1" x14ac:dyDescent="0.25">
      <c r="A34" s="628" t="s">
        <v>105</v>
      </c>
      <c r="B34" s="628"/>
      <c r="C34" s="628"/>
      <c r="D34" s="628"/>
      <c r="E34" s="628"/>
      <c r="F34" s="37"/>
      <c r="G34" s="37"/>
      <c r="H34" s="629"/>
      <c r="I34" s="629"/>
      <c r="J34" s="629"/>
      <c r="K34" s="629"/>
      <c r="L34" s="629"/>
      <c r="M34" s="629"/>
      <c r="N34" s="35"/>
    </row>
    <row r="35" spans="1:14" ht="18.2" customHeight="1" x14ac:dyDescent="0.25">
      <c r="A35" s="628" t="s">
        <v>106</v>
      </c>
      <c r="B35" s="628"/>
      <c r="C35" s="628"/>
      <c r="D35" s="628"/>
      <c r="E35" s="628"/>
      <c r="F35" s="37"/>
      <c r="G35" s="37"/>
      <c r="H35" s="629"/>
      <c r="I35" s="629"/>
      <c r="J35" s="629"/>
      <c r="K35" s="629"/>
      <c r="L35" s="629"/>
      <c r="M35" s="629"/>
      <c r="N35" s="35"/>
    </row>
    <row r="36" spans="1:14" ht="18.2" customHeight="1" x14ac:dyDescent="0.25">
      <c r="A36" s="628"/>
      <c r="B36" s="628"/>
      <c r="C36" s="628"/>
      <c r="D36" s="628"/>
      <c r="E36" s="628"/>
      <c r="F36" s="37"/>
      <c r="G36" s="37"/>
      <c r="H36" s="629"/>
      <c r="I36" s="629"/>
      <c r="J36" s="629"/>
      <c r="K36" s="629"/>
      <c r="L36" s="629"/>
      <c r="M36" s="629"/>
      <c r="N36" s="35"/>
    </row>
    <row r="37" spans="1:14" ht="18.2" customHeight="1" x14ac:dyDescent="0.25">
      <c r="A37" s="628" t="s">
        <v>107</v>
      </c>
      <c r="B37" s="628"/>
      <c r="C37" s="628"/>
      <c r="D37" s="628"/>
      <c r="E37" s="628"/>
      <c r="F37" s="37"/>
      <c r="G37" s="37"/>
      <c r="H37" s="629"/>
      <c r="I37" s="629"/>
      <c r="J37" s="629"/>
      <c r="K37" s="629"/>
      <c r="L37" s="629"/>
      <c r="M37" s="629"/>
      <c r="N37" s="35"/>
    </row>
    <row r="38" spans="1:14" ht="18.2" customHeight="1" x14ac:dyDescent="0.25">
      <c r="A38" s="628" t="s">
        <v>108</v>
      </c>
      <c r="B38" s="628"/>
      <c r="C38" s="628"/>
      <c r="D38" s="628"/>
      <c r="E38" s="628"/>
      <c r="F38" s="37"/>
      <c r="G38" s="37"/>
      <c r="H38" s="629"/>
      <c r="I38" s="629"/>
      <c r="J38" s="629"/>
      <c r="K38" s="629"/>
      <c r="L38" s="629"/>
      <c r="M38" s="629"/>
      <c r="N38" s="35"/>
    </row>
    <row r="39" spans="1:14" ht="18.2" customHeight="1" x14ac:dyDescent="0.25">
      <c r="A39" s="628" t="s">
        <v>109</v>
      </c>
      <c r="B39" s="628"/>
      <c r="C39" s="628"/>
      <c r="D39" s="628"/>
      <c r="E39" s="628"/>
      <c r="F39" s="37"/>
      <c r="G39" s="37"/>
      <c r="H39" s="629"/>
      <c r="I39" s="629"/>
      <c r="J39" s="629"/>
      <c r="K39" s="629"/>
      <c r="L39" s="629"/>
      <c r="M39" s="629"/>
      <c r="N39" s="35"/>
    </row>
    <row r="40" spans="1:14" ht="18.2" customHeight="1" x14ac:dyDescent="0.25">
      <c r="A40" s="628" t="s">
        <v>110</v>
      </c>
      <c r="B40" s="628"/>
      <c r="C40" s="628"/>
      <c r="D40" s="628"/>
      <c r="E40" s="628"/>
      <c r="F40" s="37"/>
      <c r="G40" s="37"/>
      <c r="H40" s="629"/>
      <c r="I40" s="629"/>
      <c r="J40" s="629"/>
      <c r="K40" s="629"/>
      <c r="L40" s="629"/>
      <c r="M40" s="629"/>
      <c r="N40" s="35"/>
    </row>
    <row r="41" spans="1:14" ht="18.2" customHeight="1" x14ac:dyDescent="0.25">
      <c r="A41" s="628"/>
      <c r="B41" s="628"/>
      <c r="C41" s="628"/>
      <c r="D41" s="628"/>
      <c r="E41" s="628"/>
      <c r="F41" s="37"/>
      <c r="G41" s="37"/>
      <c r="H41" s="629"/>
      <c r="I41" s="629"/>
      <c r="J41" s="629"/>
      <c r="K41" s="629"/>
      <c r="L41" s="629"/>
      <c r="M41" s="629"/>
      <c r="N41" s="35"/>
    </row>
    <row r="42" spans="1:14" ht="18.2" customHeight="1" x14ac:dyDescent="0.25">
      <c r="A42" s="628" t="s">
        <v>111</v>
      </c>
      <c r="B42" s="628"/>
      <c r="C42" s="628"/>
      <c r="D42" s="628"/>
      <c r="E42" s="628"/>
      <c r="F42" s="37"/>
      <c r="G42" s="37"/>
      <c r="H42" s="629"/>
      <c r="I42" s="629"/>
      <c r="J42" s="629"/>
      <c r="K42" s="629"/>
      <c r="L42" s="629"/>
      <c r="M42" s="629"/>
      <c r="N42" s="35"/>
    </row>
    <row r="43" spans="1:14" ht="18.2" customHeight="1" x14ac:dyDescent="0.25">
      <c r="A43" s="628" t="s">
        <v>112</v>
      </c>
      <c r="B43" s="628"/>
      <c r="C43" s="628"/>
      <c r="D43" s="628"/>
      <c r="E43" s="628"/>
      <c r="F43" s="37"/>
      <c r="G43" s="37"/>
      <c r="H43" s="629"/>
      <c r="I43" s="629"/>
      <c r="J43" s="629"/>
      <c r="K43" s="629"/>
      <c r="L43" s="629"/>
      <c r="M43" s="629"/>
      <c r="N43" s="35"/>
    </row>
    <row r="44" spans="1:14" ht="18.2" customHeight="1" x14ac:dyDescent="0.25">
      <c r="A44" s="628" t="s">
        <v>113</v>
      </c>
      <c r="B44" s="628"/>
      <c r="C44" s="628"/>
      <c r="D44" s="628"/>
      <c r="E44" s="628"/>
      <c r="F44" s="37"/>
      <c r="G44" s="37"/>
      <c r="H44" s="629"/>
      <c r="I44" s="629"/>
      <c r="J44" s="629"/>
      <c r="K44" s="629"/>
      <c r="L44" s="629"/>
      <c r="M44" s="629"/>
      <c r="N44" s="35"/>
    </row>
    <row r="45" spans="1:14" ht="18.2" customHeight="1" x14ac:dyDescent="0.25">
      <c r="A45" s="628" t="s">
        <v>114</v>
      </c>
      <c r="B45" s="628"/>
      <c r="C45" s="628"/>
      <c r="D45" s="628"/>
      <c r="E45" s="628"/>
      <c r="F45" s="37"/>
      <c r="G45" s="37"/>
      <c r="H45" s="629"/>
      <c r="I45" s="629"/>
      <c r="J45" s="629"/>
      <c r="K45" s="629"/>
      <c r="L45" s="629"/>
      <c r="M45" s="629"/>
      <c r="N45" s="35"/>
    </row>
    <row r="46" spans="1:14" ht="18.2" customHeight="1" x14ac:dyDescent="0.25">
      <c r="A46" s="628"/>
      <c r="B46" s="628"/>
      <c r="C46" s="628"/>
      <c r="D46" s="628"/>
      <c r="E46" s="628"/>
      <c r="F46" s="37"/>
      <c r="G46" s="37"/>
      <c r="H46" s="629"/>
      <c r="I46" s="629"/>
      <c r="J46" s="629"/>
      <c r="K46" s="629"/>
      <c r="L46" s="629"/>
      <c r="M46" s="629"/>
      <c r="N46" s="35"/>
    </row>
    <row r="47" spans="1:14" ht="18.2" customHeight="1" x14ac:dyDescent="0.25">
      <c r="A47" s="628" t="s">
        <v>115</v>
      </c>
      <c r="B47" s="628"/>
      <c r="C47" s="628"/>
      <c r="D47" s="628"/>
      <c r="E47" s="628"/>
      <c r="F47" s="37"/>
      <c r="G47" s="37"/>
      <c r="H47" s="629"/>
      <c r="I47" s="629"/>
      <c r="J47" s="629"/>
      <c r="K47" s="629"/>
      <c r="L47" s="629"/>
      <c r="M47" s="629"/>
      <c r="N47" s="35"/>
    </row>
    <row r="48" spans="1:14" ht="18.2" customHeight="1" x14ac:dyDescent="0.25">
      <c r="A48" s="628" t="s">
        <v>116</v>
      </c>
      <c r="B48" s="628"/>
      <c r="C48" s="628"/>
      <c r="D48" s="628"/>
      <c r="E48" s="628"/>
      <c r="F48" s="37"/>
      <c r="G48" s="37"/>
      <c r="H48" s="629"/>
      <c r="I48" s="629"/>
      <c r="J48" s="629"/>
      <c r="K48" s="629"/>
      <c r="L48" s="629"/>
      <c r="M48" s="629"/>
      <c r="N48" s="35"/>
    </row>
    <row r="49" spans="1:14" ht="18.2" customHeight="1" x14ac:dyDescent="0.25">
      <c r="A49" s="628" t="s">
        <v>117</v>
      </c>
      <c r="B49" s="628"/>
      <c r="C49" s="628"/>
      <c r="D49" s="628"/>
      <c r="E49" s="628"/>
      <c r="F49" s="37"/>
      <c r="G49" s="37"/>
      <c r="H49" s="629"/>
      <c r="I49" s="629"/>
      <c r="J49" s="629"/>
      <c r="K49" s="629"/>
      <c r="L49" s="629"/>
      <c r="M49" s="629"/>
      <c r="N49" s="35"/>
    </row>
    <row r="50" spans="1:14" ht="18.2" customHeight="1" x14ac:dyDescent="0.25">
      <c r="A50" s="628" t="s">
        <v>118</v>
      </c>
      <c r="B50" s="628"/>
      <c r="C50" s="628"/>
      <c r="D50" s="628"/>
      <c r="E50" s="628"/>
      <c r="F50" s="37"/>
      <c r="G50" s="37"/>
      <c r="H50" s="629"/>
      <c r="I50" s="629"/>
      <c r="J50" s="629"/>
      <c r="K50" s="629"/>
      <c r="L50" s="629"/>
      <c r="M50" s="629"/>
      <c r="N50" s="35"/>
    </row>
    <row r="51" spans="1:14" ht="18.2" customHeight="1" x14ac:dyDescent="0.25">
      <c r="A51" s="628"/>
      <c r="B51" s="628"/>
      <c r="C51" s="628"/>
      <c r="D51" s="628"/>
      <c r="E51" s="628"/>
      <c r="F51" s="37"/>
      <c r="G51" s="37"/>
      <c r="H51" s="629"/>
      <c r="I51" s="629"/>
      <c r="J51" s="629"/>
      <c r="K51" s="629"/>
      <c r="L51" s="629"/>
      <c r="M51" s="629"/>
      <c r="N51" s="35"/>
    </row>
    <row r="52" spans="1:14" ht="18.2" customHeight="1" x14ac:dyDescent="0.25">
      <c r="A52" s="628" t="s">
        <v>119</v>
      </c>
      <c r="B52" s="628"/>
      <c r="C52" s="628"/>
      <c r="D52" s="628"/>
      <c r="E52" s="628"/>
      <c r="F52" s="37"/>
      <c r="G52" s="37"/>
      <c r="H52" s="629"/>
      <c r="I52" s="629"/>
      <c r="J52" s="629"/>
      <c r="K52" s="629"/>
      <c r="L52" s="629"/>
      <c r="M52" s="629"/>
      <c r="N52" s="35"/>
    </row>
    <row r="53" spans="1:14" ht="18.2" customHeight="1" x14ac:dyDescent="0.25">
      <c r="A53" s="628" t="s">
        <v>120</v>
      </c>
      <c r="B53" s="628"/>
      <c r="C53" s="628"/>
      <c r="D53" s="628"/>
      <c r="E53" s="628"/>
      <c r="F53" s="37"/>
      <c r="G53" s="37"/>
      <c r="H53" s="629"/>
      <c r="I53" s="629"/>
      <c r="J53" s="629"/>
      <c r="K53" s="629"/>
      <c r="L53" s="629"/>
      <c r="M53" s="629"/>
      <c r="N53" s="35"/>
    </row>
    <row r="54" spans="1:14" ht="18.2" customHeight="1" x14ac:dyDescent="0.25">
      <c r="A54" s="628" t="s">
        <v>121</v>
      </c>
      <c r="B54" s="628"/>
      <c r="C54" s="628"/>
      <c r="D54" s="628"/>
      <c r="E54" s="628"/>
      <c r="F54" s="37"/>
      <c r="G54" s="37"/>
      <c r="H54" s="629"/>
      <c r="I54" s="629"/>
      <c r="J54" s="629"/>
      <c r="K54" s="629"/>
      <c r="L54" s="629"/>
      <c r="M54" s="629"/>
      <c r="N54" s="35"/>
    </row>
    <row r="55" spans="1:14" ht="18.2" customHeight="1" x14ac:dyDescent="0.25">
      <c r="A55" s="628" t="s">
        <v>122</v>
      </c>
      <c r="B55" s="628"/>
      <c r="C55" s="628"/>
      <c r="D55" s="628"/>
      <c r="E55" s="628"/>
      <c r="F55" s="37"/>
      <c r="G55" s="37"/>
      <c r="H55" s="629"/>
      <c r="I55" s="629"/>
      <c r="J55" s="629"/>
      <c r="K55" s="629"/>
      <c r="L55" s="629"/>
      <c r="M55" s="629"/>
      <c r="N55" s="35"/>
    </row>
    <row r="56" spans="1:14" ht="18.2" customHeight="1" x14ac:dyDescent="0.25">
      <c r="A56" s="628"/>
      <c r="B56" s="628"/>
      <c r="C56" s="628"/>
      <c r="D56" s="628"/>
      <c r="E56" s="628"/>
      <c r="F56" s="37"/>
      <c r="G56" s="37"/>
      <c r="H56" s="629"/>
      <c r="I56" s="629"/>
      <c r="J56" s="629"/>
      <c r="K56" s="629"/>
      <c r="L56" s="629"/>
      <c r="M56" s="629"/>
      <c r="N56" s="35"/>
    </row>
    <row r="57" spans="1:14" ht="18.2" customHeight="1" x14ac:dyDescent="0.25">
      <c r="A57" s="628" t="s">
        <v>123</v>
      </c>
      <c r="B57" s="628"/>
      <c r="C57" s="628"/>
      <c r="D57" s="628"/>
      <c r="E57" s="628"/>
      <c r="F57" s="37"/>
      <c r="G57" s="37"/>
      <c r="H57" s="629"/>
      <c r="I57" s="629"/>
      <c r="J57" s="629"/>
      <c r="K57" s="629"/>
      <c r="L57" s="629"/>
      <c r="M57" s="629"/>
      <c r="N57" s="35"/>
    </row>
    <row r="58" spans="1:14" ht="18.2" customHeight="1" x14ac:dyDescent="0.25">
      <c r="A58" s="628" t="s">
        <v>124</v>
      </c>
      <c r="B58" s="628"/>
      <c r="C58" s="628"/>
      <c r="D58" s="628"/>
      <c r="E58" s="628"/>
      <c r="F58" s="37"/>
      <c r="G58" s="37"/>
      <c r="H58" s="629"/>
      <c r="I58" s="629"/>
      <c r="J58" s="629"/>
      <c r="K58" s="629"/>
      <c r="L58" s="629"/>
      <c r="M58" s="629"/>
      <c r="N58" s="35"/>
    </row>
    <row r="59" spans="1:14" ht="18.2" customHeight="1" x14ac:dyDescent="0.25">
      <c r="A59" s="628" t="s">
        <v>125</v>
      </c>
      <c r="B59" s="628"/>
      <c r="C59" s="628"/>
      <c r="D59" s="628"/>
      <c r="E59" s="628"/>
      <c r="F59" s="37"/>
      <c r="G59" s="37"/>
      <c r="H59" s="629"/>
      <c r="I59" s="629"/>
      <c r="J59" s="629"/>
      <c r="K59" s="629"/>
      <c r="L59" s="629"/>
      <c r="M59" s="629"/>
      <c r="N59" s="35"/>
    </row>
    <row r="60" spans="1:14" ht="18.2" customHeight="1" x14ac:dyDescent="0.25">
      <c r="A60" s="628" t="s">
        <v>126</v>
      </c>
      <c r="B60" s="628"/>
      <c r="C60" s="628"/>
      <c r="D60" s="628"/>
      <c r="E60" s="628"/>
      <c r="F60" s="37"/>
      <c r="G60" s="37"/>
      <c r="H60" s="629"/>
      <c r="I60" s="629"/>
      <c r="J60" s="629"/>
      <c r="K60" s="629"/>
      <c r="L60" s="629"/>
      <c r="M60" s="629"/>
      <c r="N60" s="35"/>
    </row>
    <row r="61" spans="1:14" ht="18.2" customHeight="1" x14ac:dyDescent="0.25">
      <c r="A61" s="628"/>
      <c r="B61" s="628"/>
      <c r="C61" s="628"/>
      <c r="D61" s="628"/>
      <c r="E61" s="628"/>
      <c r="F61" s="37"/>
      <c r="G61" s="37"/>
      <c r="H61" s="629"/>
      <c r="I61" s="629"/>
      <c r="J61" s="629"/>
      <c r="K61" s="629"/>
      <c r="L61" s="629"/>
      <c r="M61" s="629"/>
      <c r="N61" s="35"/>
    </row>
    <row r="62" spans="1:14" ht="18.2" customHeight="1" x14ac:dyDescent="0.25">
      <c r="A62" s="628" t="s">
        <v>127</v>
      </c>
      <c r="B62" s="628"/>
      <c r="C62" s="628"/>
      <c r="D62" s="628"/>
      <c r="E62" s="628"/>
      <c r="F62" s="37"/>
      <c r="G62" s="37"/>
      <c r="H62" s="629"/>
      <c r="I62" s="629"/>
      <c r="J62" s="629"/>
      <c r="K62" s="629"/>
      <c r="L62" s="629"/>
      <c r="M62" s="629"/>
      <c r="N62" s="35"/>
    </row>
    <row r="63" spans="1:14" ht="18.2" customHeight="1" x14ac:dyDescent="0.25">
      <c r="A63" s="628" t="s">
        <v>128</v>
      </c>
      <c r="B63" s="628"/>
      <c r="C63" s="628"/>
      <c r="D63" s="628"/>
      <c r="E63" s="628"/>
      <c r="F63" s="37"/>
      <c r="G63" s="37"/>
      <c r="H63" s="629"/>
      <c r="I63" s="629"/>
      <c r="J63" s="629"/>
      <c r="K63" s="629"/>
      <c r="L63" s="629"/>
      <c r="M63" s="629"/>
      <c r="N63" s="35"/>
    </row>
    <row r="64" spans="1:14" ht="18.2" customHeight="1" x14ac:dyDescent="0.25">
      <c r="A64" s="628" t="s">
        <v>129</v>
      </c>
      <c r="B64" s="628"/>
      <c r="C64" s="628"/>
      <c r="D64" s="628"/>
      <c r="E64" s="628"/>
      <c r="F64" s="37"/>
      <c r="G64" s="37"/>
      <c r="H64" s="629"/>
      <c r="I64" s="629"/>
      <c r="J64" s="629"/>
      <c r="K64" s="629"/>
      <c r="L64" s="629"/>
      <c r="M64" s="629"/>
      <c r="N64" s="35"/>
    </row>
    <row r="65" spans="1:14" ht="18.2" customHeight="1" x14ac:dyDescent="0.25">
      <c r="A65" s="628" t="s">
        <v>130</v>
      </c>
      <c r="B65" s="628"/>
      <c r="C65" s="628"/>
      <c r="D65" s="628"/>
      <c r="E65" s="628"/>
      <c r="F65" s="37"/>
      <c r="G65" s="37"/>
      <c r="H65" s="629"/>
      <c r="I65" s="629"/>
      <c r="J65" s="629"/>
      <c r="K65" s="629"/>
      <c r="L65" s="629"/>
      <c r="M65" s="629"/>
      <c r="N65" s="35"/>
    </row>
    <row r="66" spans="1:14" ht="18.2" customHeight="1" x14ac:dyDescent="0.25">
      <c r="A66" s="628"/>
      <c r="B66" s="628"/>
      <c r="C66" s="628"/>
      <c r="D66" s="628"/>
      <c r="E66" s="628"/>
      <c r="F66" s="37"/>
      <c r="G66" s="37"/>
      <c r="H66" s="629"/>
      <c r="I66" s="629"/>
      <c r="J66" s="629"/>
      <c r="K66" s="629"/>
      <c r="L66" s="629"/>
      <c r="M66" s="629"/>
      <c r="N66" s="35"/>
    </row>
    <row r="67" spans="1:14" ht="18.2" customHeight="1" x14ac:dyDescent="0.25">
      <c r="A67" s="628" t="s">
        <v>131</v>
      </c>
      <c r="B67" s="628"/>
      <c r="C67" s="628"/>
      <c r="D67" s="628"/>
      <c r="E67" s="628"/>
      <c r="F67" s="37"/>
      <c r="G67" s="37"/>
      <c r="H67" s="629"/>
      <c r="I67" s="629"/>
      <c r="J67" s="629"/>
      <c r="K67" s="629"/>
      <c r="L67" s="629"/>
      <c r="M67" s="629"/>
      <c r="N67" s="35"/>
    </row>
    <row r="68" spans="1:14" ht="18.2" customHeight="1" x14ac:dyDescent="0.25">
      <c r="A68" s="628" t="s">
        <v>132</v>
      </c>
      <c r="B68" s="628"/>
      <c r="C68" s="628"/>
      <c r="D68" s="628"/>
      <c r="E68" s="628"/>
      <c r="F68" s="37"/>
      <c r="G68" s="37"/>
      <c r="H68" s="629"/>
      <c r="I68" s="629"/>
      <c r="J68" s="629"/>
      <c r="K68" s="629"/>
      <c r="L68" s="629"/>
      <c r="M68" s="629"/>
      <c r="N68" s="35"/>
    </row>
    <row r="69" spans="1:14" ht="18.2" customHeight="1" x14ac:dyDescent="0.25">
      <c r="A69" s="628" t="s">
        <v>133</v>
      </c>
      <c r="B69" s="628"/>
      <c r="C69" s="628"/>
      <c r="D69" s="628"/>
      <c r="E69" s="628"/>
      <c r="F69" s="37"/>
      <c r="G69" s="37"/>
      <c r="H69" s="629"/>
      <c r="I69" s="629"/>
      <c r="J69" s="629"/>
      <c r="K69" s="629"/>
      <c r="L69" s="629"/>
      <c r="M69" s="629"/>
      <c r="N69" s="35"/>
    </row>
    <row r="70" spans="1:14" ht="18.2" customHeight="1" x14ac:dyDescent="0.25">
      <c r="A70" s="628" t="s">
        <v>134</v>
      </c>
      <c r="B70" s="628"/>
      <c r="C70" s="628"/>
      <c r="D70" s="628"/>
      <c r="E70" s="628"/>
      <c r="F70" s="37"/>
      <c r="G70" s="37"/>
      <c r="H70" s="629"/>
      <c r="I70" s="629"/>
      <c r="J70" s="629"/>
      <c r="K70" s="629"/>
      <c r="L70" s="629"/>
      <c r="M70" s="629"/>
      <c r="N70" s="35"/>
    </row>
    <row r="71" spans="1:14" ht="18.2" customHeight="1" x14ac:dyDescent="0.25">
      <c r="A71" s="628"/>
      <c r="B71" s="628"/>
      <c r="C71" s="628"/>
      <c r="D71" s="628"/>
      <c r="E71" s="628"/>
      <c r="F71" s="37"/>
      <c r="G71" s="37"/>
      <c r="H71" s="629"/>
      <c r="I71" s="629"/>
      <c r="J71" s="629"/>
      <c r="K71" s="629"/>
      <c r="L71" s="629"/>
      <c r="M71" s="629"/>
      <c r="N71" s="35"/>
    </row>
    <row r="72" spans="1:14" ht="18.2" customHeight="1" x14ac:dyDescent="0.25">
      <c r="A72" s="628" t="s">
        <v>135</v>
      </c>
      <c r="B72" s="628"/>
      <c r="C72" s="628"/>
      <c r="D72" s="628"/>
      <c r="E72" s="628"/>
      <c r="F72" s="37"/>
      <c r="G72" s="37"/>
      <c r="H72" s="629"/>
      <c r="I72" s="629"/>
      <c r="J72" s="629"/>
      <c r="K72" s="629"/>
      <c r="L72" s="629"/>
      <c r="M72" s="629"/>
      <c r="N72" s="35"/>
    </row>
    <row r="73" spans="1:14" ht="18.2" customHeight="1" x14ac:dyDescent="0.25">
      <c r="A73" s="628" t="s">
        <v>136</v>
      </c>
      <c r="B73" s="628"/>
      <c r="C73" s="628"/>
      <c r="D73" s="628"/>
      <c r="E73" s="628"/>
      <c r="F73" s="37"/>
      <c r="G73" s="37"/>
      <c r="H73" s="629"/>
      <c r="I73" s="629"/>
      <c r="J73" s="629"/>
      <c r="K73" s="629"/>
      <c r="L73" s="629"/>
      <c r="M73" s="629"/>
      <c r="N73" s="35"/>
    </row>
    <row r="74" spans="1:14" ht="18.2" customHeight="1" x14ac:dyDescent="0.25">
      <c r="A74" s="628" t="s">
        <v>137</v>
      </c>
      <c r="B74" s="628"/>
      <c r="C74" s="628"/>
      <c r="D74" s="628"/>
      <c r="E74" s="628"/>
      <c r="F74" s="37"/>
      <c r="G74" s="37"/>
      <c r="H74" s="629"/>
      <c r="I74" s="629"/>
      <c r="J74" s="629"/>
      <c r="K74" s="629"/>
      <c r="L74" s="629"/>
      <c r="M74" s="629"/>
      <c r="N74" s="35"/>
    </row>
    <row r="75" spans="1:14" ht="18.2" customHeight="1" x14ac:dyDescent="0.25">
      <c r="A75" s="628" t="s">
        <v>138</v>
      </c>
      <c r="B75" s="628"/>
      <c r="C75" s="628"/>
      <c r="D75" s="628"/>
      <c r="E75" s="628"/>
      <c r="F75" s="37"/>
      <c r="G75" s="37"/>
      <c r="H75" s="629"/>
      <c r="I75" s="629"/>
      <c r="J75" s="629"/>
      <c r="K75" s="629"/>
      <c r="L75" s="629"/>
      <c r="M75" s="629"/>
      <c r="N75" s="35"/>
    </row>
    <row r="76" spans="1:14" ht="18.2" customHeight="1" x14ac:dyDescent="0.25">
      <c r="A76" s="628"/>
      <c r="B76" s="628"/>
      <c r="C76" s="628"/>
      <c r="D76" s="628"/>
      <c r="E76" s="628"/>
      <c r="F76" s="37"/>
      <c r="G76" s="37"/>
      <c r="H76" s="629"/>
      <c r="I76" s="629"/>
      <c r="J76" s="629"/>
      <c r="K76" s="629"/>
      <c r="L76" s="629"/>
      <c r="M76" s="629"/>
      <c r="N76" s="35"/>
    </row>
    <row r="77" spans="1:14" ht="18.2" customHeight="1" x14ac:dyDescent="0.25">
      <c r="A77" s="628" t="s">
        <v>139</v>
      </c>
      <c r="B77" s="628"/>
      <c r="C77" s="628"/>
      <c r="D77" s="628"/>
      <c r="E77" s="628"/>
      <c r="F77" s="37"/>
      <c r="G77" s="37"/>
      <c r="H77" s="629"/>
      <c r="I77" s="629"/>
      <c r="J77" s="629"/>
      <c r="K77" s="629"/>
      <c r="L77" s="629"/>
      <c r="M77" s="629"/>
      <c r="N77" s="35"/>
    </row>
    <row r="78" spans="1:14" ht="18.2" customHeight="1" x14ac:dyDescent="0.25">
      <c r="A78" s="628" t="s">
        <v>140</v>
      </c>
      <c r="B78" s="628"/>
      <c r="C78" s="628"/>
      <c r="D78" s="628"/>
      <c r="E78" s="628"/>
      <c r="F78" s="37"/>
      <c r="G78" s="37"/>
      <c r="H78" s="629"/>
      <c r="I78" s="629"/>
      <c r="J78" s="629"/>
      <c r="K78" s="629"/>
      <c r="L78" s="629"/>
      <c r="M78" s="629"/>
      <c r="N78" s="35"/>
    </row>
    <row r="79" spans="1:14" ht="18.2" customHeight="1" x14ac:dyDescent="0.25">
      <c r="A79" s="628" t="s">
        <v>141</v>
      </c>
      <c r="B79" s="628"/>
      <c r="C79" s="628"/>
      <c r="D79" s="628"/>
      <c r="E79" s="628"/>
      <c r="F79" s="37"/>
      <c r="G79" s="37"/>
      <c r="H79" s="629"/>
      <c r="I79" s="629"/>
      <c r="J79" s="629"/>
      <c r="K79" s="629"/>
      <c r="L79" s="629"/>
      <c r="M79" s="629"/>
      <c r="N79" s="35"/>
    </row>
    <row r="80" spans="1:14" ht="18.2" customHeight="1" x14ac:dyDescent="0.25">
      <c r="A80" s="628" t="s">
        <v>142</v>
      </c>
      <c r="B80" s="628"/>
      <c r="C80" s="628"/>
      <c r="D80" s="628"/>
      <c r="E80" s="628"/>
      <c r="F80" s="37"/>
      <c r="G80" s="37"/>
      <c r="H80" s="629"/>
      <c r="I80" s="629"/>
      <c r="J80" s="629"/>
      <c r="K80" s="629"/>
      <c r="L80" s="629"/>
      <c r="M80" s="629"/>
      <c r="N80" s="35"/>
    </row>
    <row r="81" spans="1:14" ht="18.2" customHeight="1" x14ac:dyDescent="0.25">
      <c r="A81" s="628"/>
      <c r="B81" s="628"/>
      <c r="C81" s="628"/>
      <c r="D81" s="628"/>
      <c r="E81" s="628"/>
      <c r="F81" s="37"/>
      <c r="G81" s="37"/>
      <c r="H81" s="629"/>
      <c r="I81" s="629"/>
      <c r="J81" s="629"/>
      <c r="K81" s="629"/>
      <c r="L81" s="629"/>
      <c r="M81" s="629"/>
      <c r="N81" s="35"/>
    </row>
    <row r="82" spans="1:14" ht="18.2" customHeight="1" x14ac:dyDescent="0.25">
      <c r="A82" s="628" t="s">
        <v>143</v>
      </c>
      <c r="B82" s="628"/>
      <c r="C82" s="628"/>
      <c r="D82" s="628"/>
      <c r="E82" s="628"/>
      <c r="F82" s="37"/>
      <c r="G82" s="37"/>
      <c r="H82" s="629"/>
      <c r="I82" s="629"/>
      <c r="J82" s="629"/>
      <c r="K82" s="629"/>
      <c r="L82" s="629"/>
      <c r="M82" s="629"/>
      <c r="N82" s="35"/>
    </row>
    <row r="83" spans="1:14" ht="18.2" customHeight="1" x14ac:dyDescent="0.25">
      <c r="A83" s="628" t="s">
        <v>144</v>
      </c>
      <c r="B83" s="628"/>
      <c r="C83" s="628"/>
      <c r="D83" s="628"/>
      <c r="E83" s="628"/>
      <c r="F83" s="37"/>
      <c r="G83" s="37"/>
      <c r="H83" s="629"/>
      <c r="I83" s="629"/>
      <c r="J83" s="629"/>
      <c r="K83" s="629"/>
      <c r="L83" s="629"/>
      <c r="M83" s="629"/>
      <c r="N83" s="35"/>
    </row>
    <row r="84" spans="1:14" ht="18.2" customHeight="1" x14ac:dyDescent="0.25">
      <c r="A84" s="628" t="s">
        <v>145</v>
      </c>
      <c r="B84" s="628"/>
      <c r="C84" s="628"/>
      <c r="D84" s="628"/>
      <c r="E84" s="628"/>
      <c r="F84" s="37"/>
      <c r="G84" s="37"/>
      <c r="H84" s="629"/>
      <c r="I84" s="629"/>
      <c r="J84" s="629"/>
      <c r="K84" s="629"/>
      <c r="L84" s="629"/>
      <c r="M84" s="629"/>
      <c r="N84" s="35"/>
    </row>
    <row r="85" spans="1:14" ht="18.2" customHeight="1" x14ac:dyDescent="0.25">
      <c r="A85" s="628" t="s">
        <v>146</v>
      </c>
      <c r="B85" s="628"/>
      <c r="C85" s="628"/>
      <c r="D85" s="628"/>
      <c r="E85" s="628"/>
      <c r="F85" s="37"/>
      <c r="G85" s="37"/>
      <c r="H85" s="629"/>
      <c r="I85" s="629"/>
      <c r="J85" s="629"/>
      <c r="K85" s="629"/>
      <c r="L85" s="629"/>
      <c r="M85" s="629"/>
      <c r="N85" s="35"/>
    </row>
    <row r="86" spans="1:14" ht="18.2" customHeight="1" x14ac:dyDescent="0.25">
      <c r="A86" s="628"/>
      <c r="B86" s="628"/>
      <c r="C86" s="628"/>
      <c r="D86" s="628"/>
      <c r="E86" s="628"/>
      <c r="F86" s="37"/>
      <c r="G86" s="37"/>
      <c r="H86" s="629"/>
      <c r="I86" s="629"/>
      <c r="J86" s="629"/>
      <c r="K86" s="629"/>
      <c r="L86" s="629"/>
      <c r="M86" s="629"/>
      <c r="N86" s="35"/>
    </row>
    <row r="87" spans="1:14" ht="18.2" customHeight="1" x14ac:dyDescent="0.25">
      <c r="A87" s="628" t="s">
        <v>147</v>
      </c>
      <c r="B87" s="628"/>
      <c r="C87" s="628"/>
      <c r="D87" s="628"/>
      <c r="E87" s="628"/>
      <c r="F87" s="37"/>
      <c r="G87" s="37"/>
      <c r="H87" s="629"/>
      <c r="I87" s="629"/>
      <c r="J87" s="629"/>
      <c r="K87" s="629"/>
      <c r="L87" s="629"/>
      <c r="M87" s="629"/>
      <c r="N87" s="35"/>
    </row>
    <row r="88" spans="1:14" ht="18.2" customHeight="1" x14ac:dyDescent="0.25">
      <c r="A88" s="628" t="s">
        <v>148</v>
      </c>
      <c r="B88" s="628"/>
      <c r="C88" s="628"/>
      <c r="D88" s="628"/>
      <c r="E88" s="628"/>
      <c r="F88" s="37"/>
      <c r="G88" s="37"/>
      <c r="H88" s="629"/>
      <c r="I88" s="629"/>
      <c r="J88" s="629"/>
      <c r="K88" s="629"/>
      <c r="L88" s="629"/>
      <c r="M88" s="629"/>
      <c r="N88" s="35"/>
    </row>
    <row r="89" spans="1:14" ht="18.2" customHeight="1" x14ac:dyDescent="0.25">
      <c r="A89" s="628" t="s">
        <v>149</v>
      </c>
      <c r="B89" s="628"/>
      <c r="C89" s="628"/>
      <c r="D89" s="628"/>
      <c r="E89" s="628"/>
      <c r="F89" s="37"/>
      <c r="G89" s="37"/>
      <c r="H89" s="629"/>
      <c r="I89" s="629"/>
      <c r="J89" s="629"/>
      <c r="K89" s="629"/>
      <c r="L89" s="629"/>
      <c r="M89" s="629"/>
      <c r="N89" s="35"/>
    </row>
    <row r="90" spans="1:14" ht="18.2" customHeight="1" x14ac:dyDescent="0.25">
      <c r="A90" s="628" t="s">
        <v>150</v>
      </c>
      <c r="B90" s="628"/>
      <c r="C90" s="628"/>
      <c r="D90" s="628"/>
      <c r="E90" s="628"/>
      <c r="F90" s="37"/>
      <c r="G90" s="37"/>
      <c r="H90" s="629"/>
      <c r="I90" s="629"/>
      <c r="J90" s="629"/>
      <c r="K90" s="629"/>
      <c r="L90" s="629"/>
      <c r="M90" s="629"/>
      <c r="N90" s="35"/>
    </row>
    <row r="91" spans="1:14" ht="18.2" customHeight="1" x14ac:dyDescent="0.25">
      <c r="A91" s="628"/>
      <c r="B91" s="628"/>
      <c r="C91" s="628"/>
      <c r="D91" s="628"/>
      <c r="E91" s="628"/>
      <c r="F91" s="37"/>
      <c r="G91" s="37"/>
      <c r="H91" s="629"/>
      <c r="I91" s="629"/>
      <c r="J91" s="629"/>
      <c r="K91" s="629"/>
      <c r="L91" s="629"/>
      <c r="M91" s="629"/>
      <c r="N91" s="35"/>
    </row>
    <row r="92" spans="1:14" ht="18.2" customHeight="1" x14ac:dyDescent="0.25">
      <c r="A92" s="628" t="s">
        <v>151</v>
      </c>
      <c r="B92" s="628"/>
      <c r="C92" s="628"/>
      <c r="D92" s="628"/>
      <c r="E92" s="628"/>
      <c r="F92" s="37"/>
      <c r="G92" s="37"/>
      <c r="H92" s="629"/>
      <c r="I92" s="629"/>
      <c r="J92" s="629"/>
      <c r="K92" s="629"/>
      <c r="L92" s="629"/>
      <c r="M92" s="629"/>
      <c r="N92" s="35"/>
    </row>
    <row r="93" spans="1:14" ht="18.2" customHeight="1" x14ac:dyDescent="0.25">
      <c r="A93" s="628" t="s">
        <v>152</v>
      </c>
      <c r="B93" s="628"/>
      <c r="C93" s="628"/>
      <c r="D93" s="628"/>
      <c r="E93" s="628"/>
      <c r="F93" s="37"/>
      <c r="G93" s="37"/>
      <c r="H93" s="629"/>
      <c r="I93" s="629"/>
      <c r="J93" s="629"/>
      <c r="K93" s="629"/>
      <c r="L93" s="629"/>
      <c r="M93" s="629"/>
      <c r="N93" s="35"/>
    </row>
    <row r="94" spans="1:14" ht="18.2" customHeight="1" x14ac:dyDescent="0.25">
      <c r="A94" s="628" t="s">
        <v>153</v>
      </c>
      <c r="B94" s="628"/>
      <c r="C94" s="628"/>
      <c r="D94" s="628"/>
      <c r="E94" s="628"/>
      <c r="F94" s="37"/>
      <c r="G94" s="37"/>
      <c r="H94" s="629"/>
      <c r="I94" s="629"/>
      <c r="J94" s="629"/>
      <c r="K94" s="629"/>
      <c r="L94" s="629"/>
      <c r="M94" s="629"/>
      <c r="N94" s="35"/>
    </row>
    <row r="95" spans="1:14" ht="18.2" customHeight="1" x14ac:dyDescent="0.25">
      <c r="A95" s="628" t="s">
        <v>154</v>
      </c>
      <c r="B95" s="628"/>
      <c r="C95" s="628"/>
      <c r="D95" s="628"/>
      <c r="E95" s="628"/>
      <c r="F95" s="37"/>
      <c r="G95" s="37"/>
      <c r="H95" s="629"/>
      <c r="I95" s="629"/>
      <c r="J95" s="629"/>
      <c r="K95" s="629"/>
      <c r="L95" s="629"/>
      <c r="M95" s="629"/>
      <c r="N95" s="35"/>
    </row>
    <row r="96" spans="1:14" ht="18.2" customHeight="1" x14ac:dyDescent="0.25">
      <c r="A96" s="628"/>
      <c r="B96" s="628"/>
      <c r="C96" s="628"/>
      <c r="D96" s="628"/>
      <c r="E96" s="628"/>
      <c r="F96" s="37"/>
      <c r="G96" s="37"/>
      <c r="H96" s="629"/>
      <c r="I96" s="629"/>
      <c r="J96" s="629"/>
      <c r="K96" s="629"/>
      <c r="L96" s="629"/>
      <c r="M96" s="629"/>
      <c r="N96" s="35"/>
    </row>
    <row r="97" spans="1:14" ht="18.2" customHeight="1" x14ac:dyDescent="0.25">
      <c r="A97" s="628" t="s">
        <v>155</v>
      </c>
      <c r="B97" s="628"/>
      <c r="C97" s="628"/>
      <c r="D97" s="628"/>
      <c r="E97" s="628"/>
      <c r="F97" s="37"/>
      <c r="G97" s="37"/>
      <c r="H97" s="629"/>
      <c r="I97" s="629"/>
      <c r="J97" s="629"/>
      <c r="K97" s="629"/>
      <c r="L97" s="629"/>
      <c r="M97" s="629"/>
      <c r="N97" s="35"/>
    </row>
    <row r="98" spans="1:14" ht="18.2" customHeight="1" x14ac:dyDescent="0.25">
      <c r="A98" s="628" t="s">
        <v>156</v>
      </c>
      <c r="B98" s="628"/>
      <c r="C98" s="628"/>
      <c r="D98" s="628"/>
      <c r="E98" s="628"/>
      <c r="F98" s="37"/>
      <c r="G98" s="37"/>
      <c r="H98" s="629"/>
      <c r="I98" s="629"/>
      <c r="J98" s="629"/>
      <c r="K98" s="629"/>
      <c r="L98" s="629"/>
      <c r="M98" s="629"/>
      <c r="N98" s="35"/>
    </row>
    <row r="99" spans="1:14" ht="18.2" customHeight="1" x14ac:dyDescent="0.25">
      <c r="A99" s="628" t="s">
        <v>157</v>
      </c>
      <c r="B99" s="628"/>
      <c r="C99" s="628"/>
      <c r="D99" s="628"/>
      <c r="E99" s="628"/>
      <c r="F99" s="37"/>
      <c r="G99" s="37"/>
      <c r="H99" s="629"/>
      <c r="I99" s="629"/>
      <c r="J99" s="629"/>
      <c r="K99" s="629"/>
      <c r="L99" s="629"/>
      <c r="M99" s="629"/>
      <c r="N99" s="35"/>
    </row>
    <row r="100" spans="1:14" ht="18.2" customHeight="1" x14ac:dyDescent="0.25">
      <c r="A100" s="628" t="s">
        <v>158</v>
      </c>
      <c r="B100" s="628"/>
      <c r="C100" s="628"/>
      <c r="D100" s="628"/>
      <c r="E100" s="628"/>
      <c r="F100" s="37"/>
      <c r="G100" s="37"/>
      <c r="H100" s="629"/>
      <c r="I100" s="629"/>
      <c r="J100" s="629"/>
      <c r="K100" s="629"/>
      <c r="L100" s="629"/>
      <c r="M100" s="629"/>
      <c r="N100" s="35"/>
    </row>
    <row r="101" spans="1:14" ht="18.2" customHeight="1" x14ac:dyDescent="0.25">
      <c r="A101" s="628"/>
      <c r="B101" s="628"/>
      <c r="C101" s="628"/>
      <c r="D101" s="628"/>
      <c r="E101" s="628"/>
      <c r="F101" s="37"/>
      <c r="G101" s="37"/>
      <c r="H101" s="629"/>
      <c r="I101" s="629"/>
      <c r="J101" s="629"/>
      <c r="K101" s="629"/>
      <c r="L101" s="629"/>
      <c r="M101" s="629"/>
      <c r="N101" s="35"/>
    </row>
    <row r="102" spans="1:14" ht="18.2" customHeight="1" x14ac:dyDescent="0.25">
      <c r="A102" s="628" t="s">
        <v>159</v>
      </c>
      <c r="B102" s="628"/>
      <c r="C102" s="628"/>
      <c r="D102" s="628"/>
      <c r="E102" s="628"/>
      <c r="F102" s="37"/>
      <c r="G102" s="37"/>
      <c r="H102" s="629"/>
      <c r="I102" s="629"/>
      <c r="J102" s="629"/>
      <c r="K102" s="629"/>
      <c r="L102" s="629"/>
      <c r="M102" s="629"/>
      <c r="N102" s="35"/>
    </row>
    <row r="103" spans="1:14" ht="18.2" customHeight="1" x14ac:dyDescent="0.25">
      <c r="A103" s="628" t="s">
        <v>160</v>
      </c>
      <c r="B103" s="628"/>
      <c r="C103" s="628"/>
      <c r="D103" s="628"/>
      <c r="E103" s="628"/>
      <c r="F103" s="37"/>
      <c r="G103" s="37"/>
      <c r="H103" s="629"/>
      <c r="I103" s="629"/>
      <c r="J103" s="629"/>
      <c r="K103" s="629"/>
      <c r="L103" s="629"/>
      <c r="M103" s="629"/>
      <c r="N103" s="35"/>
    </row>
    <row r="104" spans="1:14" ht="18.2" customHeight="1" x14ac:dyDescent="0.25">
      <c r="A104" s="628" t="s">
        <v>161</v>
      </c>
      <c r="B104" s="628"/>
      <c r="C104" s="628"/>
      <c r="D104" s="628"/>
      <c r="E104" s="628"/>
      <c r="F104" s="37"/>
      <c r="G104" s="37"/>
      <c r="H104" s="629"/>
      <c r="I104" s="629"/>
      <c r="J104" s="629"/>
      <c r="K104" s="629"/>
      <c r="L104" s="629"/>
      <c r="M104" s="629"/>
      <c r="N104" s="35"/>
    </row>
    <row r="105" spans="1:14" ht="18.2" customHeight="1" x14ac:dyDescent="0.25">
      <c r="A105" s="628" t="s">
        <v>162</v>
      </c>
      <c r="B105" s="628"/>
      <c r="C105" s="628"/>
      <c r="D105" s="628"/>
      <c r="E105" s="628"/>
      <c r="F105" s="37"/>
      <c r="G105" s="37"/>
      <c r="H105" s="629"/>
      <c r="I105" s="629"/>
      <c r="J105" s="629"/>
      <c r="K105" s="629"/>
      <c r="L105" s="629"/>
      <c r="M105" s="629"/>
      <c r="N105" s="35"/>
    </row>
    <row r="106" spans="1:14" ht="18.2" customHeight="1" x14ac:dyDescent="0.25">
      <c r="A106" s="628"/>
      <c r="B106" s="628"/>
      <c r="C106" s="628"/>
      <c r="D106" s="628"/>
      <c r="E106" s="628"/>
      <c r="F106" s="37"/>
      <c r="G106" s="37"/>
      <c r="H106" s="629"/>
      <c r="I106" s="629"/>
      <c r="J106" s="629"/>
      <c r="K106" s="629"/>
      <c r="L106" s="629"/>
      <c r="M106" s="629"/>
      <c r="N106" s="35"/>
    </row>
    <row r="107" spans="1:14" ht="18.2" customHeight="1" x14ac:dyDescent="0.25">
      <c r="A107" s="628" t="s">
        <v>163</v>
      </c>
      <c r="B107" s="628"/>
      <c r="C107" s="628"/>
      <c r="D107" s="628"/>
      <c r="E107" s="628"/>
      <c r="F107" s="37"/>
      <c r="G107" s="37"/>
      <c r="H107" s="629"/>
      <c r="I107" s="629"/>
      <c r="J107" s="629"/>
      <c r="K107" s="629"/>
      <c r="L107" s="629"/>
      <c r="M107" s="629"/>
      <c r="N107" s="35"/>
    </row>
    <row r="108" spans="1:14" ht="18.2" customHeight="1" x14ac:dyDescent="0.25">
      <c r="A108" s="628" t="s">
        <v>164</v>
      </c>
      <c r="B108" s="628"/>
      <c r="C108" s="628"/>
      <c r="D108" s="628"/>
      <c r="E108" s="628"/>
      <c r="F108" s="37"/>
      <c r="G108" s="37"/>
      <c r="H108" s="629"/>
      <c r="I108" s="629"/>
      <c r="J108" s="629"/>
      <c r="K108" s="629"/>
      <c r="L108" s="629"/>
      <c r="M108" s="629"/>
      <c r="N108" s="35"/>
    </row>
    <row r="109" spans="1:14" ht="18.2" customHeight="1" x14ac:dyDescent="0.25">
      <c r="A109" s="628" t="s">
        <v>165</v>
      </c>
      <c r="B109" s="628"/>
      <c r="C109" s="628"/>
      <c r="D109" s="628"/>
      <c r="E109" s="628"/>
      <c r="F109" s="37"/>
      <c r="G109" s="37"/>
      <c r="H109" s="629"/>
      <c r="I109" s="629"/>
      <c r="J109" s="629"/>
      <c r="K109" s="629"/>
      <c r="L109" s="629"/>
      <c r="M109" s="629"/>
      <c r="N109" s="35"/>
    </row>
    <row r="110" spans="1:14" ht="18.2" customHeight="1" x14ac:dyDescent="0.25">
      <c r="A110" s="628" t="s">
        <v>166</v>
      </c>
      <c r="B110" s="628"/>
      <c r="C110" s="628"/>
      <c r="D110" s="628"/>
      <c r="E110" s="628"/>
      <c r="F110" s="37"/>
      <c r="G110" s="37"/>
      <c r="H110" s="629"/>
      <c r="I110" s="629"/>
      <c r="J110" s="629"/>
      <c r="K110" s="629"/>
      <c r="L110" s="629"/>
      <c r="M110" s="629"/>
      <c r="N110" s="35"/>
    </row>
    <row r="111" spans="1:14" ht="18.2" customHeight="1" x14ac:dyDescent="0.25">
      <c r="A111" s="628"/>
      <c r="B111" s="628"/>
      <c r="C111" s="628"/>
      <c r="D111" s="628"/>
      <c r="E111" s="628"/>
      <c r="F111" s="37"/>
      <c r="G111" s="37"/>
      <c r="H111" s="629"/>
      <c r="I111" s="629"/>
      <c r="J111" s="629"/>
      <c r="K111" s="629"/>
      <c r="L111" s="629"/>
      <c r="M111" s="629"/>
      <c r="N111" s="35"/>
    </row>
    <row r="112" spans="1:14" ht="18.2" customHeight="1" x14ac:dyDescent="0.25">
      <c r="A112" s="628" t="s">
        <v>167</v>
      </c>
      <c r="B112" s="628"/>
      <c r="C112" s="628"/>
      <c r="D112" s="628"/>
      <c r="E112" s="628"/>
      <c r="F112" s="37"/>
      <c r="G112" s="37"/>
      <c r="H112" s="629"/>
      <c r="I112" s="629"/>
      <c r="J112" s="629"/>
      <c r="K112" s="629"/>
      <c r="L112" s="629"/>
      <c r="M112" s="629"/>
      <c r="N112" s="35"/>
    </row>
    <row r="113" spans="1:14" ht="18.2" customHeight="1" x14ac:dyDescent="0.25">
      <c r="A113" s="628" t="s">
        <v>168</v>
      </c>
      <c r="B113" s="628"/>
      <c r="C113" s="628"/>
      <c r="D113" s="628"/>
      <c r="E113" s="628"/>
      <c r="F113" s="37"/>
      <c r="G113" s="37"/>
      <c r="H113" s="629"/>
      <c r="I113" s="629"/>
      <c r="J113" s="629"/>
      <c r="K113" s="629"/>
      <c r="L113" s="629"/>
      <c r="M113" s="629"/>
      <c r="N113" s="35"/>
    </row>
    <row r="114" spans="1:14" ht="18.2" customHeight="1" x14ac:dyDescent="0.25">
      <c r="A114" s="628"/>
      <c r="B114" s="628"/>
      <c r="C114" s="628"/>
      <c r="D114" s="628"/>
      <c r="E114" s="628"/>
      <c r="F114" s="37"/>
      <c r="G114" s="37"/>
      <c r="H114" s="629"/>
      <c r="I114" s="629"/>
      <c r="J114" s="629"/>
      <c r="K114" s="629"/>
      <c r="L114" s="629"/>
      <c r="M114" s="629"/>
      <c r="N114" s="35"/>
    </row>
    <row r="115" spans="1:14" ht="64.150000000000006" customHeight="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</row>
    <row r="116" spans="1:14" ht="3.75" customHeight="1" x14ac:dyDescent="0.25">
      <c r="A116" s="35"/>
      <c r="B116" s="35"/>
      <c r="C116" s="35"/>
      <c r="D116" s="35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</row>
    <row r="117" spans="1:14" ht="9.75" customHeight="1" x14ac:dyDescent="0.25">
      <c r="A117" s="634"/>
      <c r="B117" s="634"/>
      <c r="C117" s="35"/>
      <c r="D117" s="35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</row>
    <row r="118" spans="1:14" ht="6.75" customHeight="1" x14ac:dyDescent="0.25">
      <c r="A118" s="634"/>
      <c r="B118" s="634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</row>
  </sheetData>
  <sheetProtection algorithmName="SHA-512" hashValue="z/fEvOG6Msh/xA+DJgOk2b5/HiDpG3GYk3Lj8+h/5i3IZkasNei3eTKPf4KcVE9yG5dwyTEd4KVVNnNGFNvsyA==" saltValue="MDBfAGNxE6W6gJj+o5c+Xw==" spinCount="100000" sheet="1" objects="1" scenarios="1"/>
  <mergeCells count="221">
    <mergeCell ref="A16:E16"/>
    <mergeCell ref="H16:M16"/>
    <mergeCell ref="A17:E17"/>
    <mergeCell ref="H17:M17"/>
    <mergeCell ref="A18:E18"/>
    <mergeCell ref="H18:M18"/>
    <mergeCell ref="A22:E22"/>
    <mergeCell ref="H22:M22"/>
    <mergeCell ref="A23:E23"/>
    <mergeCell ref="H23:M23"/>
    <mergeCell ref="A19:E19"/>
    <mergeCell ref="H19:M19"/>
    <mergeCell ref="A20:E20"/>
    <mergeCell ref="H20:M20"/>
    <mergeCell ref="A21:E21"/>
    <mergeCell ref="H21:M21"/>
    <mergeCell ref="A24:E24"/>
    <mergeCell ref="H24:M24"/>
    <mergeCell ref="A31:E31"/>
    <mergeCell ref="H31:M31"/>
    <mergeCell ref="A32:E32"/>
    <mergeCell ref="H32:M32"/>
    <mergeCell ref="A33:E33"/>
    <mergeCell ref="H33:M33"/>
    <mergeCell ref="A29:E29"/>
    <mergeCell ref="H29:M29"/>
    <mergeCell ref="A30:E30"/>
    <mergeCell ref="H30:M30"/>
    <mergeCell ref="A34:E34"/>
    <mergeCell ref="H34:M34"/>
    <mergeCell ref="A35:E35"/>
    <mergeCell ref="H35:M35"/>
    <mergeCell ref="A36:E36"/>
    <mergeCell ref="H36:M36"/>
    <mergeCell ref="A28:E28"/>
    <mergeCell ref="H28:M28"/>
    <mergeCell ref="A25:E25"/>
    <mergeCell ref="H25:M25"/>
    <mergeCell ref="A26:E26"/>
    <mergeCell ref="H26:M26"/>
    <mergeCell ref="A27:E27"/>
    <mergeCell ref="H27:M27"/>
    <mergeCell ref="A40:E40"/>
    <mergeCell ref="H40:M40"/>
    <mergeCell ref="A41:E41"/>
    <mergeCell ref="H41:M41"/>
    <mergeCell ref="A42:E42"/>
    <mergeCell ref="H42:M42"/>
    <mergeCell ref="A37:E37"/>
    <mergeCell ref="H37:M37"/>
    <mergeCell ref="A38:E38"/>
    <mergeCell ref="H38:M38"/>
    <mergeCell ref="A39:E39"/>
    <mergeCell ref="H39:M39"/>
    <mergeCell ref="A46:E46"/>
    <mergeCell ref="H46:M46"/>
    <mergeCell ref="A47:E47"/>
    <mergeCell ref="H47:M47"/>
    <mergeCell ref="A48:E48"/>
    <mergeCell ref="H48:M48"/>
    <mergeCell ref="A43:E43"/>
    <mergeCell ref="H43:M43"/>
    <mergeCell ref="A44:E44"/>
    <mergeCell ref="H44:M44"/>
    <mergeCell ref="A45:E45"/>
    <mergeCell ref="H45:M45"/>
    <mergeCell ref="A52:E52"/>
    <mergeCell ref="H52:M52"/>
    <mergeCell ref="A53:E53"/>
    <mergeCell ref="H53:M53"/>
    <mergeCell ref="A54:E54"/>
    <mergeCell ref="H54:M54"/>
    <mergeCell ref="A49:E49"/>
    <mergeCell ref="H49:M49"/>
    <mergeCell ref="A50:E50"/>
    <mergeCell ref="H50:M50"/>
    <mergeCell ref="A51:E51"/>
    <mergeCell ref="H51:M51"/>
    <mergeCell ref="A58:E58"/>
    <mergeCell ref="H58:M58"/>
    <mergeCell ref="A59:E59"/>
    <mergeCell ref="H59:M59"/>
    <mergeCell ref="A60:E60"/>
    <mergeCell ref="H60:M60"/>
    <mergeCell ref="A55:E55"/>
    <mergeCell ref="H55:M55"/>
    <mergeCell ref="A56:E56"/>
    <mergeCell ref="H56:M56"/>
    <mergeCell ref="A57:E57"/>
    <mergeCell ref="H57:M57"/>
    <mergeCell ref="A64:E64"/>
    <mergeCell ref="H64:M64"/>
    <mergeCell ref="A65:E65"/>
    <mergeCell ref="H65:M65"/>
    <mergeCell ref="A66:E66"/>
    <mergeCell ref="H66:M66"/>
    <mergeCell ref="A61:E61"/>
    <mergeCell ref="H61:M61"/>
    <mergeCell ref="A62:E62"/>
    <mergeCell ref="H62:M62"/>
    <mergeCell ref="A63:E63"/>
    <mergeCell ref="H63:M63"/>
    <mergeCell ref="A70:E70"/>
    <mergeCell ref="H70:M70"/>
    <mergeCell ref="A71:E71"/>
    <mergeCell ref="H71:M71"/>
    <mergeCell ref="A72:E72"/>
    <mergeCell ref="H72:M72"/>
    <mergeCell ref="A67:E67"/>
    <mergeCell ref="H67:M67"/>
    <mergeCell ref="A68:E68"/>
    <mergeCell ref="H68:M68"/>
    <mergeCell ref="A69:E69"/>
    <mergeCell ref="H69:M69"/>
    <mergeCell ref="A76:E76"/>
    <mergeCell ref="H76:M76"/>
    <mergeCell ref="A77:E77"/>
    <mergeCell ref="H77:M77"/>
    <mergeCell ref="A78:E78"/>
    <mergeCell ref="H78:M78"/>
    <mergeCell ref="A73:E73"/>
    <mergeCell ref="H73:M73"/>
    <mergeCell ref="A74:E74"/>
    <mergeCell ref="H74:M74"/>
    <mergeCell ref="A75:E75"/>
    <mergeCell ref="H75:M75"/>
    <mergeCell ref="A82:E82"/>
    <mergeCell ref="H82:M82"/>
    <mergeCell ref="A83:E83"/>
    <mergeCell ref="H83:M83"/>
    <mergeCell ref="A84:E84"/>
    <mergeCell ref="H84:M84"/>
    <mergeCell ref="A79:E79"/>
    <mergeCell ref="H79:M79"/>
    <mergeCell ref="A80:E80"/>
    <mergeCell ref="H80:M80"/>
    <mergeCell ref="A81:E81"/>
    <mergeCell ref="H81:M81"/>
    <mergeCell ref="A88:E88"/>
    <mergeCell ref="H88:M88"/>
    <mergeCell ref="A89:E89"/>
    <mergeCell ref="H89:M89"/>
    <mergeCell ref="A90:E90"/>
    <mergeCell ref="H90:M90"/>
    <mergeCell ref="A85:E85"/>
    <mergeCell ref="H85:M85"/>
    <mergeCell ref="A86:E86"/>
    <mergeCell ref="H86:M86"/>
    <mergeCell ref="A87:E87"/>
    <mergeCell ref="H87:M87"/>
    <mergeCell ref="A99:E99"/>
    <mergeCell ref="H99:M99"/>
    <mergeCell ref="A94:E94"/>
    <mergeCell ref="H94:M94"/>
    <mergeCell ref="A95:E95"/>
    <mergeCell ref="H95:M95"/>
    <mergeCell ref="A96:E96"/>
    <mergeCell ref="H96:M96"/>
    <mergeCell ref="A91:E91"/>
    <mergeCell ref="H91:M91"/>
    <mergeCell ref="A92:E92"/>
    <mergeCell ref="H92:M92"/>
    <mergeCell ref="A93:E93"/>
    <mergeCell ref="H93:M93"/>
    <mergeCell ref="E5:I5"/>
    <mergeCell ref="A7:N7"/>
    <mergeCell ref="A109:E109"/>
    <mergeCell ref="H109:M109"/>
    <mergeCell ref="A110:E110"/>
    <mergeCell ref="H110:M110"/>
    <mergeCell ref="A111:E111"/>
    <mergeCell ref="H111:M111"/>
    <mergeCell ref="A106:E106"/>
    <mergeCell ref="H106:M106"/>
    <mergeCell ref="A107:E107"/>
    <mergeCell ref="H107:M107"/>
    <mergeCell ref="A108:E108"/>
    <mergeCell ref="H108:M108"/>
    <mergeCell ref="A103:E103"/>
    <mergeCell ref="H103:M103"/>
    <mergeCell ref="A104:E104"/>
    <mergeCell ref="H104:M104"/>
    <mergeCell ref="A105:E105"/>
    <mergeCell ref="H105:M105"/>
    <mergeCell ref="A100:E100"/>
    <mergeCell ref="H100:M100"/>
    <mergeCell ref="A101:E101"/>
    <mergeCell ref="H101:M101"/>
    <mergeCell ref="B2:C2"/>
    <mergeCell ref="E2:I2"/>
    <mergeCell ref="K2:L2"/>
    <mergeCell ref="M2:N2"/>
    <mergeCell ref="A3:A4"/>
    <mergeCell ref="B3:C4"/>
    <mergeCell ref="E3:I3"/>
    <mergeCell ref="K3:L4"/>
    <mergeCell ref="M3:N3"/>
    <mergeCell ref="E9:I9"/>
    <mergeCell ref="A11:E11"/>
    <mergeCell ref="H11:M11"/>
    <mergeCell ref="A12:E12"/>
    <mergeCell ref="H12:M12"/>
    <mergeCell ref="A117:B118"/>
    <mergeCell ref="A112:E112"/>
    <mergeCell ref="H112:M112"/>
    <mergeCell ref="A113:E113"/>
    <mergeCell ref="H113:M113"/>
    <mergeCell ref="A114:E114"/>
    <mergeCell ref="H114:M114"/>
    <mergeCell ref="A13:E13"/>
    <mergeCell ref="H13:M13"/>
    <mergeCell ref="A14:E14"/>
    <mergeCell ref="H14:M14"/>
    <mergeCell ref="A15:E15"/>
    <mergeCell ref="H15:M15"/>
    <mergeCell ref="A102:E102"/>
    <mergeCell ref="H102:M102"/>
    <mergeCell ref="A97:E97"/>
    <mergeCell ref="H97:M97"/>
    <mergeCell ref="A98:E98"/>
    <mergeCell ref="H98:M98"/>
  </mergeCells>
  <pageMargins left="0.7" right="0.7" top="0.75" bottom="0.75" header="0.3" footer="0.3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ercentage"/>
  <dimension ref="B2:N52"/>
  <sheetViews>
    <sheetView topLeftCell="A13" zoomScale="115" zoomScaleNormal="115" workbookViewId="0">
      <selection activeCell="N22" sqref="N22"/>
    </sheetView>
  </sheetViews>
  <sheetFormatPr defaultRowHeight="15" x14ac:dyDescent="0.25"/>
  <cols>
    <col min="3" max="3" width="9.5703125" bestFit="1" customWidth="1"/>
    <col min="4" max="4" width="9.5703125" customWidth="1"/>
    <col min="5" max="5" width="10.42578125" customWidth="1"/>
    <col min="6" max="6" width="8.42578125" customWidth="1"/>
    <col min="8" max="8" width="8.28515625" customWidth="1"/>
    <col min="9" max="9" width="10.28515625" customWidth="1"/>
    <col min="14" max="14" width="17.42578125" customWidth="1"/>
  </cols>
  <sheetData>
    <row r="2" spans="2:14" x14ac:dyDescent="0.25">
      <c r="B2" s="2" t="s">
        <v>0</v>
      </c>
      <c r="C2" s="2" t="s">
        <v>46</v>
      </c>
      <c r="D2" s="2" t="s">
        <v>47</v>
      </c>
      <c r="E2" s="2" t="s">
        <v>48</v>
      </c>
      <c r="F2" s="2" t="s">
        <v>49</v>
      </c>
      <c r="G2" s="2" t="s">
        <v>50</v>
      </c>
      <c r="H2" s="2" t="s">
        <v>51</v>
      </c>
      <c r="I2" s="2" t="s">
        <v>52</v>
      </c>
      <c r="K2" s="2" t="s">
        <v>85</v>
      </c>
      <c r="L2" s="2" t="s">
        <v>34</v>
      </c>
      <c r="M2" s="2" t="s">
        <v>182</v>
      </c>
      <c r="N2" s="2" t="s">
        <v>184</v>
      </c>
    </row>
    <row r="3" spans="2:14" x14ac:dyDescent="0.25">
      <c r="B3" s="3">
        <v>0.20833333333333301</v>
      </c>
      <c r="C3" s="4">
        <f>IFERROR(IF(#REF!/#REF!&gt;1,1,#REF!/#REF!),0)</f>
        <v>0</v>
      </c>
      <c r="D3" s="4">
        <f>IFERROR(IF(#REF!/#REF!&gt;1,1,#REF!/#REF!),0)</f>
        <v>0</v>
      </c>
      <c r="E3" s="4">
        <f>IFERROR(IF(#REF!/#REF!&gt;1,1,#REF!/#REF!),0)</f>
        <v>0</v>
      </c>
      <c r="F3" s="4">
        <f>IFERROR(IF(#REF!/#REF!&gt;1,1,#REF!/#REF!),0)</f>
        <v>0</v>
      </c>
      <c r="G3" s="4">
        <f>IFERROR(IF(#REF!/#REF!&gt;1,1,#REF!/#REF!),0)</f>
        <v>0</v>
      </c>
      <c r="H3" s="4">
        <f>IFERROR(IF(#REF!/#REF!&gt;1,1,#REF!/#REF!),0)</f>
        <v>0</v>
      </c>
      <c r="I3" s="4">
        <f>IFERROR(IF(#REF!/#REF!&gt;1,1,#REF!/#REF!),0)</f>
        <v>0</v>
      </c>
      <c r="K3" s="3">
        <v>0.20833333333333301</v>
      </c>
      <c r="L3" s="4" t="e">
        <f>#REF!+#REF!</f>
        <v>#REF!</v>
      </c>
      <c r="M3" s="4" t="e">
        <f>#REF!</f>
        <v>#REF!</v>
      </c>
      <c r="N3" s="4" t="e">
        <f>#REF!+#REF!+#REF!</f>
        <v>#REF!</v>
      </c>
    </row>
    <row r="4" spans="2:14" x14ac:dyDescent="0.25">
      <c r="B4" s="3">
        <v>0.25</v>
      </c>
      <c r="C4" s="4">
        <f>IFERROR(IF(#REF!/#REF!&gt;1,1,#REF!/#REF!),0)</f>
        <v>0</v>
      </c>
      <c r="D4" s="4">
        <f>IFERROR(IF(#REF!/#REF!&gt;1,1,#REF!/#REF!),0)</f>
        <v>0</v>
      </c>
      <c r="E4" s="4">
        <f>IFERROR(IF(#REF!/#REF!&gt;1,1,#REF!/#REF!),0)</f>
        <v>0</v>
      </c>
      <c r="F4" s="4">
        <f>IFERROR(IF(#REF!/#REF!&gt;1,1,#REF!/#REF!),0)</f>
        <v>0</v>
      </c>
      <c r="G4" s="4">
        <f>IFERROR(IF(#REF!/#REF!&gt;1,1,#REF!/#REF!),0)</f>
        <v>0</v>
      </c>
      <c r="H4" s="4">
        <f>IFERROR(IF(#REF!/#REF!&gt;1,1,#REF!/#REF!),0)</f>
        <v>0</v>
      </c>
      <c r="I4" s="4">
        <f>IFERROR(IF(#REF!/#REF!&gt;1,1,#REF!/#REF!),0)</f>
        <v>0</v>
      </c>
      <c r="K4" s="3">
        <v>0.25</v>
      </c>
      <c r="L4" s="4" t="e">
        <f>#REF!+#REF!</f>
        <v>#REF!</v>
      </c>
      <c r="M4" s="4" t="e">
        <f>#REF!</f>
        <v>#REF!</v>
      </c>
      <c r="N4" s="4" t="e">
        <f>#REF!+#REF!+#REF!</f>
        <v>#REF!</v>
      </c>
    </row>
    <row r="5" spans="2:14" x14ac:dyDescent="0.25">
      <c r="B5" s="3">
        <v>0.29166666666666702</v>
      </c>
      <c r="C5" s="4">
        <f>IFERROR(IF(#REF!/#REF!&gt;1,1,#REF!/#REF!),0)</f>
        <v>0</v>
      </c>
      <c r="D5" s="4">
        <f>IFERROR(IF(#REF!/#REF!&gt;1,1,#REF!/#REF!),0)</f>
        <v>0</v>
      </c>
      <c r="E5" s="4">
        <f>IFERROR(IF(#REF!/#REF!&gt;1,1,#REF!/#REF!),0)</f>
        <v>0</v>
      </c>
      <c r="F5" s="4">
        <f>IFERROR(IF(#REF!/#REF!&gt;1,1,#REF!/#REF!),0)</f>
        <v>0</v>
      </c>
      <c r="G5" s="4">
        <f>IFERROR(IF(#REF!/#REF!&gt;1,1,#REF!/#REF!),0)</f>
        <v>0</v>
      </c>
      <c r="H5" s="4">
        <f>IFERROR(IF(#REF!/#REF!&gt;1,1,#REF!/#REF!),0)</f>
        <v>0</v>
      </c>
      <c r="I5" s="4">
        <f>IFERROR(IF(#REF!/#REF!&gt;1,1,#REF!/#REF!),0)</f>
        <v>0</v>
      </c>
      <c r="K5" s="3">
        <v>0.29166666666666702</v>
      </c>
      <c r="L5" s="4" t="e">
        <f>#REF!+#REF!</f>
        <v>#REF!</v>
      </c>
      <c r="M5" s="4" t="e">
        <f>#REF!</f>
        <v>#REF!</v>
      </c>
      <c r="N5" s="4" t="e">
        <f>#REF!+#REF!+#REF!</f>
        <v>#REF!</v>
      </c>
    </row>
    <row r="6" spans="2:14" x14ac:dyDescent="0.25">
      <c r="B6" s="3">
        <v>0.33333333333333298</v>
      </c>
      <c r="C6" s="4">
        <f>IFERROR(IF(#REF!/#REF!&gt;1,1,#REF!/#REF!),0)</f>
        <v>0</v>
      </c>
      <c r="D6" s="4">
        <f>IFERROR(IF(#REF!/#REF!&gt;1,1,#REF!/#REF!),0)</f>
        <v>0</v>
      </c>
      <c r="E6" s="4">
        <f>IFERROR(IF(#REF!/#REF!&gt;1,1,#REF!/#REF!),0)</f>
        <v>0</v>
      </c>
      <c r="F6" s="4">
        <f>IFERROR(IF(#REF!/#REF!&gt;1,1,#REF!/#REF!),0)</f>
        <v>0</v>
      </c>
      <c r="G6" s="4">
        <f>IFERROR(IF(#REF!/#REF!&gt;1,1,#REF!/#REF!),0)</f>
        <v>0</v>
      </c>
      <c r="H6" s="4">
        <f>IFERROR(IF(#REF!/#REF!&gt;1,1,#REF!/#REF!),0)</f>
        <v>0</v>
      </c>
      <c r="I6" s="4">
        <f>IFERROR(IF(#REF!/#REF!&gt;1,1,#REF!/#REF!),0)</f>
        <v>0</v>
      </c>
      <c r="K6" s="3">
        <v>0.33333333333333298</v>
      </c>
      <c r="L6" s="4" t="e">
        <f>#REF!+#REF!</f>
        <v>#REF!</v>
      </c>
      <c r="M6" s="4" t="e">
        <f>#REF!</f>
        <v>#REF!</v>
      </c>
      <c r="N6" s="4" t="e">
        <f>#REF!+#REF!+#REF!</f>
        <v>#REF!</v>
      </c>
    </row>
    <row r="7" spans="2:14" x14ac:dyDescent="0.25">
      <c r="B7" s="3">
        <v>0.375</v>
      </c>
      <c r="C7" s="4">
        <f>IFERROR(IF(#REF!/#REF!&gt;1,1,#REF!/#REF!),0)</f>
        <v>0</v>
      </c>
      <c r="D7" s="4">
        <f>IFERROR(IF(#REF!/#REF!&gt;1,1,#REF!/#REF!),0)</f>
        <v>0</v>
      </c>
      <c r="E7" s="4">
        <f>IFERROR(IF(#REF!/#REF!&gt;1,1,#REF!/#REF!),0)</f>
        <v>0</v>
      </c>
      <c r="F7" s="4">
        <f>IFERROR(IF(#REF!/#REF!&gt;1,1,#REF!/#REF!),0)</f>
        <v>0</v>
      </c>
      <c r="G7" s="4">
        <f>IFERROR(IF(#REF!/#REF!&gt;1,1,#REF!/#REF!),0)</f>
        <v>0</v>
      </c>
      <c r="H7" s="4">
        <f>IFERROR(IF(#REF!/#REF!&gt;1,1,#REF!/#REF!),0)</f>
        <v>0</v>
      </c>
      <c r="I7" s="4">
        <f>IFERROR(IF(#REF!/#REF!&gt;1,1,#REF!/#REF!),0)</f>
        <v>0</v>
      </c>
      <c r="K7" s="3">
        <v>0.375</v>
      </c>
      <c r="L7" s="4" t="e">
        <f>#REF!+#REF!</f>
        <v>#REF!</v>
      </c>
      <c r="M7" s="4" t="e">
        <f>#REF!</f>
        <v>#REF!</v>
      </c>
      <c r="N7" s="4" t="e">
        <f>#REF!+#REF!+#REF!</f>
        <v>#REF!</v>
      </c>
    </row>
    <row r="8" spans="2:14" x14ac:dyDescent="0.25">
      <c r="B8" s="3">
        <v>0.41666666666666702</v>
      </c>
      <c r="C8" s="4">
        <f>IFERROR(IF(#REF!/#REF!&gt;1,1,#REF!/#REF!),0)</f>
        <v>0</v>
      </c>
      <c r="D8" s="4">
        <f>IFERROR(IF(#REF!/#REF!&gt;1,1,#REF!/#REF!),0)</f>
        <v>0</v>
      </c>
      <c r="E8" s="4">
        <f>IFERROR(IF(#REF!/#REF!&gt;1,1,#REF!/#REF!),0)</f>
        <v>0</v>
      </c>
      <c r="F8" s="4">
        <f>IFERROR(IF(#REF!/#REF!&gt;1,1,#REF!/#REF!),0)</f>
        <v>0</v>
      </c>
      <c r="G8" s="4">
        <f>IFERROR(IF(#REF!/#REF!&gt;1,1,#REF!/#REF!),0)</f>
        <v>0</v>
      </c>
      <c r="H8" s="4">
        <f>IFERROR(IF(#REF!/#REF!&gt;1,1,#REF!/#REF!),0)</f>
        <v>0</v>
      </c>
      <c r="I8" s="4">
        <f>IFERROR(IF(#REF!/#REF!&gt;1,1,#REF!/#REF!),0)</f>
        <v>0</v>
      </c>
      <c r="K8" s="3">
        <v>0.41666666666666702</v>
      </c>
      <c r="L8" s="4" t="e">
        <f>#REF!+#REF!</f>
        <v>#REF!</v>
      </c>
      <c r="M8" s="4" t="e">
        <f>#REF!</f>
        <v>#REF!</v>
      </c>
      <c r="N8" s="4" t="e">
        <f>#REF!+#REF!+#REF!</f>
        <v>#REF!</v>
      </c>
    </row>
    <row r="9" spans="2:14" x14ac:dyDescent="0.25">
      <c r="B9" s="3">
        <v>0.45833333333333298</v>
      </c>
      <c r="C9" s="4">
        <f>IFERROR(IF(#REF!/#REF!&gt;1,1,#REF!/#REF!),0)</f>
        <v>0</v>
      </c>
      <c r="D9" s="4">
        <f>IFERROR(IF(#REF!/#REF!&gt;1,1,#REF!/#REF!),0)</f>
        <v>0</v>
      </c>
      <c r="E9" s="4">
        <f>IFERROR(IF(#REF!/#REF!&gt;1,1,#REF!/#REF!),0)</f>
        <v>0</v>
      </c>
      <c r="F9" s="4">
        <f>IFERROR(IF(#REF!/#REF!&gt;1,1,#REF!/#REF!),0)</f>
        <v>0</v>
      </c>
      <c r="G9" s="4">
        <f>IFERROR(IF(#REF!/#REF!&gt;1,1,#REF!/#REF!),0)</f>
        <v>0</v>
      </c>
      <c r="H9" s="4">
        <f>IFERROR(IF(#REF!/#REF!&gt;1,1,#REF!/#REF!),0)</f>
        <v>0</v>
      </c>
      <c r="I9" s="4">
        <f>IFERROR(IF(#REF!/#REF!&gt;1,1,#REF!/#REF!),0)</f>
        <v>0</v>
      </c>
      <c r="K9" s="3">
        <v>0.45833333333333298</v>
      </c>
      <c r="L9" s="4" t="e">
        <f>#REF!+#REF!</f>
        <v>#REF!</v>
      </c>
      <c r="M9" s="4" t="e">
        <f>#REF!</f>
        <v>#REF!</v>
      </c>
      <c r="N9" s="4" t="e">
        <f>#REF!+#REF!+#REF!</f>
        <v>#REF!</v>
      </c>
    </row>
    <row r="10" spans="2:14" x14ac:dyDescent="0.25">
      <c r="B10" s="3">
        <v>0.5</v>
      </c>
      <c r="C10" s="4">
        <f>IFERROR(IF(#REF!/#REF!&gt;1,1,#REF!/#REF!),0)</f>
        <v>0</v>
      </c>
      <c r="D10" s="4">
        <f>IFERROR(IF(#REF!/#REF!&gt;1,1,#REF!/#REF!),0)</f>
        <v>0</v>
      </c>
      <c r="E10" s="4">
        <f>IFERROR(IF(#REF!/#REF!&gt;1,1,#REF!/#REF!),0)</f>
        <v>0</v>
      </c>
      <c r="F10" s="4">
        <f>IFERROR(IF(#REF!/#REF!&gt;1,1,#REF!/#REF!),0)</f>
        <v>0</v>
      </c>
      <c r="G10" s="4">
        <f>IFERROR(IF(#REF!/#REF!&gt;1,1,#REF!/#REF!),0)</f>
        <v>0</v>
      </c>
      <c r="H10" s="4">
        <f>IFERROR(IF(#REF!/#REF!&gt;1,1,#REF!/#REF!),0)</f>
        <v>0</v>
      </c>
      <c r="I10" s="4">
        <f>IFERROR(IF(#REF!/#REF!&gt;1,1,#REF!/#REF!),0)</f>
        <v>0</v>
      </c>
      <c r="K10" s="3">
        <v>0.5</v>
      </c>
      <c r="L10" s="4" t="e">
        <f>#REF!+#REF!</f>
        <v>#REF!</v>
      </c>
      <c r="M10" s="4" t="e">
        <f>#REF!</f>
        <v>#REF!</v>
      </c>
      <c r="N10" s="4" t="e">
        <f>#REF!+#REF!+#REF!</f>
        <v>#REF!</v>
      </c>
    </row>
    <row r="11" spans="2:14" x14ac:dyDescent="0.25">
      <c r="B11" s="3">
        <v>0.54166666666666696</v>
      </c>
      <c r="C11" s="4">
        <f>IFERROR(IF(#REF!/#REF!&gt;1,1,#REF!/#REF!),0)</f>
        <v>0</v>
      </c>
      <c r="D11" s="4">
        <f>IFERROR(IF(#REF!/#REF!&gt;1,1,#REF!/#REF!),0)</f>
        <v>0</v>
      </c>
      <c r="E11" s="4">
        <f>IFERROR(IF(#REF!/#REF!&gt;1,1,#REF!/#REF!),0)</f>
        <v>0</v>
      </c>
      <c r="F11" s="4">
        <f>IFERROR(IF(#REF!/#REF!&gt;1,1,#REF!/#REF!),0)</f>
        <v>0</v>
      </c>
      <c r="G11" s="4">
        <f>IFERROR(IF(#REF!/#REF!&gt;1,1,#REF!/#REF!),0)</f>
        <v>0</v>
      </c>
      <c r="H11" s="4">
        <f>IFERROR(IF(#REF!/#REF!&gt;1,1,#REF!/#REF!),0)</f>
        <v>0</v>
      </c>
      <c r="I11" s="4">
        <f>IFERROR(IF(#REF!/#REF!&gt;1,1,#REF!/#REF!),0)</f>
        <v>0</v>
      </c>
      <c r="K11" s="3">
        <v>0.54166666666666696</v>
      </c>
      <c r="L11" s="4" t="e">
        <f>#REF!+#REF!</f>
        <v>#REF!</v>
      </c>
      <c r="M11" s="4" t="e">
        <f>#REF!</f>
        <v>#REF!</v>
      </c>
      <c r="N11" s="4" t="e">
        <f>#REF!+#REF!+#REF!</f>
        <v>#REF!</v>
      </c>
    </row>
    <row r="12" spans="2:14" x14ac:dyDescent="0.25">
      <c r="B12" s="3">
        <v>0.58333333333333304</v>
      </c>
      <c r="C12" s="4">
        <f>IFERROR(IF(#REF!/#REF!&gt;1,1,#REF!/#REF!),0)</f>
        <v>0</v>
      </c>
      <c r="D12" s="4">
        <f>IFERROR(IF(#REF!/#REF!&gt;1,1,#REF!/#REF!),0)</f>
        <v>0</v>
      </c>
      <c r="E12" s="4">
        <f>IFERROR(IF(#REF!/#REF!&gt;1,1,#REF!/#REF!),0)</f>
        <v>0</v>
      </c>
      <c r="F12" s="4">
        <f>IFERROR(IF(#REF!/#REF!&gt;1,1,#REF!/#REF!),0)</f>
        <v>0</v>
      </c>
      <c r="G12" s="4">
        <f>IFERROR(IF(#REF!/#REF!&gt;1,1,#REF!/#REF!),0)</f>
        <v>0</v>
      </c>
      <c r="H12" s="4">
        <f>IFERROR(IF(#REF!/#REF!&gt;1,1,#REF!/#REF!),0)</f>
        <v>0</v>
      </c>
      <c r="I12" s="4">
        <f>IFERROR(IF(#REF!/#REF!&gt;1,1,#REF!/#REF!),0)</f>
        <v>0</v>
      </c>
      <c r="K12" s="3">
        <v>0.58333333333333304</v>
      </c>
      <c r="L12" s="4" t="e">
        <f>#REF!+#REF!</f>
        <v>#REF!</v>
      </c>
      <c r="M12" s="4" t="e">
        <f>#REF!</f>
        <v>#REF!</v>
      </c>
      <c r="N12" s="4" t="e">
        <f>#REF!+#REF!+#REF!</f>
        <v>#REF!</v>
      </c>
    </row>
    <row r="13" spans="2:14" x14ac:dyDescent="0.25">
      <c r="B13" s="3">
        <v>0.625</v>
      </c>
      <c r="C13" s="4">
        <f>IFERROR(IF(#REF!/#REF!&gt;1,1,#REF!/#REF!),0)</f>
        <v>0</v>
      </c>
      <c r="D13" s="4">
        <f>IFERROR(IF(#REF!/#REF!&gt;1,1,#REF!/#REF!),0)</f>
        <v>0</v>
      </c>
      <c r="E13" s="4">
        <f>IFERROR(IF(#REF!/#REF!&gt;1,1,#REF!/#REF!),0)</f>
        <v>0</v>
      </c>
      <c r="F13" s="4">
        <f>IFERROR(IF(#REF!/#REF!&gt;1,1,#REF!/#REF!),0)</f>
        <v>0</v>
      </c>
      <c r="G13" s="4">
        <f>IFERROR(IF(#REF!/#REF!&gt;1,1,#REF!/#REF!),0)</f>
        <v>0</v>
      </c>
      <c r="H13" s="4">
        <f>IFERROR(IF(#REF!/#REF!&gt;1,1,#REF!/#REF!),0)</f>
        <v>0</v>
      </c>
      <c r="I13" s="4">
        <f>IFERROR(IF(#REF!/#REF!&gt;1,1,#REF!/#REF!),0)</f>
        <v>0</v>
      </c>
      <c r="K13" s="3">
        <v>0.625</v>
      </c>
      <c r="L13" s="4" t="e">
        <f>#REF!+#REF!</f>
        <v>#REF!</v>
      </c>
      <c r="M13" s="4" t="e">
        <f>#REF!</f>
        <v>#REF!</v>
      </c>
      <c r="N13" s="4" t="e">
        <f>#REF!+#REF!+#REF!</f>
        <v>#REF!</v>
      </c>
    </row>
    <row r="14" spans="2:14" x14ac:dyDescent="0.25">
      <c r="B14" s="3">
        <v>0.66666666666666696</v>
      </c>
      <c r="C14" s="4">
        <f>IFERROR(IF(#REF!/#REF!&gt;1,1,#REF!/#REF!),0)</f>
        <v>0</v>
      </c>
      <c r="D14" s="4">
        <f>IFERROR(IF(#REF!/#REF!&gt;1,1,#REF!/#REF!),0)</f>
        <v>0</v>
      </c>
      <c r="E14" s="4">
        <f>IFERROR(IF(#REF!/#REF!&gt;1,1,#REF!/#REF!),0)</f>
        <v>0</v>
      </c>
      <c r="F14" s="4">
        <f>IFERROR(IF(#REF!/#REF!&gt;1,1,#REF!/#REF!),0)</f>
        <v>0</v>
      </c>
      <c r="G14" s="4">
        <f>IFERROR(IF(#REF!/#REF!&gt;1,1,#REF!/#REF!),0)</f>
        <v>0</v>
      </c>
      <c r="H14" s="4">
        <f>IFERROR(IF(#REF!/#REF!&gt;1,1,#REF!/#REF!),0)</f>
        <v>0</v>
      </c>
      <c r="I14" s="4">
        <f>IFERROR(IF(#REF!/#REF!&gt;1,1,#REF!/#REF!),0)</f>
        <v>0</v>
      </c>
      <c r="K14" s="3">
        <v>0.66666666666666696</v>
      </c>
      <c r="L14" s="4" t="e">
        <f>#REF!+#REF!</f>
        <v>#REF!</v>
      </c>
      <c r="M14" s="4" t="e">
        <f>#REF!</f>
        <v>#REF!</v>
      </c>
      <c r="N14" s="4" t="e">
        <f>#REF!+#REF!+#REF!</f>
        <v>#REF!</v>
      </c>
    </row>
    <row r="15" spans="2:14" x14ac:dyDescent="0.25">
      <c r="B15" s="3">
        <v>0.70833333333333304</v>
      </c>
      <c r="C15" s="4">
        <f>IFERROR(IF(#REF!/#REF!&gt;1,1,#REF!/#REF!),0)</f>
        <v>0</v>
      </c>
      <c r="D15" s="4">
        <f>IFERROR(IF(#REF!/#REF!&gt;1,1,#REF!/#REF!),0)</f>
        <v>0</v>
      </c>
      <c r="E15" s="4">
        <f>IFERROR(IF(#REF!/#REF!&gt;1,1,#REF!/#REF!),0)</f>
        <v>0</v>
      </c>
      <c r="F15" s="4">
        <f>IFERROR(IF(#REF!/#REF!&gt;1,1,#REF!/#REF!),0)</f>
        <v>0</v>
      </c>
      <c r="G15" s="4">
        <f>IFERROR(IF(#REF!/#REF!&gt;1,1,#REF!/#REF!),0)</f>
        <v>0</v>
      </c>
      <c r="H15" s="4">
        <f>IFERROR(IF(#REF!/#REF!&gt;1,1,#REF!/#REF!),0)</f>
        <v>0</v>
      </c>
      <c r="I15" s="4">
        <f>IFERROR(IF(#REF!/#REF!&gt;1,1,#REF!/#REF!),0)</f>
        <v>0</v>
      </c>
      <c r="K15" s="3">
        <v>0.70833333333333304</v>
      </c>
      <c r="L15" s="4" t="e">
        <f>#REF!+#REF!</f>
        <v>#REF!</v>
      </c>
      <c r="M15" s="4" t="e">
        <f>#REF!</f>
        <v>#REF!</v>
      </c>
      <c r="N15" s="4" t="e">
        <f>#REF!+#REF!+#REF!</f>
        <v>#REF!</v>
      </c>
    </row>
    <row r="16" spans="2:14" x14ac:dyDescent="0.25">
      <c r="B16" s="3">
        <v>0.75</v>
      </c>
      <c r="C16" s="4">
        <f>IFERROR(IF(#REF!/#REF!&gt;1,1,#REF!/#REF!),0)</f>
        <v>0</v>
      </c>
      <c r="D16" s="4">
        <f>IFERROR(IF(#REF!/#REF!&gt;1,1,#REF!/#REF!),0)</f>
        <v>0</v>
      </c>
      <c r="E16" s="4">
        <f>IFERROR(IF(#REF!/#REF!&gt;1,1,#REF!/#REF!),0)</f>
        <v>0</v>
      </c>
      <c r="F16" s="4">
        <f>IFERROR(IF(#REF!/#REF!&gt;1,1,#REF!/#REF!),0)</f>
        <v>0</v>
      </c>
      <c r="G16" s="4">
        <f>IFERROR(IF(#REF!/#REF!&gt;1,1,#REF!/#REF!),0)</f>
        <v>0</v>
      </c>
      <c r="H16" s="4">
        <f>IFERROR(IF(#REF!/#REF!&gt;1,1,#REF!/#REF!),0)</f>
        <v>0</v>
      </c>
      <c r="I16" s="4">
        <f>IFERROR(IF(#REF!/#REF!&gt;1,1,#REF!/#REF!),0)</f>
        <v>0</v>
      </c>
      <c r="K16" s="3">
        <v>0.75</v>
      </c>
      <c r="L16" s="4" t="e">
        <f>#REF!+#REF!</f>
        <v>#REF!</v>
      </c>
      <c r="M16" s="4" t="e">
        <f>#REF!</f>
        <v>#REF!</v>
      </c>
      <c r="N16" s="4" t="e">
        <f>#REF!+#REF!+#REF!</f>
        <v>#REF!</v>
      </c>
    </row>
    <row r="17" spans="2:14" x14ac:dyDescent="0.25">
      <c r="B17" s="3">
        <v>0.79166666666666696</v>
      </c>
      <c r="C17" s="4">
        <f>IFERROR(IF(#REF!/#REF!&gt;1,1,#REF!/#REF!),0)</f>
        <v>0</v>
      </c>
      <c r="D17" s="4">
        <f>IFERROR(IF(#REF!/#REF!&gt;1,1,#REF!/#REF!),0)</f>
        <v>0</v>
      </c>
      <c r="E17" s="4">
        <f>IFERROR(IF(#REF!/#REF!&gt;1,1,#REF!/#REF!),0)</f>
        <v>0</v>
      </c>
      <c r="F17" s="4">
        <f>IFERROR(IF(#REF!/#REF!&gt;1,1,#REF!/#REF!),0)</f>
        <v>0</v>
      </c>
      <c r="G17" s="4">
        <f>IFERROR(IF(#REF!/#REF!&gt;1,1,#REF!/#REF!),0)</f>
        <v>0</v>
      </c>
      <c r="H17" s="4">
        <f>IFERROR(IF(#REF!/#REF!&gt;1,1,#REF!/#REF!),0)</f>
        <v>0</v>
      </c>
      <c r="I17" s="4">
        <f>IFERROR(IF(#REF!/#REF!&gt;1,1,#REF!/#REF!),0)</f>
        <v>0</v>
      </c>
      <c r="K17" s="3">
        <v>0.79166666666666696</v>
      </c>
      <c r="L17" s="4" t="e">
        <f>#REF!+#REF!</f>
        <v>#REF!</v>
      </c>
      <c r="M17" s="4" t="e">
        <f>#REF!</f>
        <v>#REF!</v>
      </c>
      <c r="N17" s="4" t="e">
        <f>#REF!+#REF!+#REF!</f>
        <v>#REF!</v>
      </c>
    </row>
    <row r="18" spans="2:14" x14ac:dyDescent="0.25">
      <c r="B18" s="3">
        <v>0.83333333333333304</v>
      </c>
      <c r="C18" s="4">
        <f>IFERROR(IF(#REF!/#REF!&gt;1,1,#REF!/#REF!),0)</f>
        <v>0</v>
      </c>
      <c r="D18" s="4">
        <f>IFERROR(IF(#REF!/#REF!&gt;1,1,#REF!/#REF!),0)</f>
        <v>0</v>
      </c>
      <c r="E18" s="4">
        <f>IFERROR(IF(#REF!/#REF!&gt;1,1,#REF!/#REF!),0)</f>
        <v>0</v>
      </c>
      <c r="F18" s="4">
        <f>IFERROR(IF(#REF!/#REF!&gt;1,1,#REF!/#REF!),0)</f>
        <v>0</v>
      </c>
      <c r="G18" s="4">
        <f>IFERROR(IF(#REF!/#REF!&gt;1,1,#REF!/#REF!),0)</f>
        <v>0</v>
      </c>
      <c r="H18" s="4">
        <f>IFERROR(IF(#REF!/#REF!&gt;1,1,#REF!/#REF!),0)</f>
        <v>0</v>
      </c>
      <c r="I18" s="4">
        <f>IFERROR(IF(#REF!/#REF!&gt;1,1,#REF!/#REF!),0)</f>
        <v>0</v>
      </c>
      <c r="K18" s="3">
        <v>0.83333333333333304</v>
      </c>
      <c r="L18" s="4" t="e">
        <f>#REF!+#REF!</f>
        <v>#REF!</v>
      </c>
      <c r="M18" s="4" t="e">
        <f>#REF!</f>
        <v>#REF!</v>
      </c>
      <c r="N18" s="4" t="e">
        <f>#REF!+#REF!+#REF!</f>
        <v>#REF!</v>
      </c>
    </row>
    <row r="19" spans="2:14" x14ac:dyDescent="0.25">
      <c r="B19" s="3">
        <v>0.875</v>
      </c>
      <c r="C19" s="4">
        <f>IFERROR(IF(#REF!/#REF!&gt;1,1,#REF!/#REF!),0)</f>
        <v>0</v>
      </c>
      <c r="D19" s="4">
        <f>IFERROR(IF(#REF!/#REF!&gt;1,1,#REF!/#REF!),0)</f>
        <v>0</v>
      </c>
      <c r="E19" s="4">
        <f>IFERROR(IF(#REF!/#REF!&gt;1,1,#REF!/#REF!),0)</f>
        <v>0</v>
      </c>
      <c r="F19" s="4">
        <f>IFERROR(IF(#REF!/#REF!&gt;1,1,#REF!/#REF!),0)</f>
        <v>0</v>
      </c>
      <c r="G19" s="4">
        <f>IFERROR(IF(#REF!/#REF!&gt;1,1,#REF!/#REF!),0)</f>
        <v>0</v>
      </c>
      <c r="H19" s="4">
        <f>IFERROR(IF(#REF!/#REF!&gt;1,1,#REF!/#REF!),0)</f>
        <v>0</v>
      </c>
      <c r="I19" s="4">
        <f>IFERROR(IF(#REF!/#REF!&gt;1,1,#REF!/#REF!),0)</f>
        <v>0</v>
      </c>
      <c r="K19" s="3">
        <v>0.875</v>
      </c>
      <c r="L19" s="4" t="e">
        <f>#REF!+#REF!</f>
        <v>#REF!</v>
      </c>
      <c r="M19" s="4" t="e">
        <f>#REF!</f>
        <v>#REF!</v>
      </c>
      <c r="N19" s="4" t="e">
        <f>#REF!+#REF!+#REF!</f>
        <v>#REF!</v>
      </c>
    </row>
    <row r="20" spans="2:14" x14ac:dyDescent="0.25">
      <c r="B20" s="3">
        <v>0.91666666666666696</v>
      </c>
      <c r="C20" s="4">
        <f>IFERROR(IF(#REF!/#REF!&gt;1,1,#REF!/#REF!),0)</f>
        <v>0</v>
      </c>
      <c r="D20" s="4">
        <f>IFERROR(IF(#REF!/#REF!&gt;1,1,#REF!/#REF!),0)</f>
        <v>0</v>
      </c>
      <c r="E20" s="4">
        <f>IFERROR(IF(#REF!/#REF!&gt;1,1,#REF!/#REF!),0)</f>
        <v>0</v>
      </c>
      <c r="F20" s="4">
        <f>IFERROR(IF(#REF!/#REF!&gt;1,1,#REF!/#REF!),0)</f>
        <v>0</v>
      </c>
      <c r="G20" s="4">
        <f>IFERROR(IF(#REF!/#REF!&gt;1,1,#REF!/#REF!),0)</f>
        <v>0</v>
      </c>
      <c r="H20" s="4">
        <f>IFERROR(IF(#REF!/#REF!&gt;1,1,#REF!/#REF!),0)</f>
        <v>0</v>
      </c>
      <c r="I20" s="4">
        <f>IFERROR(IF(#REF!/#REF!&gt;1,1,#REF!/#REF!),0)</f>
        <v>0</v>
      </c>
      <c r="K20" s="3">
        <v>0.91666666666666696</v>
      </c>
      <c r="L20" s="4" t="e">
        <f>#REF!+#REF!</f>
        <v>#REF!</v>
      </c>
      <c r="M20" s="4" t="e">
        <f>#REF!</f>
        <v>#REF!</v>
      </c>
      <c r="N20" s="4" t="e">
        <f>#REF!+#REF!+#REF!</f>
        <v>#REF!</v>
      </c>
    </row>
    <row r="21" spans="2:14" x14ac:dyDescent="0.25">
      <c r="B21" s="3">
        <v>0.95833333333333304</v>
      </c>
      <c r="C21" s="4">
        <f>IFERROR(IF(#REF!/#REF!&gt;1,1,#REF!/#REF!),0)</f>
        <v>0</v>
      </c>
      <c r="D21" s="4">
        <f>IFERROR(IF(#REF!/#REF!&gt;1,1,#REF!/#REF!),0)</f>
        <v>0</v>
      </c>
      <c r="E21" s="4">
        <f>IFERROR(IF(#REF!/#REF!&gt;1,1,#REF!/#REF!),0)</f>
        <v>0</v>
      </c>
      <c r="F21" s="4">
        <f>IFERROR(IF(#REF!/#REF!&gt;1,1,#REF!/#REF!),0)</f>
        <v>0</v>
      </c>
      <c r="G21" s="4">
        <f>IFERROR(IF(#REF!/#REF!&gt;1,1,#REF!/#REF!),0)</f>
        <v>0</v>
      </c>
      <c r="H21" s="4">
        <f>IFERROR(IF(#REF!/#REF!&gt;1,1,#REF!/#REF!),0)</f>
        <v>0</v>
      </c>
      <c r="I21" s="4">
        <f>IFERROR(IF(#REF!/#REF!&gt;1,1,#REF!/#REF!),0)</f>
        <v>0</v>
      </c>
      <c r="K21" s="3">
        <v>0.95833333333333304</v>
      </c>
      <c r="L21" s="4" t="e">
        <f>#REF!+#REF!</f>
        <v>#REF!</v>
      </c>
      <c r="M21" s="4" t="e">
        <f>#REF!</f>
        <v>#REF!</v>
      </c>
      <c r="N21" s="4" t="e">
        <f>#REF!+#REF!+#REF!</f>
        <v>#REF!</v>
      </c>
    </row>
    <row r="22" spans="2:14" x14ac:dyDescent="0.25">
      <c r="B22" s="3">
        <v>1</v>
      </c>
      <c r="C22" s="4">
        <f>IFERROR(IF(#REF!/#REF!&gt;1,1,#REF!/#REF!),0)</f>
        <v>0</v>
      </c>
      <c r="D22" s="4">
        <f>IFERROR(IF(#REF!/#REF!&gt;1,1,#REF!/#REF!),0)</f>
        <v>0</v>
      </c>
      <c r="E22" s="4">
        <f>IFERROR(IF(#REF!/#REF!&gt;1,1,#REF!/#REF!),0)</f>
        <v>0</v>
      </c>
      <c r="F22" s="4">
        <f>IFERROR(IF(#REF!/#REF!&gt;1,1,#REF!/#REF!),0)</f>
        <v>0</v>
      </c>
      <c r="G22" s="4">
        <f>IFERROR(IF(#REF!/#REF!&gt;1,1,#REF!/#REF!),0)</f>
        <v>0</v>
      </c>
      <c r="H22" s="4">
        <f>IFERROR(IF(#REF!/#REF!&gt;1,1,#REF!/#REF!),0)</f>
        <v>0</v>
      </c>
      <c r="I22" s="4">
        <f>IFERROR(IF(#REF!/#REF!&gt;1,1,#REF!/#REF!),0)</f>
        <v>0</v>
      </c>
      <c r="K22" s="3">
        <v>1</v>
      </c>
      <c r="L22" s="4" t="e">
        <f>#REF!+#REF!</f>
        <v>#REF!</v>
      </c>
      <c r="M22" s="4" t="e">
        <f>#REF!</f>
        <v>#REF!</v>
      </c>
      <c r="N22" s="4" t="e">
        <f>#REF!+#REF!+#REF!</f>
        <v>#REF!</v>
      </c>
    </row>
    <row r="23" spans="2:14" x14ac:dyDescent="0.25">
      <c r="B23" s="3">
        <v>1.0416666666666701</v>
      </c>
      <c r="C23" s="4">
        <f>IFERROR(IF(#REF!/#REF!&gt;1,1,#REF!/#REF!),0)</f>
        <v>0</v>
      </c>
      <c r="D23" s="4">
        <f>IFERROR(IF(#REF!/#REF!&gt;1,1,#REF!/#REF!),0)</f>
        <v>0</v>
      </c>
      <c r="E23" s="4">
        <f>IFERROR(IF(#REF!/#REF!&gt;1,1,#REF!/#REF!),0)</f>
        <v>0</v>
      </c>
      <c r="F23" s="4">
        <f>IFERROR(IF(#REF!/#REF!&gt;1,1,#REF!/#REF!),0)</f>
        <v>0</v>
      </c>
      <c r="G23" s="4">
        <f>IFERROR(IF(#REF!/#REF!&gt;1,1,#REF!/#REF!),0)</f>
        <v>0</v>
      </c>
      <c r="H23" s="4">
        <f>IFERROR(IF(#REF!/#REF!&gt;1,1,#REF!/#REF!),0)</f>
        <v>0</v>
      </c>
      <c r="I23" s="4">
        <f>IFERROR(IF(#REF!/#REF!&gt;1,1,#REF!/#REF!),0)</f>
        <v>0</v>
      </c>
      <c r="K23" s="3">
        <v>1.0416666666666701</v>
      </c>
      <c r="L23" s="4" t="e">
        <f>#REF!+#REF!</f>
        <v>#REF!</v>
      </c>
      <c r="M23" s="4" t="e">
        <f>#REF!</f>
        <v>#REF!</v>
      </c>
      <c r="N23" s="4" t="e">
        <f>#REF!+#REF!+#REF!</f>
        <v>#REF!</v>
      </c>
    </row>
    <row r="24" spans="2:14" x14ac:dyDescent="0.25">
      <c r="B24" s="3">
        <v>1.0833333333333299</v>
      </c>
      <c r="C24" s="4">
        <f>IFERROR(IF(#REF!/#REF!&gt;1,1,#REF!/#REF!),0)</f>
        <v>0</v>
      </c>
      <c r="D24" s="4">
        <f>IFERROR(IF(#REF!/#REF!&gt;1,1,#REF!/#REF!),0)</f>
        <v>0</v>
      </c>
      <c r="E24" s="4">
        <f>IFERROR(IF(#REF!/#REF!&gt;1,1,#REF!/#REF!),0)</f>
        <v>0</v>
      </c>
      <c r="F24" s="4">
        <f>IFERROR(IF(#REF!/#REF!&gt;1,1,#REF!/#REF!),0)</f>
        <v>0</v>
      </c>
      <c r="G24" s="4">
        <f>IFERROR(IF(#REF!/#REF!&gt;1,1,#REF!/#REF!),0)</f>
        <v>0</v>
      </c>
      <c r="H24" s="4">
        <f>IFERROR(IF(#REF!/#REF!&gt;1,1,#REF!/#REF!),0)</f>
        <v>0</v>
      </c>
      <c r="I24" s="4">
        <f>IFERROR(IF(#REF!/#REF!&gt;1,1,#REF!/#REF!),0)</f>
        <v>0</v>
      </c>
      <c r="K24" s="3">
        <v>1.0833333333333299</v>
      </c>
      <c r="L24" s="4" t="e">
        <f>#REF!+#REF!</f>
        <v>#REF!</v>
      </c>
      <c r="M24" s="4" t="e">
        <f>#REF!</f>
        <v>#REF!</v>
      </c>
      <c r="N24" s="4" t="e">
        <f>#REF!+#REF!+#REF!</f>
        <v>#REF!</v>
      </c>
    </row>
    <row r="25" spans="2:14" x14ac:dyDescent="0.25">
      <c r="B25" s="3">
        <v>1.125</v>
      </c>
      <c r="C25" s="4">
        <f>IFERROR(IF(#REF!/#REF!&gt;1,1,#REF!/#REF!),0)</f>
        <v>0</v>
      </c>
      <c r="D25" s="4">
        <f>IFERROR(IF(#REF!/#REF!&gt;1,1,#REF!/#REF!),0)</f>
        <v>0</v>
      </c>
      <c r="E25" s="4">
        <f>IFERROR(IF(#REF!/#REF!&gt;1,1,#REF!/#REF!),0)</f>
        <v>0</v>
      </c>
      <c r="F25" s="4">
        <f>IFERROR(IF(#REF!/#REF!&gt;1,1,#REF!/#REF!),0)</f>
        <v>0</v>
      </c>
      <c r="G25" s="4">
        <f>IFERROR(IF(#REF!/#REF!&gt;1,1,#REF!/#REF!),0)</f>
        <v>0</v>
      </c>
      <c r="H25" s="4">
        <f>IFERROR(IF(#REF!/#REF!&gt;1,1,#REF!/#REF!),0)</f>
        <v>0</v>
      </c>
      <c r="I25" s="4">
        <f>IFERROR(IF(#REF!/#REF!&gt;1,1,#REF!/#REF!),0)</f>
        <v>0</v>
      </c>
      <c r="K25" s="3">
        <v>1.125</v>
      </c>
      <c r="L25" s="4" t="e">
        <f>#REF!+#REF!</f>
        <v>#REF!</v>
      </c>
      <c r="M25" s="4" t="e">
        <f>#REF!</f>
        <v>#REF!</v>
      </c>
      <c r="N25" s="4" t="e">
        <f>#REF!+#REF!+#REF!</f>
        <v>#REF!</v>
      </c>
    </row>
    <row r="26" spans="2:14" x14ac:dyDescent="0.25">
      <c r="B26" s="3">
        <v>1.1666666666666601</v>
      </c>
      <c r="C26" s="4">
        <f>IFERROR(IF(#REF!/#REF!&gt;1,1,#REF!/#REF!),0)</f>
        <v>0</v>
      </c>
      <c r="D26" s="4">
        <f>IFERROR(IF(#REF!/#REF!&gt;1,1,#REF!/#REF!),0)</f>
        <v>0</v>
      </c>
      <c r="E26" s="4">
        <f>IFERROR(IF(#REF!/#REF!&gt;1,1,#REF!/#REF!),0)</f>
        <v>0</v>
      </c>
      <c r="F26" s="4">
        <f>IFERROR(IF(#REF!/#REF!&gt;1,1,#REF!/#REF!),0)</f>
        <v>0</v>
      </c>
      <c r="G26" s="4">
        <f>IFERROR(IF(#REF!/#REF!&gt;1,1,#REF!/#REF!),0)</f>
        <v>0</v>
      </c>
      <c r="H26" s="4">
        <f>IFERROR(IF(#REF!/#REF!&gt;1,1,#REF!/#REF!),0)</f>
        <v>0</v>
      </c>
      <c r="I26" s="4">
        <f>IFERROR(IF(#REF!/#REF!&gt;1,1,#REF!/#REF!),0)</f>
        <v>0</v>
      </c>
      <c r="K26" s="3">
        <v>1.1666666666666601</v>
      </c>
      <c r="L26" s="4" t="e">
        <f>#REF!+#REF!</f>
        <v>#REF!</v>
      </c>
      <c r="M26" s="4" t="e">
        <f>#REF!</f>
        <v>#REF!</v>
      </c>
      <c r="N26" s="4" t="e">
        <f>#REF!+#REF!+#REF!</f>
        <v>#REF!</v>
      </c>
    </row>
    <row r="28" spans="2:14" x14ac:dyDescent="0.25">
      <c r="B28" s="2" t="s">
        <v>53</v>
      </c>
      <c r="C28" s="2" t="s">
        <v>46</v>
      </c>
      <c r="D28" s="2" t="s">
        <v>47</v>
      </c>
      <c r="E28" s="2" t="s">
        <v>48</v>
      </c>
      <c r="F28" s="2" t="s">
        <v>49</v>
      </c>
      <c r="G28" s="2" t="s">
        <v>50</v>
      </c>
      <c r="H28" s="2" t="s">
        <v>51</v>
      </c>
      <c r="I28" s="2" t="s">
        <v>52</v>
      </c>
    </row>
    <row r="29" spans="2:14" x14ac:dyDescent="0.25">
      <c r="B29" s="3">
        <v>0.20833333333333301</v>
      </c>
      <c r="C29" s="4">
        <f>IFERROR(IF(#REF!/#REF!&gt;1,1,#REF!/#REF!),0)</f>
        <v>0</v>
      </c>
      <c r="D29" s="4">
        <f>IFERROR(IF(#REF!/#REF!&gt;1,1,#REF!/#REF!),0)</f>
        <v>0</v>
      </c>
      <c r="E29" s="4">
        <f>IFERROR(IF(#REF!/#REF!&gt;1,1,#REF!/#REF!),0)</f>
        <v>0</v>
      </c>
      <c r="F29" s="4">
        <f>IFERROR(IF(#REF!/#REF!&gt;1,1,#REF!/#REF!),0)</f>
        <v>0</v>
      </c>
      <c r="G29" s="4">
        <f>IFERROR(IF(#REF!/#REF!&gt;1,1,#REF!/#REF!),0)</f>
        <v>0</v>
      </c>
      <c r="H29" s="4">
        <f>IFERROR(IF(#REF!/#REF!&gt;1,1,#REF!/#REF!),0)</f>
        <v>0</v>
      </c>
      <c r="I29" s="4">
        <f>IFERROR(IF(#REF!/#REF!&gt;1,1,#REF!/#REF!),0)</f>
        <v>0</v>
      </c>
    </row>
    <row r="30" spans="2:14" x14ac:dyDescent="0.25">
      <c r="B30" s="3">
        <v>0.25</v>
      </c>
      <c r="C30" s="4">
        <f>IFERROR(IF(#REF!/#REF!&gt;1,1,#REF!/#REF!),0)</f>
        <v>0</v>
      </c>
      <c r="D30" s="4">
        <f>IFERROR(IF(#REF!/#REF!&gt;1,1,#REF!/#REF!),0)</f>
        <v>0</v>
      </c>
      <c r="E30" s="4">
        <f>IFERROR(IF(#REF!/#REF!&gt;1,1,#REF!/#REF!),0)</f>
        <v>0</v>
      </c>
      <c r="F30" s="4">
        <f>IFERROR(IF(#REF!/#REF!&gt;1,1,#REF!/#REF!),0)</f>
        <v>0</v>
      </c>
      <c r="G30" s="4">
        <f>IFERROR(IF(#REF!/#REF!&gt;1,1,#REF!/#REF!),0)</f>
        <v>0</v>
      </c>
      <c r="H30" s="4">
        <f>IFERROR(IF(#REF!/#REF!&gt;1,1,#REF!/#REF!),0)</f>
        <v>0</v>
      </c>
      <c r="I30" s="4">
        <f>IFERROR(IF(#REF!/#REF!&gt;1,1,#REF!/#REF!),0)</f>
        <v>0</v>
      </c>
    </row>
    <row r="31" spans="2:14" x14ac:dyDescent="0.25">
      <c r="B31" s="3">
        <v>0.29166666666666702</v>
      </c>
      <c r="C31" s="4">
        <f>IFERROR(IF(#REF!/#REF!&gt;1,1,#REF!/#REF!),0)</f>
        <v>0</v>
      </c>
      <c r="D31" s="4">
        <f>IFERROR(IF(#REF!/#REF!&gt;1,1,#REF!/#REF!),0)</f>
        <v>0</v>
      </c>
      <c r="E31" s="4">
        <f>IFERROR(IF(#REF!/#REF!&gt;1,1,#REF!/#REF!),0)</f>
        <v>0</v>
      </c>
      <c r="F31" s="4">
        <f>IFERROR(IF(#REF!/#REF!&gt;1,1,#REF!/#REF!),0)</f>
        <v>0</v>
      </c>
      <c r="G31" s="4">
        <f>IFERROR(IF(#REF!/#REF!&gt;1,1,#REF!/#REF!),0)</f>
        <v>0</v>
      </c>
      <c r="H31" s="4">
        <f>IFERROR(IF(#REF!/#REF!&gt;1,1,#REF!/#REF!),0)</f>
        <v>0</v>
      </c>
      <c r="I31" s="4">
        <f>IFERROR(IF(#REF!/#REF!&gt;1,1,#REF!/#REF!),0)</f>
        <v>0</v>
      </c>
    </row>
    <row r="32" spans="2:14" x14ac:dyDescent="0.25">
      <c r="B32" s="3">
        <v>0.33333333333333298</v>
      </c>
      <c r="C32" s="4">
        <f>IFERROR(IF(#REF!/#REF!&gt;1,1,#REF!/#REF!),0)</f>
        <v>0</v>
      </c>
      <c r="D32" s="4">
        <f>IFERROR(IF(#REF!/#REF!&gt;1,1,#REF!/#REF!),0)</f>
        <v>0</v>
      </c>
      <c r="E32" s="4">
        <f>IFERROR(IF(#REF!/#REF!&gt;1,1,#REF!/#REF!),0)</f>
        <v>0</v>
      </c>
      <c r="F32" s="4">
        <f>IFERROR(IF(#REF!/#REF!&gt;1,1,#REF!/#REF!),0)</f>
        <v>0</v>
      </c>
      <c r="G32" s="4">
        <f>IFERROR(IF(#REF!/#REF!&gt;1,1,#REF!/#REF!),0)</f>
        <v>0</v>
      </c>
      <c r="H32" s="4">
        <f>IFERROR(IF(#REF!/#REF!&gt;1,1,#REF!/#REF!),0)</f>
        <v>0</v>
      </c>
      <c r="I32" s="4">
        <f>IFERROR(IF(#REF!/#REF!&gt;1,1,#REF!/#REF!),0)</f>
        <v>0</v>
      </c>
    </row>
    <row r="33" spans="2:9" x14ac:dyDescent="0.25">
      <c r="B33" s="3">
        <v>0.375</v>
      </c>
      <c r="C33" s="4">
        <f>IFERROR(IF(#REF!/#REF!&gt;1,1,#REF!/#REF!),0)</f>
        <v>0</v>
      </c>
      <c r="D33" s="4">
        <f>IFERROR(IF(#REF!/#REF!&gt;1,1,#REF!/#REF!),0)</f>
        <v>0</v>
      </c>
      <c r="E33" s="4">
        <f>IFERROR(IF(#REF!/#REF!&gt;1,1,#REF!/#REF!),0)</f>
        <v>0</v>
      </c>
      <c r="F33" s="4">
        <f>IFERROR(IF(#REF!/#REF!&gt;1,1,#REF!/#REF!),0)</f>
        <v>0</v>
      </c>
      <c r="G33" s="4">
        <f>IFERROR(IF(#REF!/#REF!&gt;1,1,#REF!/#REF!),0)</f>
        <v>0</v>
      </c>
      <c r="H33" s="4">
        <f>IFERROR(IF(#REF!/#REF!&gt;1,1,#REF!/#REF!),0)</f>
        <v>0</v>
      </c>
      <c r="I33" s="4">
        <f>IFERROR(IF(#REF!/#REF!&gt;1,1,#REF!/#REF!),0)</f>
        <v>0</v>
      </c>
    </row>
    <row r="34" spans="2:9" x14ac:dyDescent="0.25">
      <c r="B34" s="3">
        <v>0.41666666666666702</v>
      </c>
      <c r="C34" s="4">
        <f>IFERROR(IF(#REF!/#REF!&gt;1,1,#REF!/#REF!),0)</f>
        <v>0</v>
      </c>
      <c r="D34" s="4">
        <f>IFERROR(IF(#REF!/#REF!&gt;1,1,#REF!/#REF!),0)</f>
        <v>0</v>
      </c>
      <c r="E34" s="4">
        <f>IFERROR(IF(#REF!/#REF!&gt;1,1,#REF!/#REF!),0)</f>
        <v>0</v>
      </c>
      <c r="F34" s="4">
        <f>IFERROR(IF(#REF!/#REF!&gt;1,1,#REF!/#REF!),0)</f>
        <v>0</v>
      </c>
      <c r="G34" s="4">
        <f>IFERROR(IF(#REF!/#REF!&gt;1,1,#REF!/#REF!),0)</f>
        <v>0</v>
      </c>
      <c r="H34" s="4">
        <f>IFERROR(IF(#REF!/#REF!&gt;1,1,#REF!/#REF!),0)</f>
        <v>0</v>
      </c>
      <c r="I34" s="4">
        <f>IFERROR(IF(#REF!/#REF!&gt;1,1,#REF!/#REF!),0)</f>
        <v>0</v>
      </c>
    </row>
    <row r="35" spans="2:9" x14ac:dyDescent="0.25">
      <c r="B35" s="3">
        <v>0.45833333333333298</v>
      </c>
      <c r="C35" s="4">
        <f>IFERROR(IF(#REF!/#REF!&gt;1,1,#REF!/#REF!),0)</f>
        <v>0</v>
      </c>
      <c r="D35" s="4">
        <f>IFERROR(IF(#REF!/#REF!&gt;1,1,#REF!/#REF!),0)</f>
        <v>0</v>
      </c>
      <c r="E35" s="4">
        <f>IFERROR(IF(#REF!/#REF!&gt;1,1,#REF!/#REF!),0)</f>
        <v>0</v>
      </c>
      <c r="F35" s="4">
        <f>IFERROR(IF(#REF!/#REF!&gt;1,1,#REF!/#REF!),0)</f>
        <v>0</v>
      </c>
      <c r="G35" s="4">
        <f>IFERROR(IF(#REF!/#REF!&gt;1,1,#REF!/#REF!),0)</f>
        <v>0</v>
      </c>
      <c r="H35" s="4">
        <f>IFERROR(IF(#REF!/#REF!&gt;1,1,#REF!/#REF!),0)</f>
        <v>0</v>
      </c>
      <c r="I35" s="4">
        <f>IFERROR(IF(#REF!/#REF!&gt;1,1,#REF!/#REF!),0)</f>
        <v>0</v>
      </c>
    </row>
    <row r="36" spans="2:9" x14ac:dyDescent="0.25">
      <c r="B36" s="3">
        <v>0.5</v>
      </c>
      <c r="C36" s="4">
        <f>IFERROR(IF(#REF!/#REF!&gt;1,1,#REF!/#REF!),0)</f>
        <v>0</v>
      </c>
      <c r="D36" s="4">
        <f>IFERROR(IF(#REF!/#REF!&gt;1,1,#REF!/#REF!),0)</f>
        <v>0</v>
      </c>
      <c r="E36" s="4">
        <f>IFERROR(IF(#REF!/#REF!&gt;1,1,#REF!/#REF!),0)</f>
        <v>0</v>
      </c>
      <c r="F36" s="4">
        <f>IFERROR(IF(#REF!/#REF!&gt;1,1,#REF!/#REF!),0)</f>
        <v>0</v>
      </c>
      <c r="G36" s="4">
        <f>IFERROR(IF(#REF!/#REF!&gt;1,1,#REF!/#REF!),0)</f>
        <v>0</v>
      </c>
      <c r="H36" s="4">
        <f>IFERROR(IF(#REF!/#REF!&gt;1,1,#REF!/#REF!),0)</f>
        <v>0</v>
      </c>
      <c r="I36" s="4">
        <f>IFERROR(IF(#REF!/#REF!&gt;1,1,#REF!/#REF!),0)</f>
        <v>0</v>
      </c>
    </row>
    <row r="37" spans="2:9" x14ac:dyDescent="0.25">
      <c r="B37" s="3">
        <v>0.54166666666666696</v>
      </c>
      <c r="C37" s="4">
        <f>IFERROR(IF(#REF!/#REF!&gt;1,1,#REF!/#REF!),0)</f>
        <v>0</v>
      </c>
      <c r="D37" s="4">
        <f>IFERROR(IF(#REF!/#REF!&gt;1,1,#REF!/#REF!),0)</f>
        <v>0</v>
      </c>
      <c r="E37" s="4">
        <f>IFERROR(IF(#REF!/#REF!&gt;1,1,#REF!/#REF!),0)</f>
        <v>0</v>
      </c>
      <c r="F37" s="4">
        <f>IFERROR(IF(#REF!/#REF!&gt;1,1,#REF!/#REF!),0)</f>
        <v>0</v>
      </c>
      <c r="G37" s="4">
        <f>IFERROR(IF(#REF!/#REF!&gt;1,1,#REF!/#REF!),0)</f>
        <v>0</v>
      </c>
      <c r="H37" s="4">
        <f>IFERROR(IF(#REF!/#REF!&gt;1,1,#REF!/#REF!),0)</f>
        <v>0</v>
      </c>
      <c r="I37" s="4">
        <f>IFERROR(IF(#REF!/#REF!&gt;1,1,#REF!/#REF!),0)</f>
        <v>0</v>
      </c>
    </row>
    <row r="38" spans="2:9" x14ac:dyDescent="0.25">
      <c r="B38" s="3">
        <v>0.58333333333333304</v>
      </c>
      <c r="C38" s="4">
        <f>IFERROR(IF(#REF!/#REF!&gt;1,1,#REF!/#REF!),0)</f>
        <v>0</v>
      </c>
      <c r="D38" s="4">
        <f>IFERROR(IF(#REF!/#REF!&gt;1,1,#REF!/#REF!),0)</f>
        <v>0</v>
      </c>
      <c r="E38" s="4">
        <f>IFERROR(IF(#REF!/#REF!&gt;1,1,#REF!/#REF!),0)</f>
        <v>0</v>
      </c>
      <c r="F38" s="4">
        <f>IFERROR(IF(#REF!/#REF!&gt;1,1,#REF!/#REF!),0)</f>
        <v>0</v>
      </c>
      <c r="G38" s="4">
        <f>IFERROR(IF(#REF!/#REF!&gt;1,1,#REF!/#REF!),0)</f>
        <v>0</v>
      </c>
      <c r="H38" s="4">
        <f>IFERROR(IF(#REF!/#REF!&gt;1,1,#REF!/#REF!),0)</f>
        <v>0</v>
      </c>
      <c r="I38" s="4">
        <f>IFERROR(IF(#REF!/#REF!&gt;1,1,#REF!/#REF!),0)</f>
        <v>0</v>
      </c>
    </row>
    <row r="39" spans="2:9" x14ac:dyDescent="0.25">
      <c r="B39" s="3">
        <v>0.625</v>
      </c>
      <c r="C39" s="4">
        <f>IFERROR(IF(#REF!/#REF!&gt;1,1,#REF!/#REF!),0)</f>
        <v>0</v>
      </c>
      <c r="D39" s="4">
        <f>IFERROR(IF(#REF!/#REF!&gt;1,1,#REF!/#REF!),0)</f>
        <v>0</v>
      </c>
      <c r="E39" s="4">
        <f>IFERROR(IF(#REF!/#REF!&gt;1,1,#REF!/#REF!),0)</f>
        <v>0</v>
      </c>
      <c r="F39" s="4">
        <f>IFERROR(IF(#REF!/#REF!&gt;1,1,#REF!/#REF!),0)</f>
        <v>0</v>
      </c>
      <c r="G39" s="4">
        <f>IFERROR(IF(#REF!/#REF!&gt;1,1,#REF!/#REF!),0)</f>
        <v>0</v>
      </c>
      <c r="H39" s="4">
        <f>IFERROR(IF(#REF!/#REF!&gt;1,1,#REF!/#REF!),0)</f>
        <v>0</v>
      </c>
      <c r="I39" s="4">
        <f>IFERROR(IF(#REF!/#REF!&gt;1,1,#REF!/#REF!),0)</f>
        <v>0</v>
      </c>
    </row>
    <row r="40" spans="2:9" x14ac:dyDescent="0.25">
      <c r="B40" s="3">
        <v>0.66666666666666696</v>
      </c>
      <c r="C40" s="4">
        <f>IFERROR(IF(#REF!/#REF!&gt;1,1,#REF!/#REF!),0)</f>
        <v>0</v>
      </c>
      <c r="D40" s="4">
        <f>IFERROR(IF(#REF!/#REF!&gt;1,1,#REF!/#REF!),0)</f>
        <v>0</v>
      </c>
      <c r="E40" s="4">
        <f>IFERROR(IF(#REF!/#REF!&gt;1,1,#REF!/#REF!),0)</f>
        <v>0</v>
      </c>
      <c r="F40" s="4">
        <f>IFERROR(IF(#REF!/#REF!&gt;1,1,#REF!/#REF!),0)</f>
        <v>0</v>
      </c>
      <c r="G40" s="4">
        <f>IFERROR(IF(#REF!/#REF!&gt;1,1,#REF!/#REF!),0)</f>
        <v>0</v>
      </c>
      <c r="H40" s="4">
        <f>IFERROR(IF(#REF!/#REF!&gt;1,1,#REF!/#REF!),0)</f>
        <v>0</v>
      </c>
      <c r="I40" s="4">
        <f>IFERROR(IF(#REF!/#REF!&gt;1,1,#REF!/#REF!),0)</f>
        <v>0</v>
      </c>
    </row>
    <row r="41" spans="2:9" x14ac:dyDescent="0.25">
      <c r="B41" s="3">
        <v>0.70833333333333304</v>
      </c>
      <c r="C41" s="4">
        <f>IFERROR(IF(#REF!/#REF!&gt;1,1,#REF!/#REF!),0)</f>
        <v>0</v>
      </c>
      <c r="D41" s="4">
        <f>IFERROR(IF(#REF!/#REF!&gt;1,1,#REF!/#REF!),0)</f>
        <v>0</v>
      </c>
      <c r="E41" s="4">
        <f>IFERROR(IF(#REF!/#REF!&gt;1,1,#REF!/#REF!),0)</f>
        <v>0</v>
      </c>
      <c r="F41" s="4">
        <f>IFERROR(IF(#REF!/#REF!&gt;1,1,#REF!/#REF!),0)</f>
        <v>0</v>
      </c>
      <c r="G41" s="4">
        <f>IFERROR(IF(#REF!/#REF!&gt;1,1,#REF!/#REF!),0)</f>
        <v>0</v>
      </c>
      <c r="H41" s="4">
        <f>IFERROR(IF(#REF!/#REF!&gt;1,1,#REF!/#REF!),0)</f>
        <v>0</v>
      </c>
      <c r="I41" s="4">
        <f>IFERROR(IF(#REF!/#REF!&gt;1,1,#REF!/#REF!),0)</f>
        <v>0</v>
      </c>
    </row>
    <row r="42" spans="2:9" x14ac:dyDescent="0.25">
      <c r="B42" s="3">
        <v>0.75</v>
      </c>
      <c r="C42" s="4">
        <f>IFERROR(IF(#REF!/#REF!&gt;1,1,#REF!/#REF!),0)</f>
        <v>0</v>
      </c>
      <c r="D42" s="4">
        <f>IFERROR(IF(#REF!/#REF!&gt;1,1,#REF!/#REF!),0)</f>
        <v>0</v>
      </c>
      <c r="E42" s="4">
        <f>IFERROR(IF(#REF!/#REF!&gt;1,1,#REF!/#REF!),0)</f>
        <v>0</v>
      </c>
      <c r="F42" s="4">
        <f>IFERROR(IF(#REF!/#REF!&gt;1,1,#REF!/#REF!),0)</f>
        <v>0</v>
      </c>
      <c r="G42" s="4">
        <f>IFERROR(IF(#REF!/#REF!&gt;1,1,#REF!/#REF!),0)</f>
        <v>0</v>
      </c>
      <c r="H42" s="4">
        <f>IFERROR(IF(#REF!/#REF!&gt;1,1,#REF!/#REF!),0)</f>
        <v>0</v>
      </c>
      <c r="I42" s="4">
        <f>IFERROR(IF(#REF!/#REF!&gt;1,1,#REF!/#REF!),0)</f>
        <v>0</v>
      </c>
    </row>
    <row r="43" spans="2:9" x14ac:dyDescent="0.25">
      <c r="B43" s="3">
        <v>0.79166666666666696</v>
      </c>
      <c r="C43" s="4">
        <f>IFERROR(IF(#REF!/#REF!&gt;1,1,#REF!/#REF!),0)</f>
        <v>0</v>
      </c>
      <c r="D43" s="4">
        <f>IFERROR(IF(#REF!/#REF!&gt;1,1,#REF!/#REF!),0)</f>
        <v>0</v>
      </c>
      <c r="E43" s="4">
        <f>IFERROR(IF(#REF!/#REF!&gt;1,1,#REF!/#REF!),0)</f>
        <v>0</v>
      </c>
      <c r="F43" s="4">
        <f>IFERROR(IF(#REF!/#REF!&gt;1,1,#REF!/#REF!),0)</f>
        <v>0</v>
      </c>
      <c r="G43" s="4">
        <f>IFERROR(IF(#REF!/#REF!&gt;1,1,#REF!/#REF!),0)</f>
        <v>0</v>
      </c>
      <c r="H43" s="4">
        <f>IFERROR(IF(#REF!/#REF!&gt;1,1,#REF!/#REF!),0)</f>
        <v>0</v>
      </c>
      <c r="I43" s="4">
        <f>IFERROR(IF(#REF!/#REF!&gt;1,1,#REF!/#REF!),0)</f>
        <v>0</v>
      </c>
    </row>
    <row r="44" spans="2:9" x14ac:dyDescent="0.25">
      <c r="B44" s="3">
        <v>0.83333333333333304</v>
      </c>
      <c r="C44" s="4">
        <f>IFERROR(IF(#REF!/#REF!&gt;1,1,#REF!/#REF!),0)</f>
        <v>0</v>
      </c>
      <c r="D44" s="4">
        <f>IFERROR(IF(#REF!/#REF!&gt;1,1,#REF!/#REF!),0)</f>
        <v>0</v>
      </c>
      <c r="E44" s="4">
        <f>IFERROR(IF(#REF!/#REF!&gt;1,1,#REF!/#REF!),0)</f>
        <v>0</v>
      </c>
      <c r="F44" s="4">
        <f>IFERROR(IF(#REF!/#REF!&gt;1,1,#REF!/#REF!),0)</f>
        <v>0</v>
      </c>
      <c r="G44" s="4">
        <f>IFERROR(IF(#REF!/#REF!&gt;1,1,#REF!/#REF!),0)</f>
        <v>0</v>
      </c>
      <c r="H44" s="4">
        <f>IFERROR(IF(#REF!/#REF!&gt;1,1,#REF!/#REF!),0)</f>
        <v>0</v>
      </c>
      <c r="I44" s="4">
        <f>IFERROR(IF(#REF!/#REF!&gt;1,1,#REF!/#REF!),0)</f>
        <v>0</v>
      </c>
    </row>
    <row r="45" spans="2:9" x14ac:dyDescent="0.25">
      <c r="B45" s="3">
        <v>0.875</v>
      </c>
      <c r="C45" s="4">
        <f>IFERROR(IF(#REF!/#REF!&gt;1,1,#REF!/#REF!),0)</f>
        <v>0</v>
      </c>
      <c r="D45" s="4">
        <f>IFERROR(IF(#REF!/#REF!&gt;1,1,#REF!/#REF!),0)</f>
        <v>0</v>
      </c>
      <c r="E45" s="4">
        <f>IFERROR(IF(#REF!/#REF!&gt;1,1,#REF!/#REF!),0)</f>
        <v>0</v>
      </c>
      <c r="F45" s="4">
        <f>IFERROR(IF(#REF!/#REF!&gt;1,1,#REF!/#REF!),0)</f>
        <v>0</v>
      </c>
      <c r="G45" s="4">
        <f>IFERROR(IF(#REF!/#REF!&gt;1,1,#REF!/#REF!),0)</f>
        <v>0</v>
      </c>
      <c r="H45" s="4">
        <f>IFERROR(IF(#REF!/#REF!&gt;1,1,#REF!/#REF!),0)</f>
        <v>0</v>
      </c>
      <c r="I45" s="4">
        <f>IFERROR(IF(#REF!/#REF!&gt;1,1,#REF!/#REF!),0)</f>
        <v>0</v>
      </c>
    </row>
    <row r="46" spans="2:9" x14ac:dyDescent="0.25">
      <c r="B46" s="3">
        <v>0.91666666666666696</v>
      </c>
      <c r="C46" s="4">
        <f>IFERROR(IF(#REF!/#REF!&gt;1,1,#REF!/#REF!),0)</f>
        <v>0</v>
      </c>
      <c r="D46" s="4">
        <f>IFERROR(IF(#REF!/#REF!&gt;1,1,#REF!/#REF!),0)</f>
        <v>0</v>
      </c>
      <c r="E46" s="4">
        <f>IFERROR(IF(#REF!/#REF!&gt;1,1,#REF!/#REF!),0)</f>
        <v>0</v>
      </c>
      <c r="F46" s="4">
        <f>IFERROR(IF(#REF!/#REF!&gt;1,1,#REF!/#REF!),0)</f>
        <v>0</v>
      </c>
      <c r="G46" s="4">
        <f>IFERROR(IF(#REF!/#REF!&gt;1,1,#REF!/#REF!),0)</f>
        <v>0</v>
      </c>
      <c r="H46" s="4">
        <f>IFERROR(IF(#REF!/#REF!&gt;1,1,#REF!/#REF!),0)</f>
        <v>0</v>
      </c>
      <c r="I46" s="4">
        <f>IFERROR(IF(#REF!/#REF!&gt;1,1,#REF!/#REF!),0)</f>
        <v>0</v>
      </c>
    </row>
    <row r="47" spans="2:9" x14ac:dyDescent="0.25">
      <c r="B47" s="3">
        <v>0.95833333333333304</v>
      </c>
      <c r="C47" s="4">
        <f>IFERROR(IF(#REF!/#REF!&gt;1,1,#REF!/#REF!),0)</f>
        <v>0</v>
      </c>
      <c r="D47" s="4">
        <f>IFERROR(IF(#REF!/#REF!&gt;1,1,#REF!/#REF!),0)</f>
        <v>0</v>
      </c>
      <c r="E47" s="4">
        <f>IFERROR(IF(#REF!/#REF!&gt;1,1,#REF!/#REF!),0)</f>
        <v>0</v>
      </c>
      <c r="F47" s="4">
        <f>IFERROR(IF(#REF!/#REF!&gt;1,1,#REF!/#REF!),0)</f>
        <v>0</v>
      </c>
      <c r="G47" s="4">
        <f>IFERROR(IF(#REF!/#REF!&gt;1,1,#REF!/#REF!),0)</f>
        <v>0</v>
      </c>
      <c r="H47" s="4">
        <f>IFERROR(IF(#REF!/#REF!&gt;1,1,#REF!/#REF!),0)</f>
        <v>0</v>
      </c>
      <c r="I47" s="4">
        <f>IFERROR(IF(#REF!/#REF!&gt;1,1,#REF!/#REF!),0)</f>
        <v>0</v>
      </c>
    </row>
    <row r="48" spans="2:9" x14ac:dyDescent="0.25">
      <c r="B48" s="3">
        <v>1</v>
      </c>
      <c r="C48" s="4">
        <f>IFERROR(IF(#REF!/#REF!&gt;1,1,#REF!/#REF!),0)</f>
        <v>0</v>
      </c>
      <c r="D48" s="4">
        <f>IFERROR(IF(#REF!/#REF!&gt;1,1,#REF!/#REF!),0)</f>
        <v>0</v>
      </c>
      <c r="E48" s="4">
        <f>IFERROR(IF(#REF!/#REF!&gt;1,1,#REF!/#REF!),0)</f>
        <v>0</v>
      </c>
      <c r="F48" s="4">
        <f>IFERROR(IF(#REF!/#REF!&gt;1,1,#REF!/#REF!),0)</f>
        <v>0</v>
      </c>
      <c r="G48" s="4">
        <f>IFERROR(IF(#REF!/#REF!&gt;1,1,#REF!/#REF!),0)</f>
        <v>0</v>
      </c>
      <c r="H48" s="4">
        <f>IFERROR(IF(#REF!/#REF!&gt;1,1,#REF!/#REF!),0)</f>
        <v>0</v>
      </c>
      <c r="I48" s="4">
        <f>IFERROR(IF(#REF!/#REF!&gt;1,1,#REF!/#REF!),0)</f>
        <v>0</v>
      </c>
    </row>
    <row r="49" spans="2:9" x14ac:dyDescent="0.25">
      <c r="B49" s="3">
        <v>1.0416666666666701</v>
      </c>
      <c r="C49" s="4">
        <f>IFERROR(IF(#REF!/#REF!&gt;1,1,#REF!/#REF!),0)</f>
        <v>0</v>
      </c>
      <c r="D49" s="4">
        <f>IFERROR(IF(#REF!/#REF!&gt;1,1,#REF!/#REF!),0)</f>
        <v>0</v>
      </c>
      <c r="E49" s="4">
        <f>IFERROR(IF(#REF!/#REF!&gt;1,1,#REF!/#REF!),0)</f>
        <v>0</v>
      </c>
      <c r="F49" s="4">
        <f>IFERROR(IF(#REF!/#REF!&gt;1,1,#REF!/#REF!),0)</f>
        <v>0</v>
      </c>
      <c r="G49" s="4">
        <f>IFERROR(IF(#REF!/#REF!&gt;1,1,#REF!/#REF!),0)</f>
        <v>0</v>
      </c>
      <c r="H49" s="4">
        <f>IFERROR(IF(#REF!/#REF!&gt;1,1,#REF!/#REF!),0)</f>
        <v>0</v>
      </c>
      <c r="I49" s="4">
        <f>IFERROR(IF(#REF!/#REF!&gt;1,1,#REF!/#REF!),0)</f>
        <v>0</v>
      </c>
    </row>
    <row r="50" spans="2:9" x14ac:dyDescent="0.25">
      <c r="B50" s="3">
        <v>1.0833333333333299</v>
      </c>
      <c r="C50" s="4">
        <f>IFERROR(IF(#REF!/#REF!&gt;1,1,#REF!/#REF!),0)</f>
        <v>0</v>
      </c>
      <c r="D50" s="4">
        <f>IFERROR(IF(#REF!/#REF!&gt;1,1,#REF!/#REF!),0)</f>
        <v>0</v>
      </c>
      <c r="E50" s="4">
        <f>IFERROR(IF(#REF!/#REF!&gt;1,1,#REF!/#REF!),0)</f>
        <v>0</v>
      </c>
      <c r="F50" s="4">
        <f>IFERROR(IF(#REF!/#REF!&gt;1,1,#REF!/#REF!),0)</f>
        <v>0</v>
      </c>
      <c r="G50" s="4">
        <f>IFERROR(IF(#REF!/#REF!&gt;1,1,#REF!/#REF!),0)</f>
        <v>0</v>
      </c>
      <c r="H50" s="4">
        <f>IFERROR(IF(#REF!/#REF!&gt;1,1,#REF!/#REF!),0)</f>
        <v>0</v>
      </c>
      <c r="I50" s="4">
        <f>IFERROR(IF(#REF!/#REF!&gt;1,1,#REF!/#REF!),0)</f>
        <v>0</v>
      </c>
    </row>
    <row r="51" spans="2:9" x14ac:dyDescent="0.25">
      <c r="B51" s="3">
        <v>1.125</v>
      </c>
      <c r="C51" s="4">
        <f>IFERROR(IF(#REF!/#REF!&gt;1,1,#REF!/#REF!),0)</f>
        <v>0</v>
      </c>
      <c r="D51" s="4">
        <f>IFERROR(IF(#REF!/#REF!&gt;1,1,#REF!/#REF!),0)</f>
        <v>0</v>
      </c>
      <c r="E51" s="4">
        <f>IFERROR(IF(#REF!/#REF!&gt;1,1,#REF!/#REF!),0)</f>
        <v>0</v>
      </c>
      <c r="F51" s="4">
        <f>IFERROR(IF(#REF!/#REF!&gt;1,1,#REF!/#REF!),0)</f>
        <v>0</v>
      </c>
      <c r="G51" s="4">
        <f>IFERROR(IF(#REF!/#REF!&gt;1,1,#REF!/#REF!),0)</f>
        <v>0</v>
      </c>
      <c r="H51" s="4">
        <f>IFERROR(IF(#REF!/#REF!&gt;1,1,#REF!/#REF!),0)</f>
        <v>0</v>
      </c>
      <c r="I51" s="4">
        <f>IFERROR(IF(#REF!/#REF!&gt;1,1,#REF!/#REF!),0)</f>
        <v>0</v>
      </c>
    </row>
    <row r="52" spans="2:9" x14ac:dyDescent="0.25">
      <c r="B52" s="3">
        <v>1.1666666666666701</v>
      </c>
      <c r="C52" s="4">
        <f>IFERROR(IF(#REF!/#REF!&gt;1,1,#REF!/#REF!),0)</f>
        <v>0</v>
      </c>
      <c r="D52" s="4">
        <f>IFERROR(IF(#REF!/#REF!&gt;1,1,#REF!/#REF!),0)</f>
        <v>0</v>
      </c>
      <c r="E52" s="4">
        <f>IFERROR(IF(#REF!/#REF!&gt;1,1,#REF!/#REF!),0)</f>
        <v>0</v>
      </c>
      <c r="F52" s="4">
        <f>IFERROR(IF(#REF!/#REF!&gt;1,1,#REF!/#REF!),0)</f>
        <v>0</v>
      </c>
      <c r="G52" s="4">
        <f>IFERROR(IF(#REF!/#REF!&gt;1,1,#REF!/#REF!),0)</f>
        <v>0</v>
      </c>
      <c r="H52" s="4">
        <f>IFERROR(IF(#REF!/#REF!&gt;1,1,#REF!/#REF!),0)</f>
        <v>0</v>
      </c>
      <c r="I52" s="4">
        <f>IFERROR(IF(#REF!/#REF!&gt;1,1,#REF!/#REF!),0)</f>
        <v>0</v>
      </c>
    </row>
  </sheetData>
  <sheetProtection algorithmName="SHA-512" hashValue="VCCc1SUNdRWYJRfNQSlXQuNUPgcJ9VUjzaK8xdUaUVFmV+0W8tEyptBYvYowVQAoG4NocFXCK8ZzU6w5s0GqPQ==" saltValue="JLTkZs2gvUJDGeVPAQu6qw==" spinCount="100000" sheet="1" objects="1" scenarios="1"/>
  <phoneticPr fontId="6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les"/>
  <dimension ref="B2:O24"/>
  <sheetViews>
    <sheetView workbookViewId="0">
      <selection activeCell="O18" sqref="O18"/>
    </sheetView>
  </sheetViews>
  <sheetFormatPr defaultRowHeight="15" x14ac:dyDescent="0.25"/>
  <cols>
    <col min="8" max="8" width="14.140625" style="167" hidden="1" customWidth="1"/>
  </cols>
  <sheetData>
    <row r="2" spans="2:15" x14ac:dyDescent="0.25">
      <c r="B2" s="638" t="s">
        <v>332</v>
      </c>
      <c r="C2" s="638"/>
      <c r="E2" s="638" t="s">
        <v>331</v>
      </c>
      <c r="F2" s="638"/>
      <c r="H2" s="276" t="s">
        <v>257</v>
      </c>
    </row>
    <row r="3" spans="2:15" x14ac:dyDescent="0.25">
      <c r="B3" s="1">
        <v>0</v>
      </c>
      <c r="C3" s="1">
        <v>1</v>
      </c>
      <c r="E3" s="1">
        <v>0</v>
      </c>
      <c r="F3" s="1">
        <v>1</v>
      </c>
      <c r="H3" s="277">
        <v>1</v>
      </c>
    </row>
    <row r="4" spans="2:15" x14ac:dyDescent="0.25">
      <c r="B4" s="1">
        <v>16</v>
      </c>
      <c r="C4" s="1">
        <v>2</v>
      </c>
      <c r="E4" s="1">
        <v>55</v>
      </c>
      <c r="F4" s="1">
        <v>2</v>
      </c>
      <c r="H4" s="278"/>
    </row>
    <row r="5" spans="2:15" x14ac:dyDescent="0.25">
      <c r="B5" s="1">
        <v>26</v>
      </c>
      <c r="C5" s="1">
        <v>3</v>
      </c>
      <c r="E5" s="1">
        <v>63</v>
      </c>
      <c r="F5" s="1">
        <v>3</v>
      </c>
      <c r="H5" s="276" t="s">
        <v>258</v>
      </c>
    </row>
    <row r="6" spans="2:15" x14ac:dyDescent="0.25">
      <c r="B6" s="1">
        <v>46</v>
      </c>
      <c r="C6" s="1">
        <v>4</v>
      </c>
      <c r="E6" s="1">
        <v>155</v>
      </c>
      <c r="F6" s="1">
        <v>4</v>
      </c>
      <c r="H6" s="277">
        <v>1</v>
      </c>
    </row>
    <row r="7" spans="2:15" x14ac:dyDescent="0.25">
      <c r="B7" s="1">
        <v>66</v>
      </c>
      <c r="C7" s="1">
        <v>5</v>
      </c>
      <c r="E7" s="1">
        <v>180</v>
      </c>
      <c r="F7" s="1">
        <v>5</v>
      </c>
      <c r="H7" s="278"/>
    </row>
    <row r="8" spans="2:15" x14ac:dyDescent="0.25">
      <c r="B8" s="1">
        <v>86</v>
      </c>
      <c r="C8" s="1">
        <v>6</v>
      </c>
      <c r="E8" s="1">
        <v>311</v>
      </c>
      <c r="F8" s="1">
        <v>6</v>
      </c>
      <c r="H8" s="276" t="s">
        <v>282</v>
      </c>
      <c r="O8" s="143"/>
    </row>
    <row r="9" spans="2:15" x14ac:dyDescent="0.25">
      <c r="B9" s="1">
        <v>106</v>
      </c>
      <c r="C9" s="1">
        <v>7</v>
      </c>
      <c r="E9" s="1">
        <v>413</v>
      </c>
      <c r="F9" s="1">
        <v>7</v>
      </c>
      <c r="H9" s="277">
        <v>1</v>
      </c>
    </row>
    <row r="10" spans="2:15" x14ac:dyDescent="0.25">
      <c r="B10" s="1">
        <v>126</v>
      </c>
      <c r="C10" s="1">
        <v>8</v>
      </c>
      <c r="E10" s="1">
        <v>459</v>
      </c>
      <c r="F10" s="1">
        <v>8</v>
      </c>
    </row>
    <row r="11" spans="2:15" x14ac:dyDescent="0.25">
      <c r="B11" s="1">
        <v>146</v>
      </c>
      <c r="C11" s="1">
        <v>9</v>
      </c>
      <c r="E11" s="1">
        <v>516</v>
      </c>
      <c r="F11" s="1">
        <v>9</v>
      </c>
    </row>
    <row r="12" spans="2:15" x14ac:dyDescent="0.25">
      <c r="B12" s="1">
        <v>166</v>
      </c>
      <c r="C12" s="1">
        <v>10</v>
      </c>
      <c r="E12" s="1">
        <v>618</v>
      </c>
      <c r="F12" s="1">
        <v>10</v>
      </c>
    </row>
    <row r="13" spans="2:15" x14ac:dyDescent="0.25">
      <c r="B13" s="1">
        <v>186</v>
      </c>
      <c r="C13" s="1">
        <v>11</v>
      </c>
      <c r="E13" s="1">
        <v>628</v>
      </c>
      <c r="F13" s="1">
        <v>11</v>
      </c>
    </row>
    <row r="14" spans="2:15" x14ac:dyDescent="0.25">
      <c r="B14" s="1">
        <v>206</v>
      </c>
      <c r="C14" s="1">
        <v>12</v>
      </c>
      <c r="E14" s="1">
        <v>722</v>
      </c>
      <c r="F14" s="1">
        <v>12</v>
      </c>
    </row>
    <row r="15" spans="2:15" x14ac:dyDescent="0.25">
      <c r="B15" s="1">
        <v>226</v>
      </c>
      <c r="C15" s="1">
        <v>13</v>
      </c>
      <c r="E15" s="1">
        <v>826</v>
      </c>
      <c r="F15" s="1">
        <v>13</v>
      </c>
    </row>
    <row r="16" spans="2:15" x14ac:dyDescent="0.25">
      <c r="B16" s="1">
        <v>246</v>
      </c>
      <c r="C16" s="1">
        <v>14</v>
      </c>
      <c r="E16" s="1">
        <v>930</v>
      </c>
      <c r="F16" s="1">
        <v>14</v>
      </c>
    </row>
    <row r="17" spans="2:6" x14ac:dyDescent="0.25">
      <c r="B17" s="1">
        <v>266</v>
      </c>
      <c r="C17" s="1">
        <v>15</v>
      </c>
      <c r="E17" s="1">
        <v>1033</v>
      </c>
      <c r="F17" s="1">
        <v>15</v>
      </c>
    </row>
    <row r="18" spans="2:6" x14ac:dyDescent="0.25">
      <c r="B18" s="1">
        <v>286</v>
      </c>
      <c r="C18" s="1">
        <v>16</v>
      </c>
      <c r="E18" s="1">
        <v>1117</v>
      </c>
      <c r="F18" s="1">
        <v>16</v>
      </c>
    </row>
    <row r="19" spans="2:6" x14ac:dyDescent="0.25">
      <c r="B19" s="1">
        <v>306</v>
      </c>
      <c r="C19" s="1">
        <v>17</v>
      </c>
    </row>
    <row r="20" spans="2:6" x14ac:dyDescent="0.25">
      <c r="B20" s="1">
        <v>326</v>
      </c>
      <c r="C20" s="1">
        <v>18</v>
      </c>
    </row>
    <row r="21" spans="2:6" x14ac:dyDescent="0.25">
      <c r="B21" s="1">
        <v>346</v>
      </c>
      <c r="C21" s="1">
        <v>19</v>
      </c>
    </row>
    <row r="22" spans="2:6" x14ac:dyDescent="0.25">
      <c r="B22" s="1">
        <v>366</v>
      </c>
      <c r="C22" s="1">
        <v>20</v>
      </c>
    </row>
    <row r="23" spans="2:6" x14ac:dyDescent="0.25">
      <c r="B23" s="1">
        <v>386</v>
      </c>
      <c r="C23" s="1">
        <v>21</v>
      </c>
    </row>
    <row r="24" spans="2:6" x14ac:dyDescent="0.25">
      <c r="B24" s="1">
        <v>406</v>
      </c>
      <c r="C24" s="1">
        <v>22</v>
      </c>
    </row>
  </sheetData>
  <sheetProtection algorithmName="SHA-512" hashValue="MuE0GV14l3egkEsfw7EmrJ58IP1IneoaPo2sO5bjaSvqPTMDx7ad73hFlxsNmjYP9p7khWnpJxUuzoW15YRCLw==" saltValue="Ed6gycaytBCrfWdg1GgXtA==" spinCount="100000" sheet="1" objects="1" scenarios="1"/>
  <mergeCells count="2">
    <mergeCell ref="B2:C2"/>
    <mergeCell ref="E2:F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25</vt:i4>
      </vt:variant>
      <vt:variant>
        <vt:lpstr>Intervalli denominati</vt:lpstr>
      </vt:variant>
      <vt:variant>
        <vt:i4>8</vt:i4>
      </vt:variant>
    </vt:vector>
  </HeadingPairs>
  <TitlesOfParts>
    <vt:vector size="33" baseType="lpstr">
      <vt:lpstr>DASHBOARD</vt:lpstr>
      <vt:lpstr>LUN</vt:lpstr>
      <vt:lpstr>MAR</vt:lpstr>
      <vt:lpstr>MER</vt:lpstr>
      <vt:lpstr>GIO</vt:lpstr>
      <vt:lpstr>VEN</vt:lpstr>
      <vt:lpstr>SAB</vt:lpstr>
      <vt:lpstr>DOM</vt:lpstr>
      <vt:lpstr>TOT</vt:lpstr>
      <vt:lpstr>FORMAZIONE</vt:lpstr>
      <vt:lpstr>Dipendenti</vt:lpstr>
      <vt:lpstr>MANAGER</vt:lpstr>
      <vt:lpstr>TOT-M</vt:lpstr>
      <vt:lpstr>FORMAZIONE-M</vt:lpstr>
      <vt:lpstr>Dipendenti-M</vt:lpstr>
      <vt:lpstr>Fasce_Tot</vt:lpstr>
      <vt:lpstr>Lunedì</vt:lpstr>
      <vt:lpstr>Martedì</vt:lpstr>
      <vt:lpstr>Mercoledì</vt:lpstr>
      <vt:lpstr>Giovedì</vt:lpstr>
      <vt:lpstr>Venerdì</vt:lpstr>
      <vt:lpstr>Sabato</vt:lpstr>
      <vt:lpstr>Domenica</vt:lpstr>
      <vt:lpstr>Percentuali</vt:lpstr>
      <vt:lpstr>Tabelle</vt:lpstr>
      <vt:lpstr>A</vt:lpstr>
      <vt:lpstr>Dipendenti!Area_stampa</vt:lpstr>
      <vt:lpstr>FORMAZIONE!Area_stampa</vt:lpstr>
      <vt:lpstr>'FORMAZIONE-M'!Area_stampa</vt:lpstr>
      <vt:lpstr>LUN!Area_stampa</vt:lpstr>
      <vt:lpstr>MANAGER!Area_stampa</vt:lpstr>
      <vt:lpstr>TOT!Area_stampa</vt:lpstr>
      <vt:lpstr>'TOT-M'!Area_stampa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 Jaupi</dc:creator>
  <cp:lastModifiedBy>Enrico Jaupi</cp:lastModifiedBy>
  <cp:lastPrinted>2025-07-31T18:39:20Z</cp:lastPrinted>
  <dcterms:created xsi:type="dcterms:W3CDTF">2024-07-06T11:49:52Z</dcterms:created>
  <dcterms:modified xsi:type="dcterms:W3CDTF">2025-11-29T22:20:07Z</dcterms:modified>
</cp:coreProperties>
</file>